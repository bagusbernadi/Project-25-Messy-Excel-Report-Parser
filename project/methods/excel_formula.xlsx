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Laporan" sheetId="1" state="visible" r:id="rId3"/>
    <sheet name="Pemetaan" sheetId="2" state="visible" r:id="rId4"/>
    <sheet name="Tid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<sst xmlns="http://schemas.openxmlformats.org/spreadsheetml/2006/main" count="329" uniqueCount="73">
  <si>
    <t xml:space="preserve">LAPORAN PRODUKSI HARIAN</t>
  </si>
  <si>
    <t xml:space="preserve">Area: Water Treatment, Mixing   Periode: Mar 2026</t>
  </si>
  <si>
    <t xml:space="preserve">PRODUKSI</t>
  </si>
  <si>
    <t xml:space="preserve">Stasiun</t>
  </si>
  <si>
    <t xml:space="preserve">Ukuran</t>
  </si>
  <si>
    <t xml:space="preserve">Shift</t>
  </si>
  <si>
    <t xml:space="preserve">Slot</t>
  </si>
  <si>
    <t xml:space="preserve">02/03</t>
  </si>
  <si>
    <t xml:space="preserve">03/03</t>
  </si>
  <si>
    <t xml:space="preserve">04/03</t>
  </si>
  <si>
    <t xml:space="preserve">05/03</t>
  </si>
  <si>
    <t xml:space="preserve">06/03</t>
  </si>
  <si>
    <t xml:space="preserve">09/03</t>
  </si>
  <si>
    <t xml:space="preserve">10/03</t>
  </si>
  <si>
    <t xml:space="preserve">11/03</t>
  </si>
  <si>
    <t xml:space="preserve">12/03</t>
  </si>
  <si>
    <t xml:space="preserve">13/03</t>
  </si>
  <si>
    <t xml:space="preserve">16/03</t>
  </si>
  <si>
    <t xml:space="preserve">17/03</t>
  </si>
  <si>
    <t xml:space="preserve">18/03</t>
  </si>
  <si>
    <t xml:space="preserve">19/03</t>
  </si>
  <si>
    <t xml:space="preserve">20/03</t>
  </si>
  <si>
    <t xml:space="preserve">23/03</t>
  </si>
  <si>
    <t xml:space="preserve">24/03</t>
  </si>
  <si>
    <t xml:space="preserve">25/03</t>
  </si>
  <si>
    <t xml:space="preserve">26/03</t>
  </si>
  <si>
    <t xml:space="preserve">27/03</t>
  </si>
  <si>
    <t xml:space="preserve">30/03</t>
  </si>
  <si>
    <t xml:space="preserve">31/03</t>
  </si>
  <si>
    <t xml:space="preserve">01/04</t>
  </si>
  <si>
    <t xml:space="preserve">02/04</t>
  </si>
  <si>
    <t xml:space="preserve">03/04</t>
  </si>
  <si>
    <t xml:space="preserve">Water Treatment</t>
  </si>
  <si>
    <t xml:space="preserve">330 ml</t>
  </si>
  <si>
    <t xml:space="preserve">Shift 1</t>
  </si>
  <si>
    <t xml:space="preserve">Shift 2</t>
  </si>
  <si>
    <t xml:space="preserve">-</t>
  </si>
  <si>
    <t xml:space="preserve">600 ml</t>
  </si>
  <si>
    <t xml:space="preserve">1,5 L</t>
  </si>
  <si>
    <t xml:space="preserve">n/a</t>
  </si>
  <si>
    <t xml:space="preserve">1543 btl</t>
  </si>
  <si>
    <t xml:space="preserve">Mixing</t>
  </si>
  <si>
    <t xml:space="preserve">3495 btl</t>
  </si>
  <si>
    <t xml:space="preserve">1508 btl</t>
  </si>
  <si>
    <t xml:space="preserve">TOTAL PRODUKSI</t>
  </si>
  <si>
    <t xml:space="preserve">REJECT</t>
  </si>
  <si>
    <t xml:space="preserve">17 btl</t>
  </si>
  <si>
    <t xml:space="preserve">13 btl</t>
  </si>
  <si>
    <t xml:space="preserve">10 btl</t>
  </si>
  <si>
    <t xml:space="preserve">18 btl</t>
  </si>
  <si>
    <t xml:space="preserve">TOTAL REJECT</t>
  </si>
  <si>
    <t xml:space="preserve">Tahun laporan</t>
  </si>
  <si>
    <t xml:space="preserve">Kolom pertama nilai (nomor kolom)</t>
  </si>
  <si>
    <t xml:space="preserve">Baris data per blok</t>
  </si>
  <si>
    <t xml:space="preserve">Jumlah tanggal</t>
  </si>
  <si>
    <t xml:space="preserve">Baris penanda PRODUKSI</t>
  </si>
  <si>
    <t xml:space="preserve">Baris penanda REJECT</t>
  </si>
  <si>
    <t xml:space="preserve">k</t>
  </si>
  <si>
    <t xml:space="preserve">blok</t>
  </si>
  <si>
    <t xml:space="preserve">urut</t>
  </si>
  <si>
    <t xml:space="preserve">baris_ke</t>
  </si>
  <si>
    <t xml:space="preserve">kolom_ke</t>
  </si>
  <si>
    <t xml:space="preserve">baris_penanda</t>
  </si>
  <si>
    <t xml:space="preserve">baris_sumber</t>
  </si>
  <si>
    <t xml:space="preserve">kolom_sumber</t>
  </si>
  <si>
    <t xml:space="preserve">station</t>
  </si>
  <si>
    <t xml:space="preserve">size</t>
  </si>
  <si>
    <t xml:space="preserve">shift</t>
  </si>
  <si>
    <t xml:space="preserve">slot</t>
  </si>
  <si>
    <t xml:space="preserve">date</t>
  </si>
  <si>
    <t xml:space="preserve">mentah</t>
  </si>
  <si>
    <t xml:space="preserve">value</t>
  </si>
  <si>
    <t xml:space="preserve">metric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</si>
</sst>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5" customFormat="false" ht="15" hidden="false" customHeight="false" outlineLevel="0" collapsed="false">
      <c r="A5" s="0" t="s">
        <v>2</v>
      </c>
    </row>
    <row r="6" customFormat="false" ht="15" hidden="false" customHeight="false" outlineLevel="0" collapsed="false">
      <c r="A6" s="0" t="s">
        <v>3</v>
      </c>
      <c r="B6" s="0" t="s">
        <v>4</v>
      </c>
      <c r="C6" s="0" t="s">
        <v>5</v>
      </c>
      <c r="D6" s="0" t="s">
        <v>6</v>
      </c>
      <c r="E6" s="0" t="s">
        <v>7</v>
      </c>
      <c r="F6" s="0" t="s">
        <v>8</v>
      </c>
      <c r="G6" s="0" t="s">
        <v>9</v>
      </c>
      <c r="H6" s="0" t="s">
        <v>10</v>
      </c>
      <c r="I6" s="0" t="s">
        <v>11</v>
      </c>
      <c r="J6" s="0" t="s">
        <v>12</v>
      </c>
      <c r="K6" s="0" t="s">
        <v>13</v>
      </c>
      <c r="L6" s="0" t="s">
        <v>14</v>
      </c>
      <c r="M6" s="0" t="s">
        <v>15</v>
      </c>
      <c r="N6" s="0" t="s">
        <v>16</v>
      </c>
      <c r="O6" s="0" t="s">
        <v>17</v>
      </c>
      <c r="P6" s="0" t="s">
        <v>18</v>
      </c>
      <c r="Q6" s="0" t="s">
        <v>19</v>
      </c>
      <c r="R6" s="0" t="s">
        <v>20</v>
      </c>
      <c r="S6" s="0" t="s">
        <v>21</v>
      </c>
      <c r="T6" s="0" t="s">
        <v>22</v>
      </c>
      <c r="U6" s="0" t="s">
        <v>23</v>
      </c>
      <c r="V6" s="0" t="s">
        <v>24</v>
      </c>
      <c r="W6" s="0" t="s">
        <v>25</v>
      </c>
      <c r="X6" s="0" t="s">
        <v>26</v>
      </c>
      <c r="Y6" s="0" t="s">
        <v>27</v>
      </c>
      <c r="Z6" s="0" t="s">
        <v>28</v>
      </c>
      <c r="AA6" s="0" t="s">
        <v>29</v>
      </c>
      <c r="AB6" s="0" t="s">
        <v>30</v>
      </c>
      <c r="AC6" s="0" t="s">
        <v>31</v>
      </c>
    </row>
    <row r="7" customFormat="false" ht="15" hidden="false" customHeight="false" outlineLevel="0" collapsed="false">
      <c r="A7" s="0" t="s">
        <v>32</v>
      </c>
      <c r="B7" s="0" t="s">
        <v>33</v>
      </c>
      <c r="C7" s="0" t="s">
        <v>34</v>
      </c>
      <c r="D7" s="0" t="n">
        <v>1</v>
      </c>
      <c r="E7" s="0" t="n">
        <v>3233</v>
      </c>
      <c r="F7" s="0" t="n">
        <v>3441</v>
      </c>
      <c r="G7" s="0" t="n">
        <v>3596</v>
      </c>
      <c r="H7" s="0" t="n">
        <v>2790</v>
      </c>
      <c r="I7" s="0" t="n">
        <v>3300</v>
      </c>
      <c r="J7" s="0" t="n">
        <v>3572</v>
      </c>
      <c r="K7" s="0" t="n">
        <v>2948</v>
      </c>
      <c r="L7" s="0" t="n">
        <v>3572</v>
      </c>
      <c r="M7" s="0" t="n">
        <v>3012</v>
      </c>
      <c r="N7" s="0" t="n">
        <v>3042</v>
      </c>
      <c r="O7" s="0" t="n">
        <v>3186</v>
      </c>
      <c r="P7" s="0" t="n">
        <v>3080</v>
      </c>
      <c r="Q7" s="0" t="n">
        <v>3527</v>
      </c>
      <c r="R7" s="0" t="n">
        <v>3177</v>
      </c>
      <c r="S7" s="0" t="n">
        <v>3085</v>
      </c>
      <c r="T7" s="0" t="n">
        <v>3402</v>
      </c>
      <c r="U7" s="0" t="n">
        <v>3278</v>
      </c>
      <c r="V7" s="0" t="n">
        <v>3198</v>
      </c>
      <c r="W7" s="0" t="n">
        <v>3159</v>
      </c>
      <c r="X7" s="0" t="n">
        <v>3381</v>
      </c>
      <c r="Y7" s="0" t="n">
        <v>3257</v>
      </c>
      <c r="Z7" s="0" t="n">
        <v>2895</v>
      </c>
      <c r="AA7" s="0" t="n">
        <v>3377</v>
      </c>
      <c r="AB7" s="0" t="n">
        <v>3596</v>
      </c>
      <c r="AC7" s="0" t="n">
        <v>3141</v>
      </c>
    </row>
    <row r="8" customFormat="false" ht="15" hidden="false" customHeight="false" outlineLevel="0" collapsed="false">
      <c r="A8" s="0" t="s">
        <v>32</v>
      </c>
      <c r="B8" s="0" t="s">
        <v>33</v>
      </c>
      <c r="C8" s="0" t="s">
        <v>34</v>
      </c>
      <c r="D8" s="0" t="n">
        <v>2</v>
      </c>
      <c r="E8" s="0" t="n">
        <v>3411</v>
      </c>
      <c r="F8" s="0" t="n">
        <v>3236</v>
      </c>
      <c r="G8" s="0" t="n">
        <v>3517</v>
      </c>
      <c r="H8" s="0" t="n">
        <v>3438</v>
      </c>
      <c r="I8" s="0" t="n">
        <v>3720</v>
      </c>
      <c r="J8" s="0" t="n">
        <v>3255</v>
      </c>
      <c r="K8" s="0" t="n">
        <v>3633</v>
      </c>
      <c r="L8" s="0" t="n">
        <v>2775</v>
      </c>
      <c r="M8" s="0" t="n">
        <v>3360</v>
      </c>
      <c r="N8" s="0" t="n">
        <v>3224</v>
      </c>
      <c r="O8" s="0" t="n">
        <v>3106</v>
      </c>
      <c r="P8" s="0" t="n">
        <v>3417</v>
      </c>
      <c r="Q8" s="0" t="n">
        <v>3029</v>
      </c>
      <c r="R8" s="0" t="n">
        <v>3434</v>
      </c>
      <c r="S8" s="0" t="n">
        <v>3325</v>
      </c>
      <c r="T8" s="0" t="n">
        <v>3331</v>
      </c>
      <c r="U8" s="0" t="n">
        <v>3842</v>
      </c>
      <c r="V8" s="0" t="n">
        <v>3419</v>
      </c>
      <c r="W8" s="0" t="n">
        <v>3188</v>
      </c>
      <c r="X8" s="0" t="n">
        <v>3433</v>
      </c>
      <c r="Y8" s="0" t="n">
        <v>3216</v>
      </c>
      <c r="Z8" s="0" t="n">
        <v>2953</v>
      </c>
      <c r="AA8" s="0" t="n">
        <v>3078</v>
      </c>
      <c r="AB8" s="0" t="n">
        <v>3377</v>
      </c>
      <c r="AC8" s="0" t="n">
        <v>3091</v>
      </c>
    </row>
    <row r="9" customFormat="false" ht="15" hidden="false" customHeight="false" outlineLevel="0" collapsed="false">
      <c r="A9" s="0" t="s">
        <v>32</v>
      </c>
      <c r="B9" s="0" t="s">
        <v>33</v>
      </c>
      <c r="C9" s="0" t="s">
        <v>34</v>
      </c>
      <c r="D9" s="0" t="n">
        <v>3</v>
      </c>
      <c r="E9" s="0" t="n">
        <v>3162</v>
      </c>
      <c r="F9" s="0" t="n">
        <v>3598</v>
      </c>
      <c r="G9" s="0" t="n">
        <v>3185</v>
      </c>
      <c r="H9" s="0" t="n">
        <v>3364</v>
      </c>
      <c r="I9" s="0" t="n">
        <v>2929</v>
      </c>
      <c r="J9" s="0" t="n">
        <v>2924</v>
      </c>
      <c r="K9" s="0" t="n">
        <v>3284</v>
      </c>
      <c r="L9" s="0" t="n">
        <v>2684</v>
      </c>
      <c r="M9" s="0" t="n">
        <v>3431</v>
      </c>
      <c r="N9" s="0" t="n">
        <v>3114</v>
      </c>
      <c r="O9" s="0" t="n">
        <v>3068</v>
      </c>
      <c r="P9" s="0" t="n">
        <v>3264</v>
      </c>
      <c r="Q9" s="0" t="n">
        <v>3414</v>
      </c>
      <c r="R9" s="0" t="n">
        <v>3167</v>
      </c>
      <c r="S9" s="0" t="n">
        <v>3203</v>
      </c>
      <c r="T9" s="0" t="n">
        <v>2746</v>
      </c>
      <c r="U9" s="0" t="n">
        <v>3179</v>
      </c>
      <c r="V9" s="0" t="n">
        <v>3310</v>
      </c>
      <c r="W9" s="0" t="n">
        <v>3719</v>
      </c>
      <c r="X9" s="0" t="n">
        <v>3265</v>
      </c>
      <c r="Y9" s="0" t="n">
        <v>3186</v>
      </c>
      <c r="Z9" s="0" t="n">
        <v>3124</v>
      </c>
      <c r="AA9" s="0" t="n">
        <v>3230</v>
      </c>
      <c r="AB9" s="0" t="n">
        <v>2984</v>
      </c>
      <c r="AC9" s="0" t="n">
        <v>3121</v>
      </c>
    </row>
    <row r="10" customFormat="false" ht="15" hidden="false" customHeight="false" outlineLevel="0" collapsed="false">
      <c r="A10" s="0" t="s">
        <v>32</v>
      </c>
      <c r="B10" s="0" t="s">
        <v>33</v>
      </c>
      <c r="C10" s="0" t="s">
        <v>35</v>
      </c>
      <c r="D10" s="0" t="n">
        <v>1</v>
      </c>
      <c r="E10" s="0" t="n">
        <v>3283</v>
      </c>
      <c r="F10" s="0" t="n">
        <v>2851</v>
      </c>
      <c r="G10" s="0" t="n">
        <v>3167</v>
      </c>
      <c r="H10" s="0" t="n">
        <v>3146</v>
      </c>
      <c r="I10" s="0" t="n">
        <v>3318</v>
      </c>
      <c r="J10" s="0" t="n">
        <v>3423</v>
      </c>
      <c r="K10" s="0" t="n">
        <v>3143</v>
      </c>
      <c r="L10" s="0" t="n">
        <v>3037</v>
      </c>
      <c r="M10" s="0" t="n">
        <v>3097</v>
      </c>
      <c r="N10" s="0" t="n">
        <v>3585</v>
      </c>
      <c r="O10" s="0" t="n">
        <v>2752</v>
      </c>
      <c r="P10" s="0" t="n">
        <v>3141</v>
      </c>
      <c r="Q10" s="0" t="n">
        <v>3137</v>
      </c>
      <c r="R10" s="0" t="n">
        <v>3050</v>
      </c>
      <c r="S10" s="0" t="n">
        <v>3695</v>
      </c>
      <c r="T10" s="0" t="n">
        <v>3123</v>
      </c>
      <c r="U10" s="0" t="n">
        <v>3292</v>
      </c>
      <c r="V10" s="0" t="n">
        <v>3042</v>
      </c>
      <c r="W10" s="0" t="n">
        <v>3526</v>
      </c>
      <c r="X10" s="0" t="n">
        <v>2758</v>
      </c>
      <c r="Y10" s="0" t="n">
        <v>3196</v>
      </c>
      <c r="Z10" s="0" t="n">
        <v>2818</v>
      </c>
      <c r="AA10" s="0" t="n">
        <v>3507</v>
      </c>
      <c r="AB10" s="0" t="n">
        <v>2916</v>
      </c>
      <c r="AC10" s="0" t="n">
        <v>3145</v>
      </c>
    </row>
    <row r="11" customFormat="false" ht="15" hidden="false" customHeight="false" outlineLevel="0" collapsed="false">
      <c r="A11" s="0" t="s">
        <v>32</v>
      </c>
      <c r="B11" s="0" t="s">
        <v>33</v>
      </c>
      <c r="C11" s="0" t="s">
        <v>35</v>
      </c>
      <c r="D11" s="0" t="n">
        <v>2</v>
      </c>
      <c r="E11" s="0" t="n">
        <v>3017</v>
      </c>
      <c r="F11" s="0" t="n">
        <v>3308</v>
      </c>
      <c r="G11" s="0" t="n">
        <v>2780</v>
      </c>
      <c r="H11" s="0" t="n">
        <v>3435</v>
      </c>
      <c r="I11" s="0" t="n">
        <v>3166</v>
      </c>
      <c r="J11" s="0" t="n">
        <v>3107</v>
      </c>
      <c r="K11" s="0" t="n">
        <v>3180</v>
      </c>
      <c r="L11" s="0" t="n">
        <v>3365</v>
      </c>
      <c r="M11" s="0" t="n">
        <v>3512</v>
      </c>
      <c r="N11" s="0" t="n">
        <v>2963</v>
      </c>
      <c r="O11" s="0" t="n">
        <v>3205</v>
      </c>
      <c r="P11" s="0" t="n">
        <v>3048</v>
      </c>
      <c r="Q11" s="0" t="n">
        <v>2965</v>
      </c>
      <c r="R11" s="0" t="n">
        <v>3161</v>
      </c>
      <c r="S11" s="0" t="n">
        <v>3231</v>
      </c>
      <c r="T11" s="0" t="n">
        <v>2949</v>
      </c>
      <c r="U11" s="0" t="n">
        <v>3153</v>
      </c>
      <c r="V11" s="0" t="n">
        <v>3022</v>
      </c>
      <c r="W11" s="0" t="n">
        <v>3264</v>
      </c>
      <c r="X11" s="0" t="n">
        <v>3205</v>
      </c>
      <c r="Y11" s="0" t="n">
        <v>3405</v>
      </c>
      <c r="Z11" s="0" t="n">
        <v>3027</v>
      </c>
      <c r="AA11" s="0" t="n">
        <v>3380</v>
      </c>
      <c r="AB11" s="0" t="n">
        <v>3063</v>
      </c>
      <c r="AC11" s="0" t="n">
        <v>3168</v>
      </c>
    </row>
    <row r="12" customFormat="false" ht="15" hidden="false" customHeight="false" outlineLevel="0" collapsed="false">
      <c r="A12" s="0" t="s">
        <v>32</v>
      </c>
      <c r="B12" s="0" t="s">
        <v>33</v>
      </c>
      <c r="C12" s="0" t="s">
        <v>35</v>
      </c>
      <c r="D12" s="0" t="n">
        <v>3</v>
      </c>
      <c r="E12" s="0" t="n">
        <v>2860</v>
      </c>
      <c r="F12" s="0" t="n">
        <v>3031</v>
      </c>
      <c r="G12" s="0" t="n">
        <v>3191</v>
      </c>
      <c r="H12" s="0" t="n">
        <v>3194</v>
      </c>
      <c r="I12" s="0" t="n">
        <v>3560</v>
      </c>
      <c r="J12" s="0" t="n">
        <v>3116</v>
      </c>
      <c r="K12" s="0" t="n">
        <v>3348</v>
      </c>
      <c r="L12" s="0" t="n">
        <v>3039</v>
      </c>
      <c r="M12" s="0" t="n">
        <v>3047</v>
      </c>
      <c r="N12" s="0" t="n">
        <v>3196</v>
      </c>
      <c r="O12" s="0" t="s">
        <v>36</v>
      </c>
      <c r="P12" s="0" t="n">
        <v>3674</v>
      </c>
      <c r="Q12" s="0" t="n">
        <v>3484</v>
      </c>
      <c r="R12" s="0" t="n">
        <v>3446</v>
      </c>
      <c r="S12" s="0" t="n">
        <v>3155</v>
      </c>
      <c r="T12" s="0" t="n">
        <v>3586</v>
      </c>
      <c r="U12" s="0" t="n">
        <v>3074</v>
      </c>
      <c r="V12" s="0" t="n">
        <v>3422</v>
      </c>
      <c r="W12" s="0" t="n">
        <v>3176</v>
      </c>
      <c r="X12" s="0" t="n">
        <v>3615</v>
      </c>
      <c r="Y12" s="0" t="n">
        <v>3257</v>
      </c>
      <c r="Z12" s="0" t="n">
        <v>3077</v>
      </c>
      <c r="AA12" s="0" t="n">
        <v>3277</v>
      </c>
      <c r="AB12" s="0" t="n">
        <v>3460</v>
      </c>
      <c r="AC12" s="0" t="n">
        <v>2930</v>
      </c>
    </row>
    <row r="13" customFormat="false" ht="15" hidden="false" customHeight="false" outlineLevel="0" collapsed="false">
      <c r="A13" s="0" t="s">
        <v>32</v>
      </c>
      <c r="B13" s="0" t="s">
        <v>37</v>
      </c>
      <c r="C13" s="0" t="s">
        <v>34</v>
      </c>
      <c r="D13" s="0" t="n">
        <v>1</v>
      </c>
      <c r="E13" s="0" t="n">
        <v>2820</v>
      </c>
      <c r="F13" s="0" t="n">
        <v>2607</v>
      </c>
      <c r="G13" s="0" t="n">
        <v>2633</v>
      </c>
      <c r="H13" s="0" t="n">
        <v>2858</v>
      </c>
      <c r="I13" s="0" t="n">
        <v>2679</v>
      </c>
      <c r="J13" s="0" t="n">
        <v>3126</v>
      </c>
      <c r="K13" s="0" t="n">
        <v>2795</v>
      </c>
      <c r="L13" s="0" t="n">
        <v>2740</v>
      </c>
      <c r="M13" s="0" t="n">
        <v>2645</v>
      </c>
      <c r="N13" s="0" t="n">
        <v>2972</v>
      </c>
      <c r="O13" s="0" t="n">
        <v>2571</v>
      </c>
      <c r="P13" s="0" t="n">
        <v>2592</v>
      </c>
      <c r="Q13" s="0" t="n">
        <v>2800</v>
      </c>
      <c r="R13" s="0" t="n">
        <v>2540</v>
      </c>
      <c r="S13" s="0" t="n">
        <v>2741</v>
      </c>
      <c r="T13" s="0" t="n">
        <v>2805</v>
      </c>
      <c r="U13" s="0" t="n">
        <v>2685</v>
      </c>
      <c r="V13" s="0" t="n">
        <v>3312</v>
      </c>
      <c r="W13" s="0" t="n">
        <v>2706</v>
      </c>
      <c r="X13" s="0" t="n">
        <v>2613</v>
      </c>
      <c r="Y13" s="0" t="n">
        <v>2715</v>
      </c>
      <c r="Z13" s="0" t="n">
        <v>2819</v>
      </c>
      <c r="AA13" s="0" t="n">
        <v>2893</v>
      </c>
      <c r="AB13" s="0" t="n">
        <v>2790</v>
      </c>
      <c r="AC13" s="0" t="n">
        <v>2837</v>
      </c>
    </row>
    <row r="14" customFormat="false" ht="15" hidden="false" customHeight="false" outlineLevel="0" collapsed="false">
      <c r="A14" s="0" t="s">
        <v>32</v>
      </c>
      <c r="B14" s="0" t="s">
        <v>37</v>
      </c>
      <c r="C14" s="0" t="s">
        <v>34</v>
      </c>
      <c r="D14" s="0" t="n">
        <v>2</v>
      </c>
      <c r="E14" s="0" t="n">
        <v>2948</v>
      </c>
      <c r="F14" s="0" t="n">
        <v>2884</v>
      </c>
      <c r="G14" s="0" t="n">
        <v>2826</v>
      </c>
      <c r="H14" s="0" t="s">
        <v>36</v>
      </c>
      <c r="I14" s="0" t="n">
        <v>2908</v>
      </c>
      <c r="J14" s="0" t="n">
        <v>2875</v>
      </c>
      <c r="K14" s="0" t="n">
        <v>2314</v>
      </c>
      <c r="L14" s="0" t="n">
        <v>3001</v>
      </c>
      <c r="M14" s="0" t="n">
        <v>2856</v>
      </c>
      <c r="N14" s="0" t="n">
        <v>3235</v>
      </c>
      <c r="O14" s="0" t="n">
        <v>2388</v>
      </c>
      <c r="P14" s="0" t="n">
        <v>2717</v>
      </c>
      <c r="Q14" s="0" t="n">
        <v>2927</v>
      </c>
      <c r="R14" s="0" t="n">
        <v>2968</v>
      </c>
      <c r="S14" s="0" t="n">
        <v>2780</v>
      </c>
      <c r="T14" s="0" t="n">
        <v>2914</v>
      </c>
      <c r="U14" s="0" t="n">
        <v>3064</v>
      </c>
      <c r="V14" s="0" t="n">
        <v>3024</v>
      </c>
      <c r="W14" s="0" t="n">
        <v>2537</v>
      </c>
      <c r="X14" s="0" t="n">
        <v>2621</v>
      </c>
      <c r="Y14" s="0" t="n">
        <v>2815</v>
      </c>
      <c r="Z14" s="0" t="n">
        <v>2829</v>
      </c>
      <c r="AA14" s="0" t="n">
        <v>2663</v>
      </c>
      <c r="AB14" s="0" t="n">
        <v>2991</v>
      </c>
      <c r="AC14" s="0" t="n">
        <v>2736</v>
      </c>
    </row>
    <row r="15" customFormat="false" ht="15" hidden="false" customHeight="false" outlineLevel="0" collapsed="false">
      <c r="A15" s="0" t="s">
        <v>32</v>
      </c>
      <c r="B15" s="0" t="s">
        <v>37</v>
      </c>
      <c r="C15" s="0" t="s">
        <v>34</v>
      </c>
      <c r="D15" s="0" t="n">
        <v>3</v>
      </c>
      <c r="E15" s="0" t="n">
        <v>2783</v>
      </c>
      <c r="F15" s="0" t="n">
        <v>2834</v>
      </c>
      <c r="G15" s="0" t="n">
        <v>2555</v>
      </c>
      <c r="H15" s="0" t="n">
        <v>2784</v>
      </c>
      <c r="I15" s="0" t="n">
        <v>3058</v>
      </c>
      <c r="J15" s="0" t="n">
        <v>3071</v>
      </c>
      <c r="K15" s="0" t="n">
        <v>2799</v>
      </c>
      <c r="L15" s="0" t="n">
        <v>2981</v>
      </c>
      <c r="M15" s="0" t="n">
        <v>2708</v>
      </c>
      <c r="N15" s="0" t="n">
        <v>2561</v>
      </c>
      <c r="O15" s="0" t="n">
        <v>2771</v>
      </c>
      <c r="P15" s="0" t="n">
        <v>2371</v>
      </c>
      <c r="Q15" s="0" t="n">
        <v>2783</v>
      </c>
      <c r="R15" s="0" t="n">
        <v>2908</v>
      </c>
      <c r="S15" s="0" t="n">
        <v>2858</v>
      </c>
      <c r="T15" s="0" t="n">
        <v>2551</v>
      </c>
      <c r="U15" s="0" t="n">
        <v>2883</v>
      </c>
      <c r="V15" s="0" t="n">
        <v>3185</v>
      </c>
      <c r="W15" s="0" t="n">
        <v>2851</v>
      </c>
      <c r="X15" s="0" t="n">
        <v>2887</v>
      </c>
      <c r="Y15" s="0" t="n">
        <v>2596</v>
      </c>
      <c r="Z15" s="0" t="n">
        <v>2729</v>
      </c>
      <c r="AA15" s="0" t="n">
        <v>2618</v>
      </c>
      <c r="AB15" s="0" t="n">
        <v>2542</v>
      </c>
      <c r="AC15" s="0" t="n">
        <v>2605</v>
      </c>
    </row>
    <row r="16" customFormat="false" ht="15" hidden="false" customHeight="false" outlineLevel="0" collapsed="false">
      <c r="A16" s="0" t="s">
        <v>32</v>
      </c>
      <c r="B16" s="0" t="s">
        <v>37</v>
      </c>
      <c r="C16" s="0" t="s">
        <v>35</v>
      </c>
      <c r="D16" s="0" t="n">
        <v>1</v>
      </c>
      <c r="E16" s="0" t="n">
        <v>2968</v>
      </c>
      <c r="F16" s="0" t="n">
        <v>2311</v>
      </c>
      <c r="G16" s="0" t="n">
        <v>3081</v>
      </c>
      <c r="H16" s="0" t="n">
        <v>2324</v>
      </c>
      <c r="I16" s="0" t="n">
        <v>2308</v>
      </c>
      <c r="J16" s="0" t="n">
        <v>2460</v>
      </c>
      <c r="K16" s="0" t="n">
        <v>2763</v>
      </c>
      <c r="L16" s="0" t="n">
        <v>2809</v>
      </c>
      <c r="M16" s="0" t="n">
        <v>2619</v>
      </c>
      <c r="N16" s="0" t="n">
        <v>3117</v>
      </c>
      <c r="O16" s="0" t="n">
        <v>2731</v>
      </c>
      <c r="P16" s="0" t="n">
        <v>2894</v>
      </c>
      <c r="Q16" s="0" t="n">
        <v>2615</v>
      </c>
      <c r="R16" s="0" t="n">
        <v>3234</v>
      </c>
      <c r="S16" s="0" t="n">
        <v>2669</v>
      </c>
      <c r="T16" s="0" t="n">
        <v>2518</v>
      </c>
      <c r="U16" s="0" t="n">
        <v>3011</v>
      </c>
      <c r="V16" s="0" t="n">
        <v>2908</v>
      </c>
      <c r="W16" s="0" t="n">
        <v>2417</v>
      </c>
      <c r="X16" s="0" t="n">
        <v>2682</v>
      </c>
      <c r="Y16" s="0" t="n">
        <v>2659</v>
      </c>
      <c r="Z16" s="0" t="n">
        <v>2755</v>
      </c>
      <c r="AA16" s="0" t="n">
        <v>3063</v>
      </c>
      <c r="AB16" s="0" t="n">
        <v>2775</v>
      </c>
      <c r="AC16" s="0" t="n">
        <v>2940</v>
      </c>
    </row>
    <row r="17" customFormat="false" ht="15" hidden="false" customHeight="false" outlineLevel="0" collapsed="false">
      <c r="A17" s="0" t="s">
        <v>32</v>
      </c>
      <c r="B17" s="0" t="s">
        <v>37</v>
      </c>
      <c r="C17" s="0" t="s">
        <v>35</v>
      </c>
      <c r="D17" s="0" t="n">
        <v>2</v>
      </c>
      <c r="E17" s="0" t="n">
        <v>2886</v>
      </c>
      <c r="F17" s="0" t="n">
        <v>3225</v>
      </c>
      <c r="G17" s="0" t="n">
        <v>2913</v>
      </c>
      <c r="H17" s="0" t="n">
        <v>2774</v>
      </c>
      <c r="I17" s="0" t="n">
        <v>2765</v>
      </c>
      <c r="J17" s="0" t="n">
        <v>2892</v>
      </c>
      <c r="K17" s="0" t="n">
        <v>3144</v>
      </c>
      <c r="L17" s="0" t="n">
        <v>2880</v>
      </c>
      <c r="M17" s="0" t="n">
        <v>3122</v>
      </c>
      <c r="N17" s="0" t="n">
        <v>3228</v>
      </c>
      <c r="O17" s="0" t="n">
        <v>2378</v>
      </c>
      <c r="P17" s="0" t="n">
        <v>2579</v>
      </c>
      <c r="Q17" s="0" t="n">
        <v>2662</v>
      </c>
      <c r="R17" s="0" t="n">
        <v>3246</v>
      </c>
      <c r="S17" s="0" t="n">
        <v>2763</v>
      </c>
      <c r="T17" s="0" t="n">
        <v>2748</v>
      </c>
      <c r="U17" s="0" t="n">
        <v>3058</v>
      </c>
      <c r="V17" s="0" t="n">
        <v>2847</v>
      </c>
      <c r="W17" s="0" t="n">
        <v>2677</v>
      </c>
      <c r="X17" s="0" t="n">
        <v>2899</v>
      </c>
      <c r="Y17" s="0" t="n">
        <v>3021</v>
      </c>
      <c r="Z17" s="0" t="n">
        <v>3010</v>
      </c>
      <c r="AA17" s="0" t="n">
        <v>2824</v>
      </c>
      <c r="AB17" s="0" t="n">
        <v>2627</v>
      </c>
      <c r="AC17" s="0" t="n">
        <v>2619</v>
      </c>
    </row>
    <row r="18" customFormat="false" ht="15" hidden="false" customHeight="false" outlineLevel="0" collapsed="false">
      <c r="A18" s="0" t="s">
        <v>32</v>
      </c>
      <c r="B18" s="0" t="s">
        <v>37</v>
      </c>
      <c r="C18" s="0" t="s">
        <v>35</v>
      </c>
      <c r="D18" s="0" t="n">
        <v>3</v>
      </c>
      <c r="E18" s="0" t="n">
        <v>3095</v>
      </c>
      <c r="F18" s="0" t="n">
        <v>2803</v>
      </c>
      <c r="G18" s="0" t="n">
        <v>2949</v>
      </c>
      <c r="H18" s="0" t="n">
        <v>2945</v>
      </c>
      <c r="I18" s="0" t="n">
        <v>3072</v>
      </c>
      <c r="J18" s="0" t="n">
        <v>2475</v>
      </c>
      <c r="K18" s="0" t="n">
        <v>2843</v>
      </c>
      <c r="L18" s="0" t="n">
        <v>2875</v>
      </c>
      <c r="M18" s="0" t="n">
        <v>2905</v>
      </c>
      <c r="N18" s="0" t="n">
        <v>2866</v>
      </c>
      <c r="O18" s="0" t="n">
        <v>2719</v>
      </c>
      <c r="P18" s="0" t="n">
        <v>2642</v>
      </c>
      <c r="Q18" s="0" t="n">
        <v>3094</v>
      </c>
      <c r="R18" s="0" t="n">
        <v>3256</v>
      </c>
      <c r="S18" s="0" t="n">
        <v>2881</v>
      </c>
      <c r="T18" s="0" t="n">
        <v>3439</v>
      </c>
      <c r="U18" s="0" t="n">
        <v>2786</v>
      </c>
      <c r="V18" s="0" t="n">
        <v>2323</v>
      </c>
      <c r="W18" s="0" t="n">
        <v>2848</v>
      </c>
      <c r="X18" s="0" t="n">
        <v>2935</v>
      </c>
      <c r="Y18" s="0" t="n">
        <v>2634</v>
      </c>
      <c r="Z18" s="0" t="n">
        <v>2578</v>
      </c>
      <c r="AA18" s="0" t="n">
        <v>2560</v>
      </c>
      <c r="AB18" s="0" t="n">
        <v>3006</v>
      </c>
      <c r="AC18" s="0" t="n">
        <v>2842</v>
      </c>
    </row>
    <row r="19" customFormat="false" ht="15" hidden="false" customHeight="false" outlineLevel="0" collapsed="false">
      <c r="A19" s="0" t="s">
        <v>32</v>
      </c>
      <c r="B19" s="0" t="s">
        <v>38</v>
      </c>
      <c r="C19" s="0" t="s">
        <v>34</v>
      </c>
      <c r="D19" s="0" t="n">
        <v>1</v>
      </c>
      <c r="E19" s="0" t="n">
        <v>1523</v>
      </c>
      <c r="F19" s="0" t="n">
        <v>1379</v>
      </c>
      <c r="G19" s="0" t="n">
        <v>1495</v>
      </c>
      <c r="H19" s="0" t="n">
        <v>1539</v>
      </c>
      <c r="I19" s="0" t="n">
        <v>1540</v>
      </c>
      <c r="J19" s="0" t="n">
        <v>1331</v>
      </c>
      <c r="K19" s="0" t="n">
        <v>1439</v>
      </c>
      <c r="L19" s="0" t="n">
        <v>1767</v>
      </c>
      <c r="M19" s="0" t="n">
        <v>1549</v>
      </c>
      <c r="N19" s="0" t="n">
        <v>1509</v>
      </c>
      <c r="O19" s="0" t="n">
        <v>1588</v>
      </c>
      <c r="P19" s="0" t="n">
        <v>1539</v>
      </c>
      <c r="Q19" s="0" t="n">
        <v>1522</v>
      </c>
      <c r="R19" s="0" t="n">
        <v>1597</v>
      </c>
      <c r="S19" s="0" t="n">
        <v>1580</v>
      </c>
      <c r="T19" s="0" t="n">
        <v>1453</v>
      </c>
      <c r="U19" s="0" t="n">
        <v>1496</v>
      </c>
      <c r="V19" s="0" t="n">
        <v>1573</v>
      </c>
      <c r="W19" s="0" t="n">
        <v>1458</v>
      </c>
      <c r="X19" s="0" t="n">
        <v>1619</v>
      </c>
      <c r="Y19" s="0" t="n">
        <v>1475</v>
      </c>
      <c r="Z19" s="0" t="n">
        <v>1544</v>
      </c>
      <c r="AA19" s="0" t="n">
        <v>1493</v>
      </c>
      <c r="AB19" s="0" t="n">
        <v>1497</v>
      </c>
      <c r="AC19" s="0" t="n">
        <v>1539</v>
      </c>
    </row>
    <row r="20" customFormat="false" ht="15" hidden="false" customHeight="false" outlineLevel="0" collapsed="false">
      <c r="A20" s="0" t="s">
        <v>32</v>
      </c>
      <c r="B20" s="0" t="s">
        <v>38</v>
      </c>
      <c r="C20" s="0" t="s">
        <v>34</v>
      </c>
      <c r="D20" s="0" t="n">
        <v>2</v>
      </c>
      <c r="E20" s="0" t="n">
        <v>1560</v>
      </c>
      <c r="F20" s="0" t="n">
        <v>1520</v>
      </c>
      <c r="G20" s="0" t="n">
        <v>1429</v>
      </c>
      <c r="H20" s="0" t="n">
        <v>1579</v>
      </c>
      <c r="I20" s="0" t="n">
        <v>1548</v>
      </c>
      <c r="J20" s="0" t="n">
        <v>1524</v>
      </c>
      <c r="K20" s="0" t="n">
        <v>1481</v>
      </c>
      <c r="L20" s="0" t="n">
        <v>1448</v>
      </c>
      <c r="M20" s="0" t="n">
        <v>1502</v>
      </c>
      <c r="N20" s="0" t="n">
        <v>1439</v>
      </c>
      <c r="O20" s="0" t="n">
        <v>1355</v>
      </c>
      <c r="P20" s="0" t="n">
        <v>1509</v>
      </c>
      <c r="Q20" s="0" t="n">
        <v>1580</v>
      </c>
      <c r="R20" s="0" t="n">
        <v>1769</v>
      </c>
      <c r="S20" s="0" t="n">
        <v>1634</v>
      </c>
      <c r="T20" s="0" t="n">
        <v>1407</v>
      </c>
      <c r="U20" s="0" t="n">
        <v>1513</v>
      </c>
      <c r="V20" s="0" t="n">
        <v>1553</v>
      </c>
      <c r="W20" s="0" t="n">
        <v>1590</v>
      </c>
      <c r="X20" s="0" t="n">
        <v>1433</v>
      </c>
      <c r="Y20" s="0" t="n">
        <v>1522</v>
      </c>
      <c r="Z20" s="0" t="n">
        <v>1620</v>
      </c>
      <c r="AA20" s="0" t="n">
        <v>1376</v>
      </c>
      <c r="AB20" s="0" t="n">
        <v>1563</v>
      </c>
      <c r="AC20" s="0" t="n">
        <v>1469</v>
      </c>
    </row>
    <row r="21" customFormat="false" ht="15" hidden="false" customHeight="false" outlineLevel="0" collapsed="false">
      <c r="A21" s="0" t="s">
        <v>32</v>
      </c>
      <c r="B21" s="0" t="s">
        <v>38</v>
      </c>
      <c r="C21" s="0" t="s">
        <v>34</v>
      </c>
      <c r="D21" s="0" t="n">
        <v>3</v>
      </c>
      <c r="E21" s="0" t="n">
        <v>1615</v>
      </c>
      <c r="F21" s="0" t="n">
        <v>1474</v>
      </c>
      <c r="G21" s="0" t="n">
        <v>1501</v>
      </c>
      <c r="H21" s="0" t="n">
        <v>1490</v>
      </c>
      <c r="I21" s="0" t="n">
        <v>1360</v>
      </c>
      <c r="J21" s="0" t="n">
        <v>1605</v>
      </c>
      <c r="K21" s="0" t="n">
        <v>1543</v>
      </c>
      <c r="L21" s="0" t="n">
        <v>1636</v>
      </c>
      <c r="M21" s="0" t="n">
        <v>1368</v>
      </c>
      <c r="N21" s="0" t="n">
        <v>1626</v>
      </c>
      <c r="O21" s="0" t="n">
        <v>1454</v>
      </c>
      <c r="P21" s="0" t="n">
        <v>1506</v>
      </c>
      <c r="Q21" s="0" t="n">
        <v>1368</v>
      </c>
      <c r="R21" s="0" t="n">
        <v>1427</v>
      </c>
      <c r="S21" s="0" t="n">
        <v>1783</v>
      </c>
      <c r="T21" s="0" t="n">
        <v>1391</v>
      </c>
      <c r="U21" s="0" t="n">
        <v>1524</v>
      </c>
      <c r="V21" s="0" t="n">
        <v>1509</v>
      </c>
      <c r="W21" s="0" t="n">
        <v>1566</v>
      </c>
      <c r="X21" s="0" t="n">
        <v>1646</v>
      </c>
      <c r="Y21" s="0" t="n">
        <v>1672</v>
      </c>
      <c r="Z21" s="0" t="n">
        <v>1309</v>
      </c>
      <c r="AA21" s="0" t="n">
        <v>1534</v>
      </c>
      <c r="AB21" s="0" t="n">
        <v>1410</v>
      </c>
      <c r="AC21" s="0" t="n">
        <v>1360</v>
      </c>
    </row>
    <row r="22" customFormat="false" ht="15" hidden="false" customHeight="false" outlineLevel="0" collapsed="false">
      <c r="A22" s="0" t="s">
        <v>32</v>
      </c>
      <c r="B22" s="0" t="s">
        <v>38</v>
      </c>
      <c r="C22" s="0" t="s">
        <v>35</v>
      </c>
      <c r="D22" s="0" t="n">
        <v>1</v>
      </c>
      <c r="E22" s="0" t="n">
        <v>1639</v>
      </c>
      <c r="F22" s="0" t="n">
        <v>1574</v>
      </c>
      <c r="G22" s="0" t="n">
        <v>1503</v>
      </c>
      <c r="H22" s="0" t="n">
        <v>1479</v>
      </c>
      <c r="I22" s="0" t="n">
        <v>1481</v>
      </c>
      <c r="J22" s="0" t="n">
        <v>1552</v>
      </c>
      <c r="K22" s="0" t="n">
        <v>1638</v>
      </c>
      <c r="L22" s="0" t="n">
        <v>1546</v>
      </c>
      <c r="M22" s="0" t="n">
        <v>1656</v>
      </c>
      <c r="N22" s="0" t="n">
        <v>1425</v>
      </c>
      <c r="O22" s="0" t="n">
        <v>1419</v>
      </c>
      <c r="P22" s="0" t="n">
        <v>1624</v>
      </c>
      <c r="Q22" s="0" t="n">
        <v>1452</v>
      </c>
      <c r="R22" s="0" t="n">
        <v>1351</v>
      </c>
      <c r="S22" s="0" t="n">
        <v>1377</v>
      </c>
      <c r="T22" s="0" t="n">
        <v>1507</v>
      </c>
      <c r="U22" s="0" t="n">
        <v>1387</v>
      </c>
      <c r="V22" s="0" t="n">
        <v>1450</v>
      </c>
      <c r="W22" s="0" t="n">
        <v>1675</v>
      </c>
      <c r="X22" s="0" t="n">
        <v>1416</v>
      </c>
      <c r="Y22" s="0" t="n">
        <v>1323</v>
      </c>
      <c r="Z22" s="0" t="n">
        <v>1440</v>
      </c>
      <c r="AA22" s="0" t="n">
        <v>1321</v>
      </c>
      <c r="AB22" s="0" t="n">
        <v>1515</v>
      </c>
      <c r="AC22" s="0" t="n">
        <v>1387</v>
      </c>
    </row>
    <row r="23" customFormat="false" ht="15" hidden="false" customHeight="false" outlineLevel="0" collapsed="false">
      <c r="A23" s="0" t="s">
        <v>32</v>
      </c>
      <c r="B23" s="0" t="s">
        <v>38</v>
      </c>
      <c r="C23" s="0" t="s">
        <v>35</v>
      </c>
      <c r="D23" s="0" t="n">
        <v>2</v>
      </c>
      <c r="E23" s="0" t="n">
        <v>1337</v>
      </c>
      <c r="F23" s="0" t="n">
        <v>1443</v>
      </c>
      <c r="G23" s="0" t="n">
        <v>1557</v>
      </c>
      <c r="H23" s="0" t="n">
        <v>1589</v>
      </c>
      <c r="I23" s="0" t="n">
        <v>1463</v>
      </c>
      <c r="J23" s="0" t="n">
        <v>1617</v>
      </c>
      <c r="K23" s="0" t="s">
        <v>39</v>
      </c>
      <c r="L23" s="0" t="n">
        <v>1549</v>
      </c>
      <c r="M23" s="0" t="n">
        <v>1582</v>
      </c>
      <c r="N23" s="0" t="n">
        <v>1453</v>
      </c>
      <c r="O23" s="0" t="n">
        <v>1503</v>
      </c>
      <c r="P23" s="0" t="n">
        <v>1625</v>
      </c>
      <c r="Q23" s="0" t="n">
        <v>1517</v>
      </c>
      <c r="R23" s="0" t="n">
        <v>1590</v>
      </c>
      <c r="S23" s="0" t="n">
        <v>1619</v>
      </c>
      <c r="T23" s="0" t="n">
        <v>1621</v>
      </c>
      <c r="U23" s="0" t="n">
        <v>1595</v>
      </c>
      <c r="V23" s="0" t="n">
        <v>1398</v>
      </c>
      <c r="W23" s="0" t="n">
        <v>1394</v>
      </c>
      <c r="X23" s="0" t="n">
        <v>1433</v>
      </c>
      <c r="Y23" s="0" t="n">
        <v>1666</v>
      </c>
      <c r="Z23" s="0" t="n">
        <v>1589</v>
      </c>
      <c r="AA23" s="0" t="s">
        <v>40</v>
      </c>
      <c r="AB23" s="0" t="n">
        <v>1535</v>
      </c>
      <c r="AC23" s="0" t="n">
        <v>1721</v>
      </c>
    </row>
    <row r="24" customFormat="false" ht="15" hidden="false" customHeight="false" outlineLevel="0" collapsed="false">
      <c r="A24" s="0" t="s">
        <v>32</v>
      </c>
      <c r="B24" s="0" t="s">
        <v>38</v>
      </c>
      <c r="C24" s="0" t="s">
        <v>35</v>
      </c>
      <c r="D24" s="0" t="n">
        <v>3</v>
      </c>
      <c r="E24" s="0" t="n">
        <v>1641</v>
      </c>
      <c r="F24" s="0" t="n">
        <v>1498</v>
      </c>
      <c r="G24" s="0" t="n">
        <v>1357</v>
      </c>
      <c r="H24" s="0" t="n">
        <v>1423</v>
      </c>
      <c r="I24" s="0" t="n">
        <v>1480</v>
      </c>
      <c r="J24" s="0" t="n">
        <v>1563</v>
      </c>
      <c r="K24" s="0" t="n">
        <v>1538</v>
      </c>
      <c r="L24" s="0" t="n">
        <v>1546</v>
      </c>
      <c r="M24" s="0" t="n">
        <v>1526</v>
      </c>
      <c r="N24" s="0" t="n">
        <v>1497</v>
      </c>
      <c r="O24" s="0" t="n">
        <v>1432</v>
      </c>
      <c r="P24" s="0" t="n">
        <v>1533</v>
      </c>
      <c r="Q24" s="0" t="n">
        <v>1547</v>
      </c>
      <c r="R24" s="0" t="n">
        <v>1585</v>
      </c>
      <c r="S24" s="0" t="n">
        <v>1407</v>
      </c>
      <c r="T24" s="0" t="n">
        <v>1440</v>
      </c>
      <c r="U24" s="0" t="n">
        <v>1507</v>
      </c>
      <c r="V24" s="0" t="n">
        <v>1494</v>
      </c>
      <c r="W24" s="0" t="n">
        <v>1457</v>
      </c>
      <c r="X24" s="0" t="n">
        <v>1613</v>
      </c>
      <c r="Y24" s="0" t="n">
        <v>1429</v>
      </c>
      <c r="Z24" s="0" t="n">
        <v>1612</v>
      </c>
      <c r="AA24" s="0" t="n">
        <v>1347</v>
      </c>
      <c r="AB24" s="0" t="n">
        <v>1526</v>
      </c>
      <c r="AC24" s="0" t="n">
        <v>1698</v>
      </c>
    </row>
    <row r="25" customFormat="false" ht="15" hidden="false" customHeight="false" outlineLevel="0" collapsed="false">
      <c r="A25" s="0" t="s">
        <v>41</v>
      </c>
      <c r="B25" s="0" t="s">
        <v>33</v>
      </c>
      <c r="C25" s="0" t="s">
        <v>34</v>
      </c>
      <c r="D25" s="0" t="n">
        <v>1</v>
      </c>
      <c r="E25" s="0" t="n">
        <v>3342</v>
      </c>
      <c r="F25" s="0" t="n">
        <v>3168</v>
      </c>
      <c r="G25" s="0" t="n">
        <v>3660</v>
      </c>
      <c r="H25" s="0" t="n">
        <v>3373</v>
      </c>
      <c r="I25" s="0" t="n">
        <v>3118</v>
      </c>
      <c r="J25" s="0" t="n">
        <v>3245</v>
      </c>
      <c r="K25" s="0" t="n">
        <v>3140</v>
      </c>
      <c r="L25" s="0" t="n">
        <v>2931</v>
      </c>
      <c r="M25" s="0" t="n">
        <v>3059</v>
      </c>
      <c r="N25" s="0" t="n">
        <v>3008</v>
      </c>
      <c r="O25" s="0" t="s">
        <v>39</v>
      </c>
      <c r="P25" s="0" t="n">
        <v>3010</v>
      </c>
      <c r="Q25" s="0" t="n">
        <v>3244</v>
      </c>
      <c r="R25" s="0" t="n">
        <v>2535</v>
      </c>
      <c r="S25" s="0" t="n">
        <v>3203</v>
      </c>
      <c r="T25" s="0" t="n">
        <v>3043</v>
      </c>
      <c r="U25" s="0" t="n">
        <v>2982</v>
      </c>
      <c r="V25" s="0" t="n">
        <v>3581</v>
      </c>
      <c r="W25" s="0" t="n">
        <v>3539</v>
      </c>
      <c r="X25" s="0" t="n">
        <v>2785</v>
      </c>
      <c r="Y25" s="0" t="n">
        <v>3103</v>
      </c>
      <c r="Z25" s="0" t="n">
        <v>3226</v>
      </c>
      <c r="AA25" s="0" t="n">
        <v>3219</v>
      </c>
      <c r="AB25" s="0" t="n">
        <v>3358</v>
      </c>
      <c r="AC25" s="0" t="n">
        <v>3096</v>
      </c>
    </row>
    <row r="26" customFormat="false" ht="15" hidden="false" customHeight="false" outlineLevel="0" collapsed="false">
      <c r="A26" s="0" t="s">
        <v>41</v>
      </c>
      <c r="B26" s="0" t="s">
        <v>33</v>
      </c>
      <c r="C26" s="0" t="s">
        <v>34</v>
      </c>
      <c r="D26" s="0" t="n">
        <v>2</v>
      </c>
      <c r="E26" s="0" t="n">
        <v>3319</v>
      </c>
      <c r="F26" s="0" t="n">
        <v>2826</v>
      </c>
      <c r="G26" s="0" t="n">
        <v>3342</v>
      </c>
      <c r="H26" s="0" t="n">
        <v>2770</v>
      </c>
      <c r="I26" s="0" t="n">
        <v>3256</v>
      </c>
      <c r="J26" s="0" t="n">
        <v>3631</v>
      </c>
      <c r="K26" s="0" t="n">
        <v>2767</v>
      </c>
      <c r="L26" s="0" t="n">
        <v>3274</v>
      </c>
      <c r="M26" s="0" t="n">
        <v>3393</v>
      </c>
      <c r="N26" s="0" t="n">
        <v>3103</v>
      </c>
      <c r="O26" s="0" t="n">
        <v>3213</v>
      </c>
      <c r="P26" s="0" t="n">
        <v>3134</v>
      </c>
      <c r="Q26" s="0" t="n">
        <v>3123</v>
      </c>
      <c r="R26" s="0" t="n">
        <v>3152</v>
      </c>
      <c r="S26" s="0" t="n">
        <v>3443</v>
      </c>
      <c r="T26" s="0" t="n">
        <v>2943</v>
      </c>
      <c r="U26" s="0" t="n">
        <v>2942</v>
      </c>
      <c r="V26" s="0" t="n">
        <v>3495</v>
      </c>
      <c r="W26" s="0" t="n">
        <v>3276</v>
      </c>
      <c r="X26" s="0" t="n">
        <v>2975</v>
      </c>
      <c r="Y26" s="0" t="n">
        <v>3137</v>
      </c>
      <c r="Z26" s="0" t="n">
        <v>3011</v>
      </c>
      <c r="AA26" s="0" t="n">
        <v>3031</v>
      </c>
      <c r="AB26" s="0" t="n">
        <v>3493</v>
      </c>
      <c r="AC26" s="0" t="n">
        <v>3149</v>
      </c>
    </row>
    <row r="27" customFormat="false" ht="15" hidden="false" customHeight="false" outlineLevel="0" collapsed="false">
      <c r="A27" s="0" t="s">
        <v>41</v>
      </c>
      <c r="B27" s="0" t="s">
        <v>33</v>
      </c>
      <c r="C27" s="0" t="s">
        <v>34</v>
      </c>
      <c r="D27" s="0" t="n">
        <v>3</v>
      </c>
      <c r="E27" s="0" t="n">
        <v>2927</v>
      </c>
      <c r="F27" s="0" t="n">
        <v>3077</v>
      </c>
      <c r="G27" s="0" t="n">
        <v>3396</v>
      </c>
      <c r="H27" s="0" t="n">
        <v>2917</v>
      </c>
      <c r="I27" s="0" t="n">
        <v>3119</v>
      </c>
      <c r="J27" s="0" t="n">
        <v>2821</v>
      </c>
      <c r="K27" s="0" t="n">
        <v>3406</v>
      </c>
      <c r="L27" s="0" t="n">
        <v>3458</v>
      </c>
      <c r="M27" s="0" t="n">
        <v>3087</v>
      </c>
      <c r="N27" s="0" t="n">
        <v>2920</v>
      </c>
      <c r="O27" s="0" t="n">
        <v>3188</v>
      </c>
      <c r="P27" s="0" t="n">
        <v>3255</v>
      </c>
      <c r="Q27" s="0" t="n">
        <v>3507</v>
      </c>
      <c r="R27" s="0" t="n">
        <v>3208</v>
      </c>
      <c r="S27" s="0" t="n">
        <v>3200</v>
      </c>
      <c r="T27" s="0" t="n">
        <v>3036</v>
      </c>
      <c r="U27" s="0" t="n">
        <v>3317</v>
      </c>
      <c r="V27" s="0" t="n">
        <v>3075</v>
      </c>
      <c r="W27" s="0" t="n">
        <v>3245</v>
      </c>
      <c r="X27" s="0" t="n">
        <v>3117</v>
      </c>
      <c r="Y27" s="0" t="n">
        <v>3457</v>
      </c>
      <c r="Z27" s="0" t="n">
        <v>3102</v>
      </c>
      <c r="AA27" s="0" t="n">
        <v>3336</v>
      </c>
      <c r="AB27" s="0" t="n">
        <v>3193</v>
      </c>
      <c r="AC27" s="0" t="n">
        <v>3087</v>
      </c>
    </row>
    <row r="28" customFormat="false" ht="15" hidden="false" customHeight="false" outlineLevel="0" collapsed="false">
      <c r="A28" s="0" t="s">
        <v>41</v>
      </c>
      <c r="B28" s="0" t="s">
        <v>33</v>
      </c>
      <c r="C28" s="0" t="s">
        <v>35</v>
      </c>
      <c r="D28" s="0" t="n">
        <v>1</v>
      </c>
      <c r="E28" s="0" t="n">
        <v>3191</v>
      </c>
      <c r="F28" s="0" t="n">
        <v>3133</v>
      </c>
      <c r="G28" s="0" t="n">
        <v>3063</v>
      </c>
      <c r="H28" s="0" t="n">
        <v>3844</v>
      </c>
      <c r="I28" s="0" t="s">
        <v>42</v>
      </c>
      <c r="J28" s="0" t="n">
        <v>3129</v>
      </c>
      <c r="K28" s="0" t="n">
        <v>3154</v>
      </c>
      <c r="L28" s="0" t="n">
        <v>3286</v>
      </c>
      <c r="M28" s="0" t="n">
        <v>3013</v>
      </c>
      <c r="N28" s="0" t="n">
        <v>3359</v>
      </c>
      <c r="O28" s="0" t="n">
        <v>3448</v>
      </c>
      <c r="P28" s="0" t="n">
        <v>2664</v>
      </c>
      <c r="Q28" s="0" t="n">
        <v>3074</v>
      </c>
      <c r="R28" s="0" t="n">
        <v>3661</v>
      </c>
      <c r="S28" s="0" t="n">
        <v>3197</v>
      </c>
      <c r="T28" s="0" t="n">
        <v>3237</v>
      </c>
      <c r="U28" s="0" t="n">
        <v>3167</v>
      </c>
      <c r="V28" s="0" t="n">
        <v>2946</v>
      </c>
      <c r="W28" s="0" t="n">
        <v>3126</v>
      </c>
      <c r="X28" s="0" t="n">
        <v>28150</v>
      </c>
      <c r="Y28" s="0" t="n">
        <v>3299</v>
      </c>
      <c r="Z28" s="0" t="n">
        <v>2909</v>
      </c>
      <c r="AA28" s="0" t="n">
        <v>3434</v>
      </c>
      <c r="AB28" s="0" t="n">
        <v>3245</v>
      </c>
      <c r="AC28" s="0" t="n">
        <v>2987</v>
      </c>
    </row>
    <row r="29" customFormat="false" ht="15" hidden="false" customHeight="false" outlineLevel="0" collapsed="false">
      <c r="A29" s="0" t="s">
        <v>41</v>
      </c>
      <c r="B29" s="0" t="s">
        <v>33</v>
      </c>
      <c r="C29" s="0" t="s">
        <v>35</v>
      </c>
      <c r="D29" s="0" t="n">
        <v>2</v>
      </c>
      <c r="E29" s="0" t="n">
        <v>3385</v>
      </c>
      <c r="F29" s="0" t="n">
        <v>3585</v>
      </c>
      <c r="G29" s="0" t="n">
        <v>3455</v>
      </c>
      <c r="H29" s="0" t="n">
        <v>3413</v>
      </c>
      <c r="I29" s="0" t="n">
        <v>3264</v>
      </c>
      <c r="J29" s="0" t="n">
        <v>3167</v>
      </c>
      <c r="K29" s="0" t="n">
        <v>3262</v>
      </c>
      <c r="L29" s="0" t="n">
        <v>3378</v>
      </c>
      <c r="M29" s="0" t="n">
        <v>3211</v>
      </c>
      <c r="N29" s="0" t="n">
        <v>2828</v>
      </c>
      <c r="O29" s="0" t="n">
        <v>3002</v>
      </c>
      <c r="P29" s="0" t="n">
        <v>3083</v>
      </c>
      <c r="Q29" s="0" t="n">
        <v>3513</v>
      </c>
      <c r="R29" s="0" t="n">
        <v>2964</v>
      </c>
      <c r="S29" s="0" t="n">
        <v>3190</v>
      </c>
      <c r="T29" s="0" t="n">
        <v>2901</v>
      </c>
      <c r="U29" s="0" t="n">
        <v>2674</v>
      </c>
      <c r="V29" s="0" t="n">
        <v>3257</v>
      </c>
      <c r="W29" s="0" t="n">
        <v>3249</v>
      </c>
      <c r="X29" s="0" t="n">
        <v>3397</v>
      </c>
      <c r="Y29" s="0" t="n">
        <v>2801</v>
      </c>
      <c r="Z29" s="0" t="n">
        <v>3246</v>
      </c>
      <c r="AA29" s="0" t="n">
        <v>2724</v>
      </c>
      <c r="AB29" s="0" t="n">
        <v>3425</v>
      </c>
      <c r="AC29" s="0" t="n">
        <v>3010</v>
      </c>
    </row>
    <row r="30" customFormat="false" ht="15" hidden="false" customHeight="false" outlineLevel="0" collapsed="false">
      <c r="A30" s="0" t="s">
        <v>41</v>
      </c>
      <c r="B30" s="0" t="s">
        <v>33</v>
      </c>
      <c r="C30" s="0" t="s">
        <v>35</v>
      </c>
      <c r="D30" s="0" t="n">
        <v>3</v>
      </c>
      <c r="E30" s="0" t="n">
        <v>3569</v>
      </c>
      <c r="F30" s="0" t="n">
        <v>3200</v>
      </c>
      <c r="G30" s="0" t="n">
        <v>2842</v>
      </c>
      <c r="H30" s="0" t="n">
        <v>3498</v>
      </c>
      <c r="I30" s="0" t="n">
        <v>2885</v>
      </c>
      <c r="J30" s="0" t="n">
        <v>3319</v>
      </c>
      <c r="K30" s="0" t="n">
        <v>3292</v>
      </c>
      <c r="L30" s="0" t="n">
        <v>3336</v>
      </c>
      <c r="M30" s="0" t="n">
        <v>3328</v>
      </c>
      <c r="N30" s="0" t="n">
        <v>3582</v>
      </c>
      <c r="O30" s="0" t="n">
        <v>3126</v>
      </c>
      <c r="P30" s="0" t="n">
        <v>2881</v>
      </c>
      <c r="Q30" s="0" t="s">
        <v>39</v>
      </c>
      <c r="R30" s="0" t="n">
        <v>3168</v>
      </c>
      <c r="S30" s="0" t="n">
        <v>3135</v>
      </c>
      <c r="T30" s="0" t="n">
        <v>3058</v>
      </c>
      <c r="U30" s="0" t="n">
        <v>3353</v>
      </c>
      <c r="V30" s="0" t="n">
        <v>3374</v>
      </c>
      <c r="W30" s="0" t="n">
        <v>3235</v>
      </c>
      <c r="X30" s="0" t="n">
        <v>3481</v>
      </c>
      <c r="Y30" s="0" t="n">
        <v>3114</v>
      </c>
      <c r="Z30" s="0" t="n">
        <v>3183</v>
      </c>
      <c r="AA30" s="0" t="n">
        <v>2928</v>
      </c>
      <c r="AB30" s="0" t="n">
        <v>3151</v>
      </c>
      <c r="AC30" s="0" t="n">
        <v>3340</v>
      </c>
    </row>
    <row r="31" customFormat="false" ht="15" hidden="false" customHeight="false" outlineLevel="0" collapsed="false">
      <c r="A31" s="0" t="s">
        <v>41</v>
      </c>
      <c r="B31" s="0" t="s">
        <v>37</v>
      </c>
      <c r="C31" s="0" t="s">
        <v>34</v>
      </c>
      <c r="D31" s="0" t="n">
        <v>1</v>
      </c>
      <c r="E31" s="0" t="n">
        <v>2913</v>
      </c>
      <c r="F31" s="0" t="n">
        <v>2872</v>
      </c>
      <c r="G31" s="0" t="n">
        <v>2638</v>
      </c>
      <c r="H31" s="0" t="n">
        <v>3068</v>
      </c>
      <c r="I31" s="0" t="n">
        <v>2967</v>
      </c>
      <c r="J31" s="0" t="n">
        <v>2767</v>
      </c>
      <c r="K31" s="0" t="n">
        <v>2809</v>
      </c>
      <c r="L31" s="0" t="n">
        <v>2716</v>
      </c>
      <c r="M31" s="0" t="n">
        <v>2844</v>
      </c>
      <c r="N31" s="0" t="n">
        <v>2546</v>
      </c>
      <c r="O31" s="0" t="n">
        <v>2745</v>
      </c>
      <c r="P31" s="0" t="n">
        <v>2496</v>
      </c>
      <c r="Q31" s="0" t="n">
        <v>2658</v>
      </c>
      <c r="R31" s="0" t="n">
        <v>2806</v>
      </c>
      <c r="S31" s="0" t="n">
        <v>2724</v>
      </c>
      <c r="T31" s="0" t="n">
        <v>2776</v>
      </c>
      <c r="U31" s="0" t="n">
        <v>2671</v>
      </c>
      <c r="V31" s="0" t="n">
        <v>2522</v>
      </c>
      <c r="W31" s="0" t="n">
        <v>2781</v>
      </c>
      <c r="X31" s="0" t="n">
        <v>3162</v>
      </c>
      <c r="Y31" s="0" t="n">
        <v>2948</v>
      </c>
      <c r="Z31" s="0" t="n">
        <v>2886</v>
      </c>
      <c r="AA31" s="0" t="n">
        <v>3114</v>
      </c>
      <c r="AB31" s="0" t="n">
        <v>2455</v>
      </c>
      <c r="AC31" s="0" t="n">
        <v>2503</v>
      </c>
    </row>
    <row r="32" customFormat="false" ht="15" hidden="false" customHeight="false" outlineLevel="0" collapsed="false">
      <c r="A32" s="0" t="s">
        <v>41</v>
      </c>
      <c r="B32" s="0" t="s">
        <v>37</v>
      </c>
      <c r="C32" s="0" t="s">
        <v>34</v>
      </c>
      <c r="D32" s="0" t="n">
        <v>2</v>
      </c>
      <c r="E32" s="0" t="n">
        <v>2911</v>
      </c>
      <c r="F32" s="0" t="n">
        <v>3060</v>
      </c>
      <c r="G32" s="0" t="n">
        <v>2799</v>
      </c>
      <c r="H32" s="0" t="n">
        <v>2989</v>
      </c>
      <c r="I32" s="0" t="n">
        <v>2789</v>
      </c>
      <c r="J32" s="0" t="n">
        <v>3444</v>
      </c>
      <c r="K32" s="0" t="n">
        <v>2832</v>
      </c>
      <c r="L32" s="0" t="s">
        <v>39</v>
      </c>
      <c r="M32" s="0" t="n">
        <v>2838</v>
      </c>
      <c r="N32" s="0" t="n">
        <v>3073</v>
      </c>
      <c r="O32" s="0" t="n">
        <v>2747</v>
      </c>
      <c r="P32" s="0" t="n">
        <v>2680</v>
      </c>
      <c r="Q32" s="0" t="n">
        <v>3182</v>
      </c>
      <c r="R32" s="0" t="n">
        <v>2575</v>
      </c>
      <c r="S32" s="0" t="n">
        <v>2953</v>
      </c>
      <c r="T32" s="0" t="n">
        <v>2932</v>
      </c>
      <c r="U32" s="0" t="n">
        <v>2766</v>
      </c>
      <c r="V32" s="0" t="n">
        <v>2882</v>
      </c>
      <c r="W32" s="0" t="n">
        <v>2847</v>
      </c>
      <c r="X32" s="0" t="n">
        <v>2765</v>
      </c>
      <c r="Y32" s="0" t="n">
        <v>2754</v>
      </c>
      <c r="Z32" s="0" t="n">
        <v>2772</v>
      </c>
      <c r="AA32" s="0" t="n">
        <v>2956</v>
      </c>
      <c r="AB32" s="0" t="n">
        <v>2715</v>
      </c>
      <c r="AC32" s="0" t="n">
        <v>3191</v>
      </c>
    </row>
    <row r="33" customFormat="false" ht="15" hidden="false" customHeight="false" outlineLevel="0" collapsed="false">
      <c r="A33" s="0" t="s">
        <v>41</v>
      </c>
      <c r="B33" s="0" t="s">
        <v>37</v>
      </c>
      <c r="C33" s="0" t="s">
        <v>34</v>
      </c>
      <c r="D33" s="0" t="n">
        <v>3</v>
      </c>
      <c r="E33" s="0" t="n">
        <v>2994</v>
      </c>
      <c r="F33" s="0" t="n">
        <v>3084</v>
      </c>
      <c r="G33" s="0" t="n">
        <v>2937</v>
      </c>
      <c r="H33" s="0" t="n">
        <v>2776</v>
      </c>
      <c r="I33" s="0" t="n">
        <v>2480</v>
      </c>
      <c r="J33" s="0" t="n">
        <v>2930</v>
      </c>
      <c r="K33" s="0" t="n">
        <v>2795</v>
      </c>
      <c r="L33" s="0" t="n">
        <v>2857</v>
      </c>
      <c r="M33" s="0" t="n">
        <v>2621</v>
      </c>
      <c r="N33" s="0" t="n">
        <v>2740</v>
      </c>
      <c r="O33" s="0" t="n">
        <v>2810</v>
      </c>
      <c r="P33" s="0" t="n">
        <v>2640</v>
      </c>
      <c r="Q33" s="0" t="n">
        <v>3088</v>
      </c>
      <c r="R33" s="0" t="n">
        <v>2799</v>
      </c>
      <c r="S33" s="0" t="n">
        <v>2810</v>
      </c>
      <c r="T33" s="0" t="n">
        <v>2838</v>
      </c>
      <c r="U33" s="0" t="n">
        <v>2967</v>
      </c>
      <c r="V33" s="0" t="n">
        <v>2536</v>
      </c>
      <c r="W33" s="0" t="n">
        <v>2841</v>
      </c>
      <c r="X33" s="0" t="n">
        <v>2944</v>
      </c>
      <c r="Y33" s="0" t="n">
        <v>2786</v>
      </c>
      <c r="Z33" s="0" t="n">
        <v>2931</v>
      </c>
      <c r="AA33" s="0" t="s">
        <v>39</v>
      </c>
      <c r="AB33" s="0" t="n">
        <v>3081</v>
      </c>
      <c r="AC33" s="0" t="n">
        <v>2458</v>
      </c>
    </row>
    <row r="34" customFormat="false" ht="15" hidden="false" customHeight="false" outlineLevel="0" collapsed="false">
      <c r="A34" s="0" t="s">
        <v>41</v>
      </c>
      <c r="B34" s="0" t="s">
        <v>37</v>
      </c>
      <c r="C34" s="0" t="s">
        <v>35</v>
      </c>
      <c r="D34" s="0" t="n">
        <v>1</v>
      </c>
      <c r="E34" s="0" t="n">
        <v>2679</v>
      </c>
      <c r="F34" s="0" t="n">
        <v>2739</v>
      </c>
      <c r="G34" s="0" t="n">
        <v>3047</v>
      </c>
      <c r="H34" s="0" t="n">
        <v>2649</v>
      </c>
      <c r="I34" s="0" t="n">
        <v>2428</v>
      </c>
      <c r="J34" s="0" t="n">
        <v>2786</v>
      </c>
      <c r="K34" s="0" t="n">
        <v>2575</v>
      </c>
      <c r="L34" s="0" t="n">
        <v>2757</v>
      </c>
      <c r="M34" s="0" t="n">
        <v>2933</v>
      </c>
      <c r="N34" s="0" t="n">
        <v>2894</v>
      </c>
      <c r="O34" s="0" t="n">
        <v>2836</v>
      </c>
      <c r="P34" s="0" t="n">
        <v>2570</v>
      </c>
      <c r="Q34" s="0" t="n">
        <v>3356</v>
      </c>
      <c r="R34" s="0" t="n">
        <v>2774</v>
      </c>
      <c r="S34" s="0" t="n">
        <v>2494</v>
      </c>
      <c r="T34" s="0" t="n">
        <v>2625</v>
      </c>
      <c r="U34" s="0" t="n">
        <v>2770</v>
      </c>
      <c r="V34" s="0" t="n">
        <v>2441</v>
      </c>
      <c r="W34" s="0" t="n">
        <v>2627</v>
      </c>
      <c r="X34" s="0" t="n">
        <v>2481</v>
      </c>
      <c r="Y34" s="0" t="n">
        <v>2583</v>
      </c>
      <c r="Z34" s="0" t="n">
        <v>2767</v>
      </c>
      <c r="AA34" s="0" t="n">
        <v>2772</v>
      </c>
      <c r="AB34" s="0" t="n">
        <v>3127</v>
      </c>
      <c r="AC34" s="0" t="n">
        <v>2961</v>
      </c>
    </row>
    <row r="35" customFormat="false" ht="15" hidden="false" customHeight="false" outlineLevel="0" collapsed="false">
      <c r="A35" s="0" t="s">
        <v>41</v>
      </c>
      <c r="B35" s="0" t="s">
        <v>37</v>
      </c>
      <c r="C35" s="0" t="s">
        <v>35</v>
      </c>
      <c r="D35" s="0" t="n">
        <v>2</v>
      </c>
      <c r="E35" s="0" t="n">
        <v>2725</v>
      </c>
      <c r="F35" s="0" t="n">
        <v>2996</v>
      </c>
      <c r="G35" s="0" t="n">
        <v>2953</v>
      </c>
      <c r="H35" s="0" t="n">
        <v>2452</v>
      </c>
      <c r="I35" s="0" t="n">
        <v>2516</v>
      </c>
      <c r="J35" s="0" t="n">
        <v>2828</v>
      </c>
      <c r="K35" s="0" t="n">
        <v>2814</v>
      </c>
      <c r="L35" s="0" t="n">
        <v>3031</v>
      </c>
      <c r="M35" s="0" t="s">
        <v>36</v>
      </c>
      <c r="N35" s="0" t="n">
        <v>2634</v>
      </c>
      <c r="O35" s="0" t="n">
        <v>2692</v>
      </c>
      <c r="P35" s="0" t="n">
        <v>2503</v>
      </c>
      <c r="Q35" s="0" t="n">
        <v>2877</v>
      </c>
      <c r="R35" s="0" t="n">
        <v>2678</v>
      </c>
      <c r="S35" s="0" t="n">
        <v>2684</v>
      </c>
      <c r="T35" s="0" t="n">
        <v>2814</v>
      </c>
      <c r="U35" s="0" t="n">
        <v>2825</v>
      </c>
      <c r="V35" s="0" t="n">
        <v>2828</v>
      </c>
      <c r="W35" s="0" t="n">
        <v>3010</v>
      </c>
      <c r="X35" s="0" t="n">
        <v>3108</v>
      </c>
      <c r="Y35" s="0" t="n">
        <v>2541</v>
      </c>
      <c r="Z35" s="0" t="n">
        <v>2715</v>
      </c>
      <c r="AA35" s="0" t="n">
        <v>2816</v>
      </c>
      <c r="AB35" s="0" t="n">
        <v>2851</v>
      </c>
      <c r="AC35" s="0" t="n">
        <v>2774</v>
      </c>
    </row>
    <row r="36" customFormat="false" ht="15" hidden="false" customHeight="false" outlineLevel="0" collapsed="false">
      <c r="A36" s="0" t="s">
        <v>41</v>
      </c>
      <c r="B36" s="0" t="s">
        <v>37</v>
      </c>
      <c r="C36" s="0" t="s">
        <v>35</v>
      </c>
      <c r="D36" s="0" t="n">
        <v>3</v>
      </c>
      <c r="E36" s="0" t="n">
        <v>2504</v>
      </c>
      <c r="F36" s="0" t="n">
        <v>3033</v>
      </c>
      <c r="G36" s="0" t="n">
        <v>2435</v>
      </c>
      <c r="H36" s="0" t="n">
        <v>2530</v>
      </c>
      <c r="I36" s="0" t="n">
        <v>3173</v>
      </c>
      <c r="J36" s="0" t="n">
        <v>2965</v>
      </c>
      <c r="K36" s="0" t="n">
        <v>2984</v>
      </c>
      <c r="L36" s="0" t="n">
        <v>2684</v>
      </c>
      <c r="M36" s="0" t="n">
        <v>2985</v>
      </c>
      <c r="N36" s="0" t="n">
        <v>2972</v>
      </c>
      <c r="O36" s="0" t="n">
        <v>3016</v>
      </c>
      <c r="P36" s="0" t="n">
        <v>3069</v>
      </c>
      <c r="Q36" s="0" t="n">
        <v>3008</v>
      </c>
      <c r="R36" s="0" t="n">
        <v>2848</v>
      </c>
      <c r="S36" s="0" t="n">
        <v>3106</v>
      </c>
      <c r="T36" s="0" t="n">
        <v>3068</v>
      </c>
      <c r="U36" s="0" t="n">
        <v>2564</v>
      </c>
      <c r="V36" s="0" t="n">
        <v>2614</v>
      </c>
      <c r="W36" s="0" t="n">
        <v>2874</v>
      </c>
      <c r="X36" s="0" t="n">
        <v>3120</v>
      </c>
      <c r="Y36" s="0" t="n">
        <v>2670</v>
      </c>
      <c r="Z36" s="0" t="n">
        <v>2653</v>
      </c>
      <c r="AA36" s="0" t="n">
        <v>2494</v>
      </c>
      <c r="AB36" s="0" t="n">
        <v>2924</v>
      </c>
      <c r="AC36" s="0" t="n">
        <v>2836</v>
      </c>
    </row>
    <row r="37" customFormat="false" ht="15" hidden="false" customHeight="false" outlineLevel="0" collapsed="false">
      <c r="A37" s="0" t="s">
        <v>41</v>
      </c>
      <c r="B37" s="0" t="s">
        <v>38</v>
      </c>
      <c r="C37" s="0" t="s">
        <v>34</v>
      </c>
      <c r="D37" s="0" t="n">
        <v>1</v>
      </c>
      <c r="E37" s="0" t="s">
        <v>36</v>
      </c>
      <c r="F37" s="0" t="n">
        <v>1358</v>
      </c>
      <c r="G37" s="0" t="n">
        <v>13250</v>
      </c>
      <c r="H37" s="0" t="n">
        <v>1348</v>
      </c>
      <c r="I37" s="0" t="n">
        <v>1466</v>
      </c>
      <c r="J37" s="0" t="n">
        <v>1437</v>
      </c>
      <c r="K37" s="0" t="n">
        <v>1460</v>
      </c>
      <c r="L37" s="0" t="n">
        <v>1503</v>
      </c>
      <c r="M37" s="0" t="n">
        <v>1468</v>
      </c>
      <c r="N37" s="0" t="n">
        <v>1452</v>
      </c>
      <c r="O37" s="0" t="n">
        <v>1557</v>
      </c>
      <c r="P37" s="0" t="n">
        <v>1627</v>
      </c>
      <c r="Q37" s="0" t="n">
        <v>1383</v>
      </c>
      <c r="R37" s="0" t="n">
        <v>1593</v>
      </c>
      <c r="S37" s="0" t="n">
        <v>1598</v>
      </c>
      <c r="T37" s="0" t="n">
        <v>1518</v>
      </c>
      <c r="U37" s="0" t="n">
        <v>15340</v>
      </c>
      <c r="V37" s="0" t="n">
        <v>1518</v>
      </c>
      <c r="W37" s="0" t="n">
        <v>1394</v>
      </c>
      <c r="X37" s="0" t="n">
        <v>1636</v>
      </c>
      <c r="Y37" s="0" t="n">
        <v>1469</v>
      </c>
      <c r="Z37" s="0" t="n">
        <v>1490</v>
      </c>
      <c r="AA37" s="0" t="n">
        <v>1472</v>
      </c>
      <c r="AB37" s="0" t="n">
        <v>1650</v>
      </c>
      <c r="AC37" s="0" t="n">
        <v>1401</v>
      </c>
    </row>
    <row r="38" customFormat="false" ht="15" hidden="false" customHeight="false" outlineLevel="0" collapsed="false">
      <c r="A38" s="0" t="s">
        <v>41</v>
      </c>
      <c r="B38" s="0" t="s">
        <v>38</v>
      </c>
      <c r="C38" s="0" t="s">
        <v>34</v>
      </c>
      <c r="D38" s="0" t="n">
        <v>2</v>
      </c>
      <c r="E38" s="0" t="n">
        <v>1503</v>
      </c>
      <c r="F38" s="0" t="n">
        <v>1445</v>
      </c>
      <c r="G38" s="0" t="n">
        <v>1615</v>
      </c>
      <c r="H38" s="0" t="n">
        <v>1468</v>
      </c>
      <c r="I38" s="0" t="n">
        <v>1403</v>
      </c>
      <c r="J38" s="0" t="n">
        <v>1609</v>
      </c>
      <c r="K38" s="0" t="n">
        <v>1547</v>
      </c>
      <c r="L38" s="0" t="n">
        <v>1612</v>
      </c>
      <c r="M38" s="0" t="n">
        <v>1720</v>
      </c>
      <c r="N38" s="0" t="n">
        <v>1559</v>
      </c>
      <c r="O38" s="0" t="n">
        <v>1408</v>
      </c>
      <c r="P38" s="0" t="n">
        <v>1510</v>
      </c>
      <c r="Q38" s="0" t="n">
        <v>1555</v>
      </c>
      <c r="R38" s="0" t="n">
        <v>1550</v>
      </c>
      <c r="S38" s="0" t="n">
        <v>1538</v>
      </c>
      <c r="T38" s="0" t="n">
        <v>1439</v>
      </c>
      <c r="U38" s="0" t="n">
        <v>1561</v>
      </c>
      <c r="V38" s="0" t="n">
        <v>1520</v>
      </c>
      <c r="W38" s="0" t="n">
        <v>1661</v>
      </c>
      <c r="X38" s="0" t="n">
        <v>1515</v>
      </c>
      <c r="Y38" s="0" t="n">
        <v>1473</v>
      </c>
      <c r="Z38" s="0" t="n">
        <v>1679</v>
      </c>
      <c r="AA38" s="0" t="n">
        <v>1449</v>
      </c>
      <c r="AB38" s="0" t="n">
        <v>1439</v>
      </c>
      <c r="AC38" s="0" t="n">
        <v>1457</v>
      </c>
    </row>
    <row r="39" customFormat="false" ht="15" hidden="false" customHeight="false" outlineLevel="0" collapsed="false">
      <c r="A39" s="0" t="s">
        <v>41</v>
      </c>
      <c r="B39" s="0" t="s">
        <v>38</v>
      </c>
      <c r="C39" s="0" t="s">
        <v>34</v>
      </c>
      <c r="D39" s="0" t="n">
        <v>3</v>
      </c>
      <c r="E39" s="0" t="n">
        <v>1675</v>
      </c>
      <c r="F39" s="0" t="n">
        <v>1387</v>
      </c>
      <c r="G39" s="0" t="n">
        <v>1357</v>
      </c>
      <c r="H39" s="0" t="n">
        <v>1322</v>
      </c>
      <c r="I39" s="0" t="n">
        <v>1513</v>
      </c>
      <c r="J39" s="0" t="n">
        <v>1522</v>
      </c>
      <c r="K39" s="0" t="n">
        <v>1485</v>
      </c>
      <c r="L39" s="0" t="n">
        <v>1663</v>
      </c>
      <c r="M39" s="0" t="n">
        <v>1400</v>
      </c>
      <c r="N39" s="0" t="n">
        <v>1373</v>
      </c>
      <c r="O39" s="0" t="n">
        <v>1285</v>
      </c>
      <c r="P39" s="0" t="n">
        <v>1450</v>
      </c>
      <c r="Q39" s="0" t="n">
        <v>1613</v>
      </c>
      <c r="R39" s="0" t="n">
        <v>1584</v>
      </c>
      <c r="S39" s="0" t="s">
        <v>43</v>
      </c>
      <c r="T39" s="0" t="n">
        <v>1361</v>
      </c>
      <c r="U39" s="0" t="s">
        <v>39</v>
      </c>
      <c r="V39" s="0" t="n">
        <v>1462</v>
      </c>
      <c r="W39" s="0" t="n">
        <v>1374</v>
      </c>
      <c r="X39" s="0" t="n">
        <v>1530</v>
      </c>
      <c r="Y39" s="0" t="n">
        <v>1515</v>
      </c>
      <c r="Z39" s="0" t="n">
        <v>1611</v>
      </c>
      <c r="AA39" s="0" t="n">
        <v>1439</v>
      </c>
      <c r="AB39" s="0" t="n">
        <v>1570</v>
      </c>
      <c r="AC39" s="0" t="n">
        <v>1413</v>
      </c>
    </row>
    <row r="40" customFormat="false" ht="15" hidden="false" customHeight="false" outlineLevel="0" collapsed="false">
      <c r="A40" s="0" t="s">
        <v>41</v>
      </c>
      <c r="B40" s="0" t="s">
        <v>38</v>
      </c>
      <c r="C40" s="0" t="s">
        <v>35</v>
      </c>
      <c r="D40" s="0" t="n">
        <v>1</v>
      </c>
      <c r="E40" s="0" t="n">
        <v>1535</v>
      </c>
      <c r="F40" s="0" t="n">
        <v>1515</v>
      </c>
      <c r="G40" s="0" t="n">
        <v>1504</v>
      </c>
      <c r="H40" s="0" t="n">
        <v>1516</v>
      </c>
      <c r="I40" s="0" t="n">
        <v>1424</v>
      </c>
      <c r="J40" s="0" t="n">
        <v>1392</v>
      </c>
      <c r="K40" s="0" t="n">
        <v>1388</v>
      </c>
      <c r="L40" s="0" t="n">
        <v>1593</v>
      </c>
      <c r="M40" s="0" t="n">
        <v>1607</v>
      </c>
      <c r="N40" s="0" t="n">
        <v>1471</v>
      </c>
      <c r="O40" s="0" t="n">
        <v>1394</v>
      </c>
      <c r="P40" s="0" t="n">
        <v>1456</v>
      </c>
      <c r="Q40" s="0" t="n">
        <v>1487</v>
      </c>
      <c r="R40" s="0" t="n">
        <v>1759</v>
      </c>
      <c r="S40" s="0" t="n">
        <v>1666</v>
      </c>
      <c r="T40" s="0" t="n">
        <v>1428</v>
      </c>
      <c r="U40" s="0" t="n">
        <v>1656</v>
      </c>
      <c r="V40" s="0" t="n">
        <v>1765</v>
      </c>
      <c r="W40" s="0" t="n">
        <v>1703</v>
      </c>
      <c r="X40" s="0" t="n">
        <v>1342</v>
      </c>
      <c r="Y40" s="0" t="n">
        <v>1367</v>
      </c>
      <c r="Z40" s="0" t="n">
        <v>1668</v>
      </c>
      <c r="AA40" s="0" t="n">
        <v>1481</v>
      </c>
      <c r="AB40" s="0" t="n">
        <v>1382</v>
      </c>
      <c r="AC40" s="0" t="n">
        <v>1255</v>
      </c>
    </row>
    <row r="41" customFormat="false" ht="15" hidden="false" customHeight="false" outlineLevel="0" collapsed="false">
      <c r="A41" s="0" t="s">
        <v>41</v>
      </c>
      <c r="B41" s="0" t="s">
        <v>38</v>
      </c>
      <c r="C41" s="0" t="s">
        <v>35</v>
      </c>
      <c r="D41" s="0" t="n">
        <v>2</v>
      </c>
      <c r="E41" s="0" t="n">
        <v>1424</v>
      </c>
      <c r="F41" s="0" t="n">
        <v>1537</v>
      </c>
      <c r="G41" s="0" t="n">
        <v>1354</v>
      </c>
      <c r="H41" s="0" t="n">
        <v>1652</v>
      </c>
      <c r="I41" s="0" t="n">
        <v>1620</v>
      </c>
      <c r="J41" s="0" t="n">
        <v>1465</v>
      </c>
      <c r="K41" s="0" t="n">
        <v>1267</v>
      </c>
      <c r="L41" s="0" t="n">
        <v>1457</v>
      </c>
      <c r="M41" s="0" t="n">
        <v>1556</v>
      </c>
      <c r="N41" s="0" t="n">
        <v>1438</v>
      </c>
      <c r="O41" s="0" t="n">
        <v>1508</v>
      </c>
      <c r="P41" s="0" t="n">
        <v>1457</v>
      </c>
      <c r="Q41" s="0" t="n">
        <v>1388</v>
      </c>
      <c r="R41" s="0" t="n">
        <v>1501</v>
      </c>
      <c r="S41" s="0" t="n">
        <v>1483</v>
      </c>
      <c r="T41" s="0" t="n">
        <v>1468</v>
      </c>
      <c r="U41" s="0" t="n">
        <v>1428</v>
      </c>
      <c r="V41" s="0" t="n">
        <v>1635</v>
      </c>
      <c r="W41" s="0" t="n">
        <v>1446</v>
      </c>
      <c r="X41" s="0" t="n">
        <v>1714</v>
      </c>
      <c r="Y41" s="0" t="n">
        <v>1497</v>
      </c>
      <c r="Z41" s="0" t="n">
        <v>1656</v>
      </c>
      <c r="AA41" s="0" t="n">
        <v>1575</v>
      </c>
      <c r="AB41" s="0" t="n">
        <v>1449</v>
      </c>
      <c r="AC41" s="0" t="n">
        <v>1417</v>
      </c>
    </row>
    <row r="42" customFormat="false" ht="15" hidden="false" customHeight="false" outlineLevel="0" collapsed="false">
      <c r="A42" s="0" t="s">
        <v>41</v>
      </c>
      <c r="B42" s="0" t="s">
        <v>38</v>
      </c>
      <c r="C42" s="0" t="s">
        <v>35</v>
      </c>
      <c r="D42" s="0" t="n">
        <v>3</v>
      </c>
      <c r="E42" s="0" t="n">
        <v>1508</v>
      </c>
      <c r="F42" s="0" t="n">
        <v>1315</v>
      </c>
      <c r="G42" s="0" t="n">
        <v>1582</v>
      </c>
      <c r="H42" s="0" t="n">
        <v>1474</v>
      </c>
      <c r="I42" s="0" t="n">
        <v>1396</v>
      </c>
      <c r="J42" s="0" t="n">
        <v>1685</v>
      </c>
      <c r="K42" s="0" t="n">
        <v>1433</v>
      </c>
      <c r="L42" s="0" t="n">
        <v>1651</v>
      </c>
      <c r="M42" s="0" t="n">
        <v>1352</v>
      </c>
      <c r="N42" s="0" t="n">
        <v>1299</v>
      </c>
      <c r="O42" s="0" t="n">
        <v>1580</v>
      </c>
      <c r="P42" s="0" t="n">
        <v>1524</v>
      </c>
      <c r="Q42" s="0" t="n">
        <v>1463</v>
      </c>
      <c r="R42" s="0" t="n">
        <v>1609</v>
      </c>
      <c r="S42" s="0" t="n">
        <v>1401</v>
      </c>
      <c r="T42" s="0" t="n">
        <v>1375</v>
      </c>
      <c r="U42" s="0" t="n">
        <v>1537</v>
      </c>
      <c r="V42" s="0" t="n">
        <v>1399</v>
      </c>
      <c r="W42" s="0" t="n">
        <v>1397</v>
      </c>
      <c r="X42" s="0" t="n">
        <v>1498</v>
      </c>
      <c r="Y42" s="0" t="n">
        <v>1404</v>
      </c>
      <c r="Z42" s="0" t="n">
        <v>1487</v>
      </c>
      <c r="AA42" s="0" t="n">
        <v>1434</v>
      </c>
      <c r="AB42" s="0" t="n">
        <v>1250</v>
      </c>
      <c r="AC42" s="0" t="n">
        <v>1565</v>
      </c>
    </row>
    <row r="43" customFormat="false" ht="15" hidden="false" customHeight="false" outlineLevel="0" collapsed="false">
      <c r="A43" s="0" t="s">
        <v>44</v>
      </c>
      <c r="E43" s="0" t="n">
        <v>91167</v>
      </c>
      <c r="F43" s="0" t="n">
        <v>90347</v>
      </c>
      <c r="G43" s="0" t="n">
        <v>90539</v>
      </c>
      <c r="H43" s="0" t="n">
        <v>89977</v>
      </c>
      <c r="I43" s="0" t="n">
        <v>89967</v>
      </c>
      <c r="J43" s="0" t="n">
        <v>91630</v>
      </c>
      <c r="K43" s="0" t="n">
        <v>89798</v>
      </c>
      <c r="L43" s="0" t="n">
        <v>91157</v>
      </c>
      <c r="M43" s="0" t="n">
        <v>90784</v>
      </c>
      <c r="N43" s="0" t="n">
        <v>90303</v>
      </c>
      <c r="O43" s="0" t="n">
        <v>87437</v>
      </c>
      <c r="P43" s="0" t="n">
        <v>87764</v>
      </c>
      <c r="Q43" s="0" t="n">
        <v>92322</v>
      </c>
      <c r="R43" s="0" t="n">
        <v>91670</v>
      </c>
      <c r="S43" s="0" t="n">
        <v>91119</v>
      </c>
      <c r="T43" s="0" t="n">
        <v>88791</v>
      </c>
      <c r="U43" s="0" t="n">
        <v>90367</v>
      </c>
      <c r="V43" s="0" t="n">
        <v>90839</v>
      </c>
      <c r="W43" s="0" t="n">
        <v>90833</v>
      </c>
      <c r="X43" s="0" t="n">
        <v>90839</v>
      </c>
      <c r="Y43" s="0" t="n">
        <v>88962</v>
      </c>
      <c r="Z43" s="0" t="n">
        <v>88720</v>
      </c>
      <c r="AA43" s="0" t="n">
        <v>89188</v>
      </c>
      <c r="AB43" s="0" t="n">
        <v>90931</v>
      </c>
      <c r="AC43" s="0" t="n">
        <v>88249</v>
      </c>
    </row>
    <row r="46" customFormat="false" ht="15" hidden="false" customHeight="false" outlineLevel="0" collapsed="false">
      <c r="A46" s="0" t="s">
        <v>45</v>
      </c>
    </row>
    <row r="47" customFormat="false" ht="15" hidden="false" customHeight="false" outlineLevel="0" collapsed="false">
      <c r="A47" s="0" t="s">
        <v>3</v>
      </c>
      <c r="B47" s="0" t="s">
        <v>4</v>
      </c>
      <c r="C47" s="0" t="s">
        <v>5</v>
      </c>
      <c r="D47" s="0" t="s">
        <v>6</v>
      </c>
      <c r="E47" s="0" t="s">
        <v>7</v>
      </c>
      <c r="F47" s="0" t="s">
        <v>8</v>
      </c>
      <c r="G47" s="0" t="s">
        <v>9</v>
      </c>
      <c r="H47" s="0" t="s">
        <v>10</v>
      </c>
      <c r="I47" s="0" t="s">
        <v>11</v>
      </c>
      <c r="J47" s="0" t="s">
        <v>12</v>
      </c>
      <c r="K47" s="0" t="s">
        <v>13</v>
      </c>
      <c r="L47" s="0" t="s">
        <v>14</v>
      </c>
      <c r="M47" s="0" t="s">
        <v>15</v>
      </c>
      <c r="N47" s="0" t="s">
        <v>16</v>
      </c>
      <c r="O47" s="0" t="s">
        <v>17</v>
      </c>
      <c r="P47" s="0" t="s">
        <v>18</v>
      </c>
      <c r="Q47" s="0" t="s">
        <v>19</v>
      </c>
      <c r="R47" s="0" t="s">
        <v>20</v>
      </c>
      <c r="S47" s="0" t="s">
        <v>21</v>
      </c>
      <c r="T47" s="0" t="s">
        <v>22</v>
      </c>
      <c r="U47" s="0" t="s">
        <v>23</v>
      </c>
      <c r="V47" s="0" t="s">
        <v>24</v>
      </c>
      <c r="W47" s="0" t="s">
        <v>25</v>
      </c>
      <c r="X47" s="0" t="s">
        <v>26</v>
      </c>
      <c r="Y47" s="0" t="s">
        <v>27</v>
      </c>
      <c r="Z47" s="0" t="s">
        <v>28</v>
      </c>
      <c r="AA47" s="0" t="s">
        <v>29</v>
      </c>
      <c r="AB47" s="0" t="s">
        <v>30</v>
      </c>
      <c r="AC47" s="0" t="s">
        <v>31</v>
      </c>
    </row>
    <row r="48" customFormat="false" ht="15" hidden="false" customHeight="false" outlineLevel="0" collapsed="false">
      <c r="A48" s="0" t="s">
        <v>32</v>
      </c>
      <c r="B48" s="0" t="s">
        <v>33</v>
      </c>
      <c r="C48" s="0" t="s">
        <v>34</v>
      </c>
      <c r="D48" s="0" t="n">
        <v>1</v>
      </c>
      <c r="E48" s="0" t="n">
        <v>7</v>
      </c>
      <c r="F48" s="0" t="n">
        <v>10</v>
      </c>
      <c r="G48" s="0" t="n">
        <v>17</v>
      </c>
      <c r="H48" s="0" t="s">
        <v>36</v>
      </c>
      <c r="I48" s="0" t="n">
        <v>14</v>
      </c>
      <c r="J48" s="0" t="n">
        <v>11</v>
      </c>
      <c r="K48" s="0" t="n">
        <v>18</v>
      </c>
      <c r="L48" s="0" t="n">
        <v>18</v>
      </c>
      <c r="M48" s="0" t="n">
        <v>9</v>
      </c>
      <c r="N48" s="0" t="n">
        <v>12</v>
      </c>
      <c r="O48" s="0" t="n">
        <v>9</v>
      </c>
      <c r="P48" s="0" t="n">
        <v>13</v>
      </c>
      <c r="Q48" s="0" t="n">
        <v>23</v>
      </c>
      <c r="R48" s="0" t="n">
        <v>7</v>
      </c>
      <c r="S48" s="0" t="n">
        <v>19</v>
      </c>
      <c r="T48" s="0" t="n">
        <v>6</v>
      </c>
      <c r="U48" s="0" t="n">
        <v>13</v>
      </c>
      <c r="V48" s="0" t="n">
        <v>15</v>
      </c>
      <c r="W48" s="0" t="n">
        <v>14</v>
      </c>
      <c r="X48" s="0" t="n">
        <v>13</v>
      </c>
      <c r="Y48" s="0" t="n">
        <v>10</v>
      </c>
      <c r="Z48" s="0" t="n">
        <v>12</v>
      </c>
      <c r="AA48" s="0" t="n">
        <v>13</v>
      </c>
      <c r="AB48" s="0" t="n">
        <v>180</v>
      </c>
      <c r="AC48" s="0" t="n">
        <v>8</v>
      </c>
    </row>
    <row r="49" customFormat="false" ht="15" hidden="false" customHeight="false" outlineLevel="0" collapsed="false">
      <c r="A49" s="0" t="s">
        <v>32</v>
      </c>
      <c r="B49" s="0" t="s">
        <v>33</v>
      </c>
      <c r="C49" s="0" t="s">
        <v>34</v>
      </c>
      <c r="D49" s="0" t="n">
        <v>2</v>
      </c>
      <c r="E49" s="0" t="n">
        <v>16</v>
      </c>
      <c r="F49" s="0" t="n">
        <v>9</v>
      </c>
      <c r="G49" s="0" t="n">
        <v>10</v>
      </c>
      <c r="H49" s="0" t="n">
        <v>9</v>
      </c>
      <c r="I49" s="0" t="n">
        <v>18</v>
      </c>
      <c r="J49" s="0" t="n">
        <v>19</v>
      </c>
      <c r="K49" s="0" t="n">
        <v>23</v>
      </c>
      <c r="L49" s="0" t="n">
        <v>12</v>
      </c>
      <c r="M49" s="0" t="n">
        <v>9</v>
      </c>
      <c r="N49" s="0" t="n">
        <v>12</v>
      </c>
      <c r="O49" s="0" t="n">
        <v>9</v>
      </c>
      <c r="P49" s="0" t="n">
        <v>20</v>
      </c>
      <c r="Q49" s="0" t="n">
        <v>16</v>
      </c>
      <c r="R49" s="0" t="n">
        <v>14</v>
      </c>
      <c r="S49" s="0" t="n">
        <v>12</v>
      </c>
      <c r="T49" s="0" t="n">
        <v>16</v>
      </c>
      <c r="U49" s="0" t="n">
        <v>12</v>
      </c>
      <c r="V49" s="0" t="n">
        <v>11</v>
      </c>
      <c r="W49" s="0" t="n">
        <v>19</v>
      </c>
      <c r="X49" s="0" t="n">
        <v>15</v>
      </c>
      <c r="Y49" s="0" t="n">
        <v>18</v>
      </c>
      <c r="Z49" s="0" t="n">
        <v>10</v>
      </c>
      <c r="AA49" s="0" t="n">
        <v>10</v>
      </c>
      <c r="AB49" s="0" t="n">
        <v>16</v>
      </c>
      <c r="AC49" s="0" t="n">
        <v>11</v>
      </c>
    </row>
    <row r="50" customFormat="false" ht="15" hidden="false" customHeight="false" outlineLevel="0" collapsed="false">
      <c r="A50" s="0" t="s">
        <v>32</v>
      </c>
      <c r="B50" s="0" t="s">
        <v>33</v>
      </c>
      <c r="C50" s="0" t="s">
        <v>34</v>
      </c>
      <c r="D50" s="0" t="n">
        <v>3</v>
      </c>
      <c r="E50" s="0" t="n">
        <v>8</v>
      </c>
      <c r="F50" s="0" t="n">
        <v>17</v>
      </c>
      <c r="G50" s="0" t="n">
        <v>12</v>
      </c>
      <c r="H50" s="0" t="n">
        <v>22</v>
      </c>
      <c r="I50" s="0" t="n">
        <v>8</v>
      </c>
      <c r="J50" s="0" t="n">
        <v>15</v>
      </c>
      <c r="K50" s="0" t="n">
        <v>10</v>
      </c>
      <c r="L50" s="0" t="n">
        <v>13</v>
      </c>
      <c r="M50" s="0" t="s">
        <v>46</v>
      </c>
      <c r="N50" s="0" t="n">
        <v>10</v>
      </c>
      <c r="O50" s="0" t="n">
        <v>6</v>
      </c>
      <c r="P50" s="0" t="n">
        <v>14</v>
      </c>
      <c r="Q50" s="0" t="n">
        <v>9</v>
      </c>
      <c r="R50" s="0" t="n">
        <v>7</v>
      </c>
      <c r="S50" s="0" t="n">
        <v>12</v>
      </c>
      <c r="T50" s="0" t="n">
        <v>9</v>
      </c>
      <c r="U50" s="0" t="n">
        <v>21</v>
      </c>
      <c r="V50" s="0" t="n">
        <v>14</v>
      </c>
      <c r="W50" s="0" t="n">
        <v>14</v>
      </c>
      <c r="X50" s="0" t="n">
        <v>13</v>
      </c>
      <c r="Y50" s="0" t="n">
        <v>17</v>
      </c>
      <c r="Z50" s="0" t="s">
        <v>39</v>
      </c>
      <c r="AA50" s="0" t="n">
        <v>10</v>
      </c>
      <c r="AB50" s="0" t="n">
        <v>13</v>
      </c>
      <c r="AC50" s="0" t="n">
        <v>16</v>
      </c>
    </row>
    <row r="51" customFormat="false" ht="15" hidden="false" customHeight="false" outlineLevel="0" collapsed="false">
      <c r="A51" s="0" t="s">
        <v>32</v>
      </c>
      <c r="B51" s="0" t="s">
        <v>33</v>
      </c>
      <c r="C51" s="0" t="s">
        <v>35</v>
      </c>
      <c r="D51" s="0" t="n">
        <v>1</v>
      </c>
      <c r="E51" s="0" t="n">
        <v>15</v>
      </c>
      <c r="F51" s="0" t="n">
        <v>7</v>
      </c>
      <c r="G51" s="0" t="n">
        <v>20</v>
      </c>
      <c r="H51" s="0" t="n">
        <v>14</v>
      </c>
      <c r="I51" s="0" t="n">
        <v>22</v>
      </c>
      <c r="J51" s="0" t="n">
        <v>9</v>
      </c>
      <c r="K51" s="0" t="n">
        <v>13</v>
      </c>
      <c r="L51" s="0" t="n">
        <v>10</v>
      </c>
      <c r="M51" s="0" t="n">
        <v>12</v>
      </c>
      <c r="N51" s="0" t="n">
        <v>20</v>
      </c>
      <c r="O51" s="0" t="n">
        <v>12</v>
      </c>
      <c r="P51" s="0" t="n">
        <v>9</v>
      </c>
      <c r="Q51" s="0" t="n">
        <v>18</v>
      </c>
      <c r="R51" s="0" t="n">
        <v>10</v>
      </c>
      <c r="S51" s="0" t="n">
        <v>21</v>
      </c>
      <c r="T51" s="0" t="n">
        <v>12</v>
      </c>
      <c r="U51" s="0" t="n">
        <v>11</v>
      </c>
      <c r="V51" s="0" t="n">
        <v>6</v>
      </c>
      <c r="W51" s="0" t="n">
        <v>17</v>
      </c>
      <c r="X51" s="0" t="n">
        <v>9</v>
      </c>
      <c r="Y51" s="0" t="n">
        <v>12</v>
      </c>
      <c r="Z51" s="0" t="n">
        <v>13</v>
      </c>
      <c r="AA51" s="0" t="n">
        <v>14</v>
      </c>
      <c r="AB51" s="0" t="n">
        <v>15</v>
      </c>
      <c r="AC51" s="0" t="n">
        <v>14</v>
      </c>
    </row>
    <row r="52" customFormat="false" ht="15" hidden="false" customHeight="false" outlineLevel="0" collapsed="false">
      <c r="A52" s="0" t="s">
        <v>32</v>
      </c>
      <c r="B52" s="0" t="s">
        <v>33</v>
      </c>
      <c r="C52" s="0" t="s">
        <v>35</v>
      </c>
      <c r="D52" s="0" t="n">
        <v>2</v>
      </c>
      <c r="E52" s="0" t="n">
        <v>21</v>
      </c>
      <c r="F52" s="0" t="n">
        <v>10</v>
      </c>
      <c r="G52" s="0" t="n">
        <v>17</v>
      </c>
      <c r="H52" s="0" t="n">
        <v>13</v>
      </c>
      <c r="I52" s="0" t="n">
        <v>15</v>
      </c>
      <c r="J52" s="0" t="n">
        <v>13</v>
      </c>
      <c r="K52" s="0" t="n">
        <v>18</v>
      </c>
      <c r="L52" s="0" t="n">
        <v>16</v>
      </c>
      <c r="M52" s="0" t="n">
        <v>12</v>
      </c>
      <c r="N52" s="0" t="n">
        <v>18</v>
      </c>
      <c r="O52" s="0" t="n">
        <v>12</v>
      </c>
      <c r="P52" s="0" t="n">
        <v>19</v>
      </c>
      <c r="Q52" s="0" t="n">
        <v>15</v>
      </c>
      <c r="R52" s="0" t="n">
        <v>5</v>
      </c>
      <c r="S52" s="0" t="n">
        <v>13</v>
      </c>
      <c r="T52" s="0" t="n">
        <v>21</v>
      </c>
      <c r="U52" s="0" t="n">
        <v>12</v>
      </c>
      <c r="V52" s="0" t="n">
        <v>12</v>
      </c>
      <c r="W52" s="0" t="n">
        <v>20</v>
      </c>
      <c r="X52" s="0" t="n">
        <v>16</v>
      </c>
      <c r="Y52" s="0" t="n">
        <v>13</v>
      </c>
      <c r="Z52" s="0" t="n">
        <v>9</v>
      </c>
      <c r="AA52" s="0" t="n">
        <v>12</v>
      </c>
      <c r="AB52" s="0" t="n">
        <v>11</v>
      </c>
      <c r="AC52" s="0" t="n">
        <v>13</v>
      </c>
    </row>
    <row r="53" customFormat="false" ht="15" hidden="false" customHeight="false" outlineLevel="0" collapsed="false">
      <c r="A53" s="0" t="s">
        <v>32</v>
      </c>
      <c r="B53" s="0" t="s">
        <v>33</v>
      </c>
      <c r="C53" s="0" t="s">
        <v>35</v>
      </c>
      <c r="D53" s="0" t="n">
        <v>3</v>
      </c>
      <c r="E53" s="0" t="n">
        <v>10</v>
      </c>
      <c r="F53" s="0" t="n">
        <v>5</v>
      </c>
      <c r="G53" s="0" t="n">
        <v>15</v>
      </c>
      <c r="H53" s="0" t="s">
        <v>47</v>
      </c>
      <c r="I53" s="0" t="n">
        <v>14</v>
      </c>
      <c r="J53" s="0" t="n">
        <v>14</v>
      </c>
      <c r="K53" s="0" t="n">
        <v>12</v>
      </c>
      <c r="L53" s="0" t="n">
        <v>9</v>
      </c>
      <c r="M53" s="0" t="n">
        <v>11</v>
      </c>
      <c r="N53" s="0" t="n">
        <v>11</v>
      </c>
      <c r="O53" s="0" t="n">
        <v>16</v>
      </c>
      <c r="P53" s="0" t="n">
        <v>19</v>
      </c>
      <c r="Q53" s="0" t="n">
        <v>7</v>
      </c>
      <c r="R53" s="0" t="n">
        <v>11</v>
      </c>
      <c r="S53" s="0" t="n">
        <v>14</v>
      </c>
      <c r="T53" s="0" t="n">
        <v>20</v>
      </c>
      <c r="U53" s="0" t="n">
        <v>5</v>
      </c>
      <c r="V53" s="0" t="n">
        <v>13</v>
      </c>
      <c r="W53" s="0" t="n">
        <v>15</v>
      </c>
      <c r="X53" s="0" t="n">
        <v>10</v>
      </c>
      <c r="Y53" s="0" t="n">
        <v>16</v>
      </c>
      <c r="Z53" s="0" t="n">
        <v>14</v>
      </c>
      <c r="AA53" s="0" t="n">
        <v>15</v>
      </c>
      <c r="AB53" s="0" t="n">
        <v>14</v>
      </c>
      <c r="AC53" s="0" t="n">
        <v>8</v>
      </c>
    </row>
    <row r="54" customFormat="false" ht="15" hidden="false" customHeight="false" outlineLevel="0" collapsed="false">
      <c r="A54" s="0" t="s">
        <v>32</v>
      </c>
      <c r="B54" s="0" t="s">
        <v>37</v>
      </c>
      <c r="C54" s="0" t="s">
        <v>34</v>
      </c>
      <c r="D54" s="0" t="n">
        <v>1</v>
      </c>
      <c r="E54" s="0" t="n">
        <v>10</v>
      </c>
      <c r="F54" s="0" t="n">
        <v>10</v>
      </c>
      <c r="G54" s="0" t="n">
        <v>9</v>
      </c>
      <c r="H54" s="0" t="n">
        <v>14</v>
      </c>
      <c r="I54" s="0" t="n">
        <v>9</v>
      </c>
      <c r="J54" s="0" t="n">
        <v>17</v>
      </c>
      <c r="K54" s="0" t="n">
        <v>9</v>
      </c>
      <c r="L54" s="0" t="n">
        <v>13</v>
      </c>
      <c r="M54" s="0" t="n">
        <v>9</v>
      </c>
      <c r="N54" s="0" t="n">
        <v>7</v>
      </c>
      <c r="O54" s="0" t="n">
        <v>9</v>
      </c>
      <c r="P54" s="0" t="n">
        <v>12</v>
      </c>
      <c r="Q54" s="0" t="n">
        <v>9</v>
      </c>
      <c r="R54" s="0" t="n">
        <v>13</v>
      </c>
      <c r="S54" s="0" t="n">
        <v>11</v>
      </c>
      <c r="T54" s="0" t="n">
        <v>15</v>
      </c>
      <c r="U54" s="0" t="n">
        <v>7</v>
      </c>
      <c r="V54" s="0" t="n">
        <v>17</v>
      </c>
      <c r="W54" s="0" t="n">
        <v>11</v>
      </c>
      <c r="X54" s="0" t="n">
        <v>9</v>
      </c>
      <c r="Y54" s="0" t="n">
        <v>8</v>
      </c>
      <c r="Z54" s="0" t="n">
        <v>8</v>
      </c>
      <c r="AA54" s="0" t="n">
        <v>12</v>
      </c>
      <c r="AB54" s="0" t="n">
        <v>7</v>
      </c>
      <c r="AC54" s="0" t="n">
        <v>7</v>
      </c>
    </row>
    <row r="55" customFormat="false" ht="15" hidden="false" customHeight="false" outlineLevel="0" collapsed="false">
      <c r="A55" s="0" t="s">
        <v>32</v>
      </c>
      <c r="B55" s="0" t="s">
        <v>37</v>
      </c>
      <c r="C55" s="0" t="s">
        <v>34</v>
      </c>
      <c r="D55" s="0" t="n">
        <v>2</v>
      </c>
      <c r="E55" s="0" t="n">
        <v>11</v>
      </c>
      <c r="F55" s="0" t="n">
        <v>14</v>
      </c>
      <c r="G55" s="0" t="n">
        <v>80</v>
      </c>
      <c r="H55" s="0" t="n">
        <v>13</v>
      </c>
      <c r="I55" s="0" t="n">
        <v>11</v>
      </c>
      <c r="J55" s="0" t="n">
        <v>14</v>
      </c>
      <c r="K55" s="0" t="n">
        <v>13</v>
      </c>
      <c r="L55" s="0" t="n">
        <v>11</v>
      </c>
      <c r="M55" s="0" t="n">
        <v>16</v>
      </c>
      <c r="N55" s="0" t="n">
        <v>12</v>
      </c>
      <c r="O55" s="0" t="n">
        <v>6</v>
      </c>
      <c r="P55" s="0" t="n">
        <v>12</v>
      </c>
      <c r="Q55" s="0" t="n">
        <v>11</v>
      </c>
      <c r="R55" s="0" t="n">
        <v>18</v>
      </c>
      <c r="S55" s="0" t="n">
        <v>12</v>
      </c>
      <c r="T55" s="0" t="n">
        <v>14</v>
      </c>
      <c r="U55" s="0" t="n">
        <v>11</v>
      </c>
      <c r="V55" s="0" t="n">
        <v>16</v>
      </c>
      <c r="W55" s="0" t="n">
        <v>7</v>
      </c>
      <c r="X55" s="0" t="n">
        <v>4</v>
      </c>
      <c r="Y55" s="0" t="n">
        <v>14</v>
      </c>
      <c r="Z55" s="0" t="n">
        <v>6</v>
      </c>
      <c r="AA55" s="0" t="n">
        <v>14</v>
      </c>
      <c r="AB55" s="0" t="n">
        <v>15</v>
      </c>
      <c r="AC55" s="0" t="n">
        <v>17</v>
      </c>
    </row>
    <row r="56" customFormat="false" ht="15" hidden="false" customHeight="false" outlineLevel="0" collapsed="false">
      <c r="A56" s="0" t="s">
        <v>32</v>
      </c>
      <c r="B56" s="0" t="s">
        <v>37</v>
      </c>
      <c r="C56" s="0" t="s">
        <v>34</v>
      </c>
      <c r="D56" s="0" t="n">
        <v>3</v>
      </c>
      <c r="E56" s="0" t="n">
        <v>17</v>
      </c>
      <c r="F56" s="0" t="n">
        <v>11</v>
      </c>
      <c r="G56" s="0" t="n">
        <v>8</v>
      </c>
      <c r="H56" s="0" t="n">
        <v>11</v>
      </c>
      <c r="I56" s="0" t="n">
        <v>14</v>
      </c>
      <c r="J56" s="0" t="n">
        <v>17</v>
      </c>
      <c r="K56" s="0" t="n">
        <v>8</v>
      </c>
      <c r="L56" s="0" t="n">
        <v>13</v>
      </c>
      <c r="M56" s="0" t="n">
        <v>5</v>
      </c>
      <c r="N56" s="0" t="n">
        <v>12</v>
      </c>
      <c r="O56" s="0" t="n">
        <v>11</v>
      </c>
      <c r="P56" s="0" t="s">
        <v>36</v>
      </c>
      <c r="Q56" s="0" t="n">
        <v>13</v>
      </c>
      <c r="R56" s="0" t="n">
        <v>6</v>
      </c>
      <c r="S56" s="0" t="n">
        <v>11</v>
      </c>
      <c r="T56" s="0" t="n">
        <v>11</v>
      </c>
      <c r="U56" s="0" t="n">
        <v>16</v>
      </c>
      <c r="V56" s="0" t="n">
        <v>10</v>
      </c>
      <c r="W56" s="0" t="n">
        <v>12</v>
      </c>
      <c r="X56" s="0" t="n">
        <v>11</v>
      </c>
      <c r="Y56" s="0" t="n">
        <v>15</v>
      </c>
      <c r="Z56" s="0" t="n">
        <v>9</v>
      </c>
      <c r="AA56" s="0" t="n">
        <v>10</v>
      </c>
      <c r="AB56" s="0" t="n">
        <v>6</v>
      </c>
      <c r="AC56" s="0" t="n">
        <v>14</v>
      </c>
    </row>
    <row r="57" customFormat="false" ht="15" hidden="false" customHeight="false" outlineLevel="0" collapsed="false">
      <c r="A57" s="0" t="s">
        <v>32</v>
      </c>
      <c r="B57" s="0" t="s">
        <v>37</v>
      </c>
      <c r="C57" s="0" t="s">
        <v>35</v>
      </c>
      <c r="D57" s="0" t="n">
        <v>1</v>
      </c>
      <c r="E57" s="0" t="n">
        <v>8</v>
      </c>
      <c r="F57" s="0" t="n">
        <v>16</v>
      </c>
      <c r="G57" s="0" t="n">
        <v>12</v>
      </c>
      <c r="H57" s="0" t="n">
        <v>6</v>
      </c>
      <c r="I57" s="0" t="n">
        <v>15</v>
      </c>
      <c r="J57" s="0" t="n">
        <v>8</v>
      </c>
      <c r="K57" s="0" t="n">
        <v>9</v>
      </c>
      <c r="L57" s="0" t="n">
        <v>5</v>
      </c>
      <c r="M57" s="0" t="n">
        <v>14</v>
      </c>
      <c r="N57" s="0" t="s">
        <v>39</v>
      </c>
      <c r="O57" s="0" t="n">
        <v>7</v>
      </c>
      <c r="P57" s="0" t="n">
        <v>16</v>
      </c>
      <c r="Q57" s="0" t="n">
        <v>5</v>
      </c>
      <c r="R57" s="0" t="n">
        <v>12</v>
      </c>
      <c r="S57" s="0" t="n">
        <v>10</v>
      </c>
      <c r="T57" s="0" t="n">
        <v>9</v>
      </c>
      <c r="U57" s="0" t="n">
        <v>17</v>
      </c>
      <c r="V57" s="0" t="n">
        <v>9</v>
      </c>
      <c r="W57" s="0" t="n">
        <v>10</v>
      </c>
      <c r="X57" s="0" t="s">
        <v>48</v>
      </c>
      <c r="Y57" s="0" t="n">
        <v>8</v>
      </c>
      <c r="Z57" s="0" t="n">
        <v>14</v>
      </c>
      <c r="AA57" s="0" t="n">
        <v>9</v>
      </c>
      <c r="AB57" s="0" t="n">
        <v>9</v>
      </c>
      <c r="AC57" s="0" t="n">
        <v>13</v>
      </c>
    </row>
    <row r="58" customFormat="false" ht="15" hidden="false" customHeight="false" outlineLevel="0" collapsed="false">
      <c r="A58" s="0" t="s">
        <v>32</v>
      </c>
      <c r="B58" s="0" t="s">
        <v>37</v>
      </c>
      <c r="C58" s="0" t="s">
        <v>35</v>
      </c>
      <c r="D58" s="0" t="n">
        <v>2</v>
      </c>
      <c r="E58" s="0" t="n">
        <v>9</v>
      </c>
      <c r="F58" s="0" t="n">
        <v>10</v>
      </c>
      <c r="G58" s="0" t="n">
        <v>12</v>
      </c>
      <c r="H58" s="0" t="n">
        <v>110</v>
      </c>
      <c r="I58" s="0" t="n">
        <v>7</v>
      </c>
      <c r="J58" s="0" t="s">
        <v>36</v>
      </c>
      <c r="K58" s="0" t="n">
        <v>12</v>
      </c>
      <c r="L58" s="0" t="n">
        <v>13</v>
      </c>
      <c r="M58" s="0" t="n">
        <v>120</v>
      </c>
      <c r="N58" s="0" t="n">
        <v>14</v>
      </c>
      <c r="O58" s="0" t="n">
        <v>10</v>
      </c>
      <c r="P58" s="0" t="n">
        <v>10</v>
      </c>
      <c r="Q58" s="0" t="n">
        <v>12</v>
      </c>
      <c r="R58" s="0" t="n">
        <v>10</v>
      </c>
      <c r="S58" s="0" t="n">
        <v>8</v>
      </c>
      <c r="T58" s="0" t="n">
        <v>10</v>
      </c>
      <c r="U58" s="0" t="n">
        <v>6</v>
      </c>
      <c r="V58" s="0" t="n">
        <v>10</v>
      </c>
      <c r="W58" s="0" t="n">
        <v>13</v>
      </c>
      <c r="X58" s="0" t="n">
        <v>12</v>
      </c>
      <c r="Y58" s="0" t="n">
        <v>9</v>
      </c>
      <c r="Z58" s="0" t="n">
        <v>12</v>
      </c>
      <c r="AA58" s="0" t="n">
        <v>14</v>
      </c>
      <c r="AB58" s="0" t="n">
        <v>14</v>
      </c>
      <c r="AC58" s="0" t="n">
        <v>11</v>
      </c>
    </row>
    <row r="59" customFormat="false" ht="15" hidden="false" customHeight="false" outlineLevel="0" collapsed="false">
      <c r="A59" s="0" t="s">
        <v>32</v>
      </c>
      <c r="B59" s="0" t="s">
        <v>37</v>
      </c>
      <c r="C59" s="0" t="s">
        <v>35</v>
      </c>
      <c r="D59" s="0" t="n">
        <v>3</v>
      </c>
      <c r="E59" s="0" t="n">
        <v>13</v>
      </c>
      <c r="F59" s="0" t="n">
        <v>12</v>
      </c>
      <c r="G59" s="0" t="n">
        <v>13</v>
      </c>
      <c r="H59" s="0" t="n">
        <v>6</v>
      </c>
      <c r="I59" s="0" t="n">
        <v>8</v>
      </c>
      <c r="J59" s="0" t="n">
        <v>10</v>
      </c>
      <c r="K59" s="0" t="n">
        <v>13</v>
      </c>
      <c r="L59" s="0" t="n">
        <v>11</v>
      </c>
      <c r="M59" s="0" t="n">
        <v>11</v>
      </c>
      <c r="N59" s="0" t="n">
        <v>11</v>
      </c>
      <c r="O59" s="0" t="n">
        <v>13</v>
      </c>
      <c r="P59" s="0" t="n">
        <v>11</v>
      </c>
      <c r="Q59" s="0" t="n">
        <v>11</v>
      </c>
      <c r="R59" s="0" t="n">
        <v>14</v>
      </c>
      <c r="S59" s="0" t="n">
        <v>11</v>
      </c>
      <c r="T59" s="0" t="n">
        <v>14</v>
      </c>
      <c r="U59" s="0" t="n">
        <v>12</v>
      </c>
      <c r="V59" s="0" t="n">
        <v>7</v>
      </c>
      <c r="W59" s="0" t="n">
        <v>9</v>
      </c>
      <c r="X59" s="0" t="n">
        <v>8</v>
      </c>
      <c r="Y59" s="0" t="n">
        <v>10</v>
      </c>
      <c r="Z59" s="0" t="n">
        <v>14</v>
      </c>
      <c r="AA59" s="0" t="n">
        <v>10</v>
      </c>
      <c r="AB59" s="0" t="n">
        <v>8</v>
      </c>
      <c r="AC59" s="0" t="n">
        <v>13</v>
      </c>
    </row>
    <row r="60" customFormat="false" ht="15" hidden="false" customHeight="false" outlineLevel="0" collapsed="false">
      <c r="A60" s="0" t="s">
        <v>32</v>
      </c>
      <c r="B60" s="0" t="s">
        <v>38</v>
      </c>
      <c r="C60" s="0" t="s">
        <v>34</v>
      </c>
      <c r="D60" s="0" t="n">
        <v>1</v>
      </c>
      <c r="E60" s="0" t="n">
        <v>5</v>
      </c>
      <c r="F60" s="0" t="n">
        <v>7</v>
      </c>
      <c r="G60" s="0" t="n">
        <v>4</v>
      </c>
      <c r="H60" s="0" t="n">
        <v>9</v>
      </c>
      <c r="I60" s="0" t="n">
        <v>6</v>
      </c>
      <c r="J60" s="0" t="n">
        <v>5</v>
      </c>
      <c r="K60" s="0" t="n">
        <v>7</v>
      </c>
      <c r="L60" s="0" t="n">
        <v>7</v>
      </c>
      <c r="M60" s="0" t="n">
        <v>3</v>
      </c>
      <c r="N60" s="0" t="n">
        <v>8</v>
      </c>
      <c r="O60" s="0" t="n">
        <v>3</v>
      </c>
      <c r="P60" s="0" t="n">
        <v>1</v>
      </c>
      <c r="Q60" s="0" t="n">
        <v>4</v>
      </c>
      <c r="R60" s="0" t="n">
        <v>8</v>
      </c>
      <c r="S60" s="0" t="n">
        <v>5</v>
      </c>
      <c r="T60" s="0" t="n">
        <v>8</v>
      </c>
      <c r="U60" s="0" t="n">
        <v>7</v>
      </c>
      <c r="V60" s="0" t="n">
        <v>7</v>
      </c>
      <c r="W60" s="0" t="n">
        <v>9</v>
      </c>
      <c r="X60" s="0" t="n">
        <v>11</v>
      </c>
      <c r="Y60" s="0" t="n">
        <v>4</v>
      </c>
      <c r="Z60" s="0" t="n">
        <v>4</v>
      </c>
      <c r="AA60" s="0" t="n">
        <v>4</v>
      </c>
      <c r="AB60" s="0" t="n">
        <v>10</v>
      </c>
      <c r="AC60" s="0" t="n">
        <v>4</v>
      </c>
    </row>
    <row r="61" customFormat="false" ht="15" hidden="false" customHeight="false" outlineLevel="0" collapsed="false">
      <c r="A61" s="0" t="s">
        <v>32</v>
      </c>
      <c r="B61" s="0" t="s">
        <v>38</v>
      </c>
      <c r="C61" s="0" t="s">
        <v>34</v>
      </c>
      <c r="D61" s="0" t="n">
        <v>2</v>
      </c>
      <c r="E61" s="0" t="n">
        <v>4</v>
      </c>
      <c r="F61" s="0" t="n">
        <v>6</v>
      </c>
      <c r="G61" s="0" t="n">
        <v>6</v>
      </c>
      <c r="H61" s="0" t="n">
        <v>9</v>
      </c>
      <c r="I61" s="0" t="n">
        <v>6</v>
      </c>
      <c r="J61" s="0" t="n">
        <v>5</v>
      </c>
      <c r="K61" s="0" t="n">
        <v>3</v>
      </c>
      <c r="L61" s="0" t="n">
        <v>7</v>
      </c>
      <c r="M61" s="0" t="n">
        <v>7</v>
      </c>
      <c r="N61" s="0" t="n">
        <v>8</v>
      </c>
      <c r="O61" s="0" t="n">
        <v>7</v>
      </c>
      <c r="P61" s="0" t="n">
        <v>5</v>
      </c>
      <c r="Q61" s="0" t="n">
        <v>4</v>
      </c>
      <c r="R61" s="0" t="n">
        <v>7</v>
      </c>
      <c r="S61" s="0" t="n">
        <v>4</v>
      </c>
      <c r="T61" s="0" t="n">
        <v>7</v>
      </c>
      <c r="U61" s="0" t="n">
        <v>5</v>
      </c>
      <c r="V61" s="0" t="n">
        <v>6</v>
      </c>
      <c r="W61" s="0" t="n">
        <v>6</v>
      </c>
      <c r="X61" s="0" t="n">
        <v>3</v>
      </c>
      <c r="Y61" s="0" t="n">
        <v>7</v>
      </c>
      <c r="Z61" s="0" t="n">
        <v>4</v>
      </c>
      <c r="AA61" s="0" t="n">
        <v>4</v>
      </c>
      <c r="AB61" s="0" t="n">
        <v>7</v>
      </c>
      <c r="AC61" s="0" t="n">
        <v>3</v>
      </c>
    </row>
    <row r="62" customFormat="false" ht="15" hidden="false" customHeight="false" outlineLevel="0" collapsed="false">
      <c r="A62" s="0" t="s">
        <v>32</v>
      </c>
      <c r="B62" s="0" t="s">
        <v>38</v>
      </c>
      <c r="C62" s="0" t="s">
        <v>34</v>
      </c>
      <c r="D62" s="0" t="n">
        <v>3</v>
      </c>
      <c r="E62" s="0" t="n">
        <v>11</v>
      </c>
      <c r="F62" s="0" t="n">
        <v>5</v>
      </c>
      <c r="G62" s="0" t="n">
        <v>7</v>
      </c>
      <c r="H62" s="0" t="n">
        <v>3</v>
      </c>
      <c r="I62" s="0" t="n">
        <v>3</v>
      </c>
      <c r="J62" s="0" t="n">
        <v>7</v>
      </c>
      <c r="K62" s="0" t="n">
        <v>8</v>
      </c>
      <c r="L62" s="0" t="n">
        <v>4</v>
      </c>
      <c r="M62" s="0" t="n">
        <v>5</v>
      </c>
      <c r="N62" s="0" t="n">
        <v>5</v>
      </c>
      <c r="O62" s="0" t="n">
        <v>7</v>
      </c>
      <c r="P62" s="0" t="n">
        <v>3</v>
      </c>
      <c r="Q62" s="0" t="n">
        <v>6</v>
      </c>
      <c r="R62" s="0" t="n">
        <v>7</v>
      </c>
      <c r="S62" s="0" t="n">
        <v>5</v>
      </c>
      <c r="T62" s="0" t="n">
        <v>8</v>
      </c>
      <c r="U62" s="0" t="n">
        <v>5</v>
      </c>
      <c r="V62" s="0" t="n">
        <v>5</v>
      </c>
      <c r="W62" s="0" t="n">
        <v>4</v>
      </c>
      <c r="X62" s="0" t="n">
        <v>7</v>
      </c>
      <c r="Y62" s="0" t="n">
        <v>8</v>
      </c>
      <c r="Z62" s="0" t="n">
        <v>6</v>
      </c>
      <c r="AA62" s="0" t="n">
        <v>8</v>
      </c>
      <c r="AB62" s="0" t="n">
        <v>5</v>
      </c>
      <c r="AC62" s="0" t="n">
        <v>11</v>
      </c>
    </row>
    <row r="63" customFormat="false" ht="15" hidden="false" customHeight="false" outlineLevel="0" collapsed="false">
      <c r="A63" s="0" t="s">
        <v>32</v>
      </c>
      <c r="B63" s="0" t="s">
        <v>38</v>
      </c>
      <c r="C63" s="0" t="s">
        <v>35</v>
      </c>
      <c r="D63" s="0" t="n">
        <v>1</v>
      </c>
      <c r="E63" s="0" t="n">
        <v>9</v>
      </c>
      <c r="F63" s="0" t="n">
        <v>1</v>
      </c>
      <c r="G63" s="0" t="n">
        <v>6</v>
      </c>
      <c r="H63" s="0" t="n">
        <v>5</v>
      </c>
      <c r="I63" s="0" t="n">
        <v>4</v>
      </c>
      <c r="J63" s="0" t="n">
        <v>5</v>
      </c>
      <c r="K63" s="0" t="n">
        <v>6</v>
      </c>
      <c r="L63" s="0" t="n">
        <v>3</v>
      </c>
      <c r="M63" s="0" t="n">
        <v>6</v>
      </c>
      <c r="N63" s="0" t="n">
        <v>3</v>
      </c>
      <c r="O63" s="0" t="n">
        <v>6</v>
      </c>
      <c r="P63" s="0" t="n">
        <v>4</v>
      </c>
      <c r="Q63" s="0" t="n">
        <v>1</v>
      </c>
      <c r="R63" s="0" t="n">
        <v>3</v>
      </c>
      <c r="S63" s="0" t="n">
        <v>10</v>
      </c>
      <c r="T63" s="0" t="n">
        <v>5</v>
      </c>
      <c r="U63" s="0" t="n">
        <v>5</v>
      </c>
      <c r="V63" s="0" t="n">
        <v>5</v>
      </c>
      <c r="W63" s="0" t="n">
        <v>9</v>
      </c>
      <c r="X63" s="0" t="n">
        <v>8</v>
      </c>
      <c r="Y63" s="0" t="n">
        <v>3</v>
      </c>
      <c r="Z63" s="0" t="n">
        <v>8</v>
      </c>
      <c r="AA63" s="0" t="n">
        <v>10</v>
      </c>
      <c r="AB63" s="0" t="n">
        <v>5</v>
      </c>
      <c r="AC63" s="0" t="n">
        <v>6</v>
      </c>
    </row>
    <row r="64" customFormat="false" ht="15" hidden="false" customHeight="false" outlineLevel="0" collapsed="false">
      <c r="A64" s="0" t="s">
        <v>32</v>
      </c>
      <c r="B64" s="0" t="s">
        <v>38</v>
      </c>
      <c r="C64" s="0" t="s">
        <v>35</v>
      </c>
      <c r="D64" s="0" t="n">
        <v>2</v>
      </c>
      <c r="E64" s="0" t="n">
        <v>3</v>
      </c>
      <c r="F64" s="0" t="n">
        <v>8</v>
      </c>
      <c r="G64" s="0" t="n">
        <v>4</v>
      </c>
      <c r="H64" s="0" t="n">
        <v>6</v>
      </c>
      <c r="I64" s="0" t="n">
        <v>5</v>
      </c>
      <c r="J64" s="0" t="n">
        <v>5</v>
      </c>
      <c r="K64" s="0" t="n">
        <v>3</v>
      </c>
      <c r="L64" s="0" t="n">
        <v>4</v>
      </c>
      <c r="M64" s="0" t="n">
        <v>4</v>
      </c>
      <c r="N64" s="0" t="n">
        <v>4</v>
      </c>
      <c r="O64" s="0" t="n">
        <v>5</v>
      </c>
      <c r="P64" s="0" t="n">
        <v>5</v>
      </c>
      <c r="Q64" s="0" t="s">
        <v>36</v>
      </c>
      <c r="R64" s="0" t="n">
        <v>9</v>
      </c>
      <c r="S64" s="0" t="n">
        <v>3</v>
      </c>
      <c r="T64" s="0" t="n">
        <v>10</v>
      </c>
      <c r="U64" s="0" t="n">
        <v>6</v>
      </c>
      <c r="V64" s="0" t="n">
        <v>4</v>
      </c>
      <c r="W64" s="0" t="n">
        <v>4</v>
      </c>
      <c r="X64" s="0" t="n">
        <v>2</v>
      </c>
      <c r="Y64" s="0" t="n">
        <v>3</v>
      </c>
      <c r="Z64" s="0" t="n">
        <v>1</v>
      </c>
      <c r="AA64" s="0" t="n">
        <v>7</v>
      </c>
      <c r="AB64" s="0" t="n">
        <v>3</v>
      </c>
      <c r="AC64" s="0" t="n">
        <v>8</v>
      </c>
    </row>
    <row r="65" customFormat="false" ht="15" hidden="false" customHeight="false" outlineLevel="0" collapsed="false">
      <c r="A65" s="0" t="s">
        <v>32</v>
      </c>
      <c r="B65" s="0" t="s">
        <v>38</v>
      </c>
      <c r="C65" s="0" t="s">
        <v>35</v>
      </c>
      <c r="D65" s="0" t="n">
        <v>3</v>
      </c>
      <c r="E65" s="0" t="n">
        <v>5</v>
      </c>
      <c r="F65" s="0" t="n">
        <v>8</v>
      </c>
      <c r="G65" s="0" t="n">
        <v>7</v>
      </c>
      <c r="H65" s="0" t="n">
        <v>6</v>
      </c>
      <c r="I65" s="0" t="n">
        <v>4</v>
      </c>
      <c r="J65" s="0" t="n">
        <v>12</v>
      </c>
      <c r="K65" s="0" t="n">
        <v>10</v>
      </c>
      <c r="L65" s="0" t="n">
        <v>5</v>
      </c>
      <c r="M65" s="0" t="n">
        <v>7</v>
      </c>
      <c r="N65" s="0" t="n">
        <v>5</v>
      </c>
      <c r="O65" s="0" t="n">
        <v>6</v>
      </c>
      <c r="P65" s="0" t="n">
        <v>4</v>
      </c>
      <c r="Q65" s="0" t="n">
        <v>12</v>
      </c>
      <c r="R65" s="0" t="n">
        <v>2</v>
      </c>
      <c r="S65" s="0" t="n">
        <v>5</v>
      </c>
      <c r="T65" s="0" t="n">
        <v>9</v>
      </c>
      <c r="U65" s="0" t="n">
        <v>3</v>
      </c>
      <c r="V65" s="0" t="n">
        <v>7</v>
      </c>
      <c r="W65" s="0" t="n">
        <v>3</v>
      </c>
      <c r="X65" s="0" t="n">
        <v>7</v>
      </c>
      <c r="Y65" s="0" t="n">
        <v>6</v>
      </c>
      <c r="Z65" s="0" t="n">
        <v>8</v>
      </c>
      <c r="AA65" s="0" t="n">
        <v>6</v>
      </c>
      <c r="AB65" s="0" t="n">
        <v>5</v>
      </c>
      <c r="AC65" s="0" t="n">
        <v>6</v>
      </c>
    </row>
    <row r="66" customFormat="false" ht="15" hidden="false" customHeight="false" outlineLevel="0" collapsed="false">
      <c r="A66" s="0" t="s">
        <v>41</v>
      </c>
      <c r="B66" s="0" t="s">
        <v>33</v>
      </c>
      <c r="C66" s="0" t="s">
        <v>34</v>
      </c>
      <c r="D66" s="0" t="n">
        <v>1</v>
      </c>
      <c r="E66" s="0" t="n">
        <v>22</v>
      </c>
      <c r="F66" s="0" t="n">
        <v>18</v>
      </c>
      <c r="G66" s="0" t="n">
        <v>24</v>
      </c>
      <c r="H66" s="0" t="n">
        <v>21</v>
      </c>
      <c r="I66" s="0" t="n">
        <v>14</v>
      </c>
      <c r="J66" s="0" t="n">
        <v>20</v>
      </c>
      <c r="K66" s="0" t="n">
        <v>25</v>
      </c>
      <c r="L66" s="0" t="n">
        <v>18</v>
      </c>
      <c r="M66" s="0" t="n">
        <v>17</v>
      </c>
      <c r="N66" s="0" t="n">
        <v>16</v>
      </c>
      <c r="O66" s="0" t="n">
        <v>17</v>
      </c>
      <c r="P66" s="0" t="n">
        <v>16</v>
      </c>
      <c r="Q66" s="0" t="n">
        <v>22</v>
      </c>
      <c r="R66" s="0" t="n">
        <v>7</v>
      </c>
      <c r="S66" s="0" t="n">
        <v>16</v>
      </c>
      <c r="T66" s="0" t="n">
        <v>13</v>
      </c>
      <c r="U66" s="0" t="n">
        <v>14</v>
      </c>
      <c r="V66" s="0" t="n">
        <v>23</v>
      </c>
      <c r="W66" s="0" t="n">
        <v>24</v>
      </c>
      <c r="X66" s="0" t="n">
        <v>25</v>
      </c>
      <c r="Y66" s="0" t="n">
        <v>12</v>
      </c>
      <c r="Z66" s="0" t="n">
        <v>25</v>
      </c>
      <c r="AA66" s="0" t="n">
        <v>17</v>
      </c>
      <c r="AB66" s="0" t="n">
        <v>18</v>
      </c>
      <c r="AC66" s="0" t="n">
        <v>24</v>
      </c>
    </row>
    <row r="67" customFormat="false" ht="15" hidden="false" customHeight="false" outlineLevel="0" collapsed="false">
      <c r="A67" s="0" t="s">
        <v>41</v>
      </c>
      <c r="B67" s="0" t="s">
        <v>33</v>
      </c>
      <c r="C67" s="0" t="s">
        <v>34</v>
      </c>
      <c r="D67" s="0" t="n">
        <v>2</v>
      </c>
      <c r="E67" s="0" t="n">
        <v>14</v>
      </c>
      <c r="F67" s="0" t="n">
        <v>18</v>
      </c>
      <c r="G67" s="0" t="n">
        <v>26</v>
      </c>
      <c r="H67" s="0" t="n">
        <v>20</v>
      </c>
      <c r="I67" s="0" t="n">
        <v>16</v>
      </c>
      <c r="J67" s="0" t="n">
        <v>30</v>
      </c>
      <c r="K67" s="0" t="n">
        <v>17</v>
      </c>
      <c r="L67" s="0" t="n">
        <v>23</v>
      </c>
      <c r="M67" s="0" t="n">
        <v>24</v>
      </c>
      <c r="N67" s="0" t="n">
        <v>16</v>
      </c>
      <c r="O67" s="0" t="n">
        <v>29</v>
      </c>
      <c r="P67" s="0" t="n">
        <v>12</v>
      </c>
      <c r="Q67" s="0" t="n">
        <v>25</v>
      </c>
      <c r="R67" s="0" t="n">
        <v>19</v>
      </c>
      <c r="S67" s="0" t="n">
        <v>28</v>
      </c>
      <c r="T67" s="0" t="n">
        <v>14</v>
      </c>
      <c r="U67" s="0" t="n">
        <v>12</v>
      </c>
      <c r="V67" s="0" t="n">
        <v>25</v>
      </c>
      <c r="W67" s="0" t="n">
        <v>22</v>
      </c>
      <c r="X67" s="0" t="n">
        <v>24</v>
      </c>
      <c r="Y67" s="0" t="n">
        <v>20</v>
      </c>
      <c r="Z67" s="0" t="n">
        <v>11</v>
      </c>
      <c r="AA67" s="0" t="n">
        <v>11</v>
      </c>
      <c r="AB67" s="0" t="n">
        <v>18</v>
      </c>
      <c r="AC67" s="0" t="n">
        <v>20</v>
      </c>
    </row>
    <row r="68" customFormat="false" ht="15" hidden="false" customHeight="false" outlineLevel="0" collapsed="false">
      <c r="A68" s="0" t="s">
        <v>41</v>
      </c>
      <c r="B68" s="0" t="s">
        <v>33</v>
      </c>
      <c r="C68" s="0" t="s">
        <v>34</v>
      </c>
      <c r="D68" s="0" t="n">
        <v>3</v>
      </c>
      <c r="E68" s="0" t="n">
        <v>22</v>
      </c>
      <c r="F68" s="0" t="n">
        <v>19</v>
      </c>
      <c r="G68" s="0" t="n">
        <v>18</v>
      </c>
      <c r="H68" s="0" t="n">
        <v>11</v>
      </c>
      <c r="I68" s="0" t="n">
        <v>24</v>
      </c>
      <c r="J68" s="0" t="s">
        <v>39</v>
      </c>
      <c r="K68" s="0" t="n">
        <v>22</v>
      </c>
      <c r="L68" s="0" t="n">
        <v>23</v>
      </c>
      <c r="M68" s="0" t="n">
        <v>16</v>
      </c>
      <c r="N68" s="0" t="n">
        <v>16</v>
      </c>
      <c r="O68" s="0" t="n">
        <v>21</v>
      </c>
      <c r="P68" s="0" t="n">
        <v>12</v>
      </c>
      <c r="Q68" s="0" t="n">
        <v>21</v>
      </c>
      <c r="R68" s="0" t="n">
        <v>21</v>
      </c>
      <c r="S68" s="0" t="n">
        <v>24</v>
      </c>
      <c r="T68" s="0" t="n">
        <v>23</v>
      </c>
      <c r="U68" s="0" t="n">
        <v>19</v>
      </c>
      <c r="V68" s="0" t="n">
        <v>8</v>
      </c>
      <c r="W68" s="0" t="n">
        <v>24</v>
      </c>
      <c r="X68" s="0" t="n">
        <v>15</v>
      </c>
      <c r="Y68" s="0" t="n">
        <v>21</v>
      </c>
      <c r="Z68" s="0" t="n">
        <v>19</v>
      </c>
      <c r="AA68" s="0" t="n">
        <v>24</v>
      </c>
      <c r="AB68" s="0" t="n">
        <v>19</v>
      </c>
      <c r="AC68" s="0" t="n">
        <v>28</v>
      </c>
    </row>
    <row r="69" customFormat="false" ht="15" hidden="false" customHeight="false" outlineLevel="0" collapsed="false">
      <c r="A69" s="0" t="s">
        <v>41</v>
      </c>
      <c r="B69" s="0" t="s">
        <v>33</v>
      </c>
      <c r="C69" s="0" t="s">
        <v>35</v>
      </c>
      <c r="D69" s="0" t="n">
        <v>1</v>
      </c>
      <c r="E69" s="0" t="n">
        <v>12</v>
      </c>
      <c r="F69" s="0" t="n">
        <v>17</v>
      </c>
      <c r="G69" s="0" t="n">
        <v>12</v>
      </c>
      <c r="H69" s="0" t="n">
        <v>30</v>
      </c>
      <c r="I69" s="0" t="n">
        <v>19</v>
      </c>
      <c r="J69" s="0" t="n">
        <v>14</v>
      </c>
      <c r="K69" s="0" t="n">
        <v>20</v>
      </c>
      <c r="L69" s="0" t="s">
        <v>36</v>
      </c>
      <c r="M69" s="0" t="n">
        <v>14</v>
      </c>
      <c r="N69" s="0" t="n">
        <v>22</v>
      </c>
      <c r="O69" s="0" t="n">
        <v>22</v>
      </c>
      <c r="P69" s="0" t="n">
        <v>22</v>
      </c>
      <c r="Q69" s="0" t="s">
        <v>49</v>
      </c>
      <c r="R69" s="0" t="n">
        <v>21</v>
      </c>
      <c r="S69" s="0" t="n">
        <v>21</v>
      </c>
      <c r="T69" s="0" t="n">
        <v>15</v>
      </c>
      <c r="U69" s="0" t="n">
        <v>17</v>
      </c>
      <c r="V69" s="0" t="n">
        <v>13</v>
      </c>
      <c r="W69" s="0" t="n">
        <v>6</v>
      </c>
      <c r="X69" s="0" t="n">
        <v>17</v>
      </c>
      <c r="Y69" s="0" t="n">
        <v>12</v>
      </c>
      <c r="Z69" s="0" t="n">
        <v>18</v>
      </c>
      <c r="AA69" s="0" t="n">
        <v>22</v>
      </c>
      <c r="AB69" s="0" t="n">
        <v>16</v>
      </c>
      <c r="AC69" s="0" t="n">
        <v>19</v>
      </c>
    </row>
    <row r="70" customFormat="false" ht="15" hidden="false" customHeight="false" outlineLevel="0" collapsed="false">
      <c r="A70" s="0" t="s">
        <v>41</v>
      </c>
      <c r="B70" s="0" t="s">
        <v>33</v>
      </c>
      <c r="C70" s="0" t="s">
        <v>35</v>
      </c>
      <c r="D70" s="0" t="n">
        <v>2</v>
      </c>
      <c r="E70" s="0" t="n">
        <v>16</v>
      </c>
      <c r="F70" s="0" t="n">
        <v>19</v>
      </c>
      <c r="G70" s="0" t="s">
        <v>46</v>
      </c>
      <c r="H70" s="0" t="n">
        <v>27</v>
      </c>
      <c r="I70" s="0" t="n">
        <v>11</v>
      </c>
      <c r="J70" s="0" t="n">
        <v>17</v>
      </c>
      <c r="K70" s="0" t="n">
        <v>23</v>
      </c>
      <c r="L70" s="0" t="n">
        <v>25</v>
      </c>
      <c r="M70" s="0" t="n">
        <v>17</v>
      </c>
      <c r="N70" s="0" t="n">
        <v>26</v>
      </c>
      <c r="O70" s="0" t="n">
        <v>17</v>
      </c>
      <c r="P70" s="0" t="n">
        <v>14</v>
      </c>
      <c r="Q70" s="0" t="n">
        <v>25</v>
      </c>
      <c r="R70" s="0" t="n">
        <v>16</v>
      </c>
      <c r="S70" s="0" t="n">
        <v>25</v>
      </c>
      <c r="T70" s="0" t="n">
        <v>16</v>
      </c>
      <c r="U70" s="0" t="n">
        <v>17</v>
      </c>
      <c r="V70" s="0" t="n">
        <v>24</v>
      </c>
      <c r="W70" s="0" t="n">
        <v>16</v>
      </c>
      <c r="X70" s="0" t="n">
        <v>23</v>
      </c>
      <c r="Y70" s="0" t="n">
        <v>16</v>
      </c>
      <c r="Z70" s="0" t="n">
        <v>22</v>
      </c>
      <c r="AA70" s="0" t="n">
        <v>12</v>
      </c>
      <c r="AB70" s="0" t="n">
        <v>27</v>
      </c>
      <c r="AC70" s="0" t="n">
        <v>20</v>
      </c>
    </row>
    <row r="71" customFormat="false" ht="15" hidden="false" customHeight="false" outlineLevel="0" collapsed="false">
      <c r="A71" s="0" t="s">
        <v>41</v>
      </c>
      <c r="B71" s="0" t="s">
        <v>33</v>
      </c>
      <c r="C71" s="0" t="s">
        <v>35</v>
      </c>
      <c r="D71" s="0" t="n">
        <v>3</v>
      </c>
      <c r="E71" s="0" t="n">
        <v>17</v>
      </c>
      <c r="F71" s="0" t="n">
        <v>20</v>
      </c>
      <c r="G71" s="0" t="n">
        <v>21</v>
      </c>
      <c r="H71" s="0" t="n">
        <v>28</v>
      </c>
      <c r="I71" s="0" t="n">
        <v>16</v>
      </c>
      <c r="J71" s="0" t="n">
        <v>23</v>
      </c>
      <c r="K71" s="0" t="n">
        <v>20</v>
      </c>
      <c r="L71" s="0" t="n">
        <v>19</v>
      </c>
      <c r="M71" s="0" t="n">
        <v>25</v>
      </c>
      <c r="N71" s="0" t="n">
        <v>20</v>
      </c>
      <c r="O71" s="0" t="n">
        <v>26</v>
      </c>
      <c r="P71" s="0" t="n">
        <v>15</v>
      </c>
      <c r="Q71" s="0" t="n">
        <v>27</v>
      </c>
      <c r="R71" s="0" t="n">
        <v>18</v>
      </c>
      <c r="S71" s="0" t="n">
        <v>27</v>
      </c>
      <c r="T71" s="0" t="n">
        <v>22</v>
      </c>
      <c r="U71" s="0" t="n">
        <v>15</v>
      </c>
      <c r="V71" s="0" t="n">
        <v>13</v>
      </c>
      <c r="W71" s="0" t="n">
        <v>22</v>
      </c>
      <c r="X71" s="0" t="n">
        <v>14</v>
      </c>
      <c r="Y71" s="0" t="n">
        <v>17</v>
      </c>
      <c r="Z71" s="0" t="n">
        <v>14</v>
      </c>
      <c r="AA71" s="0" t="n">
        <v>17</v>
      </c>
      <c r="AB71" s="0" t="n">
        <v>11</v>
      </c>
      <c r="AC71" s="0" t="n">
        <v>26</v>
      </c>
    </row>
    <row r="72" customFormat="false" ht="15" hidden="false" customHeight="false" outlineLevel="0" collapsed="false">
      <c r="A72" s="0" t="s">
        <v>41</v>
      </c>
      <c r="B72" s="0" t="s">
        <v>37</v>
      </c>
      <c r="C72" s="0" t="s">
        <v>34</v>
      </c>
      <c r="D72" s="0" t="n">
        <v>1</v>
      </c>
      <c r="E72" s="0" t="n">
        <v>150</v>
      </c>
      <c r="F72" s="0" t="n">
        <v>14</v>
      </c>
      <c r="G72" s="0" t="n">
        <v>16</v>
      </c>
      <c r="H72" s="0" t="n">
        <v>15</v>
      </c>
      <c r="I72" s="0" t="n">
        <v>20</v>
      </c>
      <c r="J72" s="0" t="n">
        <v>17</v>
      </c>
      <c r="K72" s="0" t="n">
        <v>14</v>
      </c>
      <c r="L72" s="0" t="n">
        <v>12</v>
      </c>
      <c r="M72" s="0" t="n">
        <v>19</v>
      </c>
      <c r="N72" s="0" t="n">
        <v>16</v>
      </c>
      <c r="O72" s="0" t="n">
        <v>15</v>
      </c>
      <c r="P72" s="0" t="n">
        <v>10</v>
      </c>
      <c r="Q72" s="0" t="n">
        <v>13</v>
      </c>
      <c r="R72" s="0" t="n">
        <v>20</v>
      </c>
      <c r="S72" s="0" t="n">
        <v>22</v>
      </c>
      <c r="T72" s="0" t="n">
        <v>20</v>
      </c>
      <c r="U72" s="0" t="n">
        <v>17</v>
      </c>
      <c r="V72" s="0" t="n">
        <v>16</v>
      </c>
      <c r="W72" s="0" t="n">
        <v>15</v>
      </c>
      <c r="X72" s="0" t="n">
        <v>16</v>
      </c>
      <c r="Y72" s="0" t="n">
        <v>17</v>
      </c>
      <c r="Z72" s="0" t="s">
        <v>46</v>
      </c>
      <c r="AA72" s="0" t="n">
        <v>18</v>
      </c>
      <c r="AB72" s="0" t="n">
        <v>15</v>
      </c>
      <c r="AC72" s="0" t="n">
        <v>90</v>
      </c>
    </row>
    <row r="73" customFormat="false" ht="15" hidden="false" customHeight="false" outlineLevel="0" collapsed="false">
      <c r="A73" s="0" t="s">
        <v>41</v>
      </c>
      <c r="B73" s="0" t="s">
        <v>37</v>
      </c>
      <c r="C73" s="0" t="s">
        <v>34</v>
      </c>
      <c r="D73" s="0" t="n">
        <v>2</v>
      </c>
      <c r="E73" s="0" t="n">
        <v>11</v>
      </c>
      <c r="F73" s="0" t="n">
        <v>11</v>
      </c>
      <c r="G73" s="0" t="n">
        <v>21</v>
      </c>
      <c r="H73" s="0" t="n">
        <v>10</v>
      </c>
      <c r="I73" s="0" t="n">
        <v>17</v>
      </c>
      <c r="J73" s="0" t="n">
        <v>24</v>
      </c>
      <c r="K73" s="0" t="n">
        <v>13</v>
      </c>
      <c r="L73" s="0" t="n">
        <v>10</v>
      </c>
      <c r="M73" s="0" t="n">
        <v>9</v>
      </c>
      <c r="N73" s="0" t="n">
        <v>20</v>
      </c>
      <c r="O73" s="0" t="n">
        <v>16</v>
      </c>
      <c r="P73" s="0" t="n">
        <v>12</v>
      </c>
      <c r="Q73" s="0" t="n">
        <v>18</v>
      </c>
      <c r="R73" s="0" t="n">
        <v>13</v>
      </c>
      <c r="S73" s="0" t="n">
        <v>18</v>
      </c>
      <c r="T73" s="0" t="n">
        <v>13</v>
      </c>
      <c r="U73" s="0" t="n">
        <v>16</v>
      </c>
      <c r="V73" s="0" t="n">
        <v>18</v>
      </c>
      <c r="W73" s="0" t="n">
        <v>20</v>
      </c>
      <c r="X73" s="0" t="n">
        <v>11</v>
      </c>
      <c r="Y73" s="0" t="n">
        <v>21</v>
      </c>
      <c r="Z73" s="0" t="n">
        <v>19</v>
      </c>
      <c r="AA73" s="0" t="n">
        <v>17</v>
      </c>
      <c r="AB73" s="0" t="n">
        <v>11</v>
      </c>
      <c r="AC73" s="0" t="n">
        <v>16</v>
      </c>
    </row>
    <row r="74" customFormat="false" ht="15" hidden="false" customHeight="false" outlineLevel="0" collapsed="false">
      <c r="A74" s="0" t="s">
        <v>41</v>
      </c>
      <c r="B74" s="0" t="s">
        <v>37</v>
      </c>
      <c r="C74" s="0" t="s">
        <v>34</v>
      </c>
      <c r="D74" s="0" t="n">
        <v>3</v>
      </c>
      <c r="E74" s="0" t="n">
        <v>24</v>
      </c>
      <c r="F74" s="0" t="n">
        <v>21</v>
      </c>
      <c r="G74" s="0" t="n">
        <v>18</v>
      </c>
      <c r="H74" s="0" t="n">
        <v>15</v>
      </c>
      <c r="I74" s="0" t="n">
        <v>16</v>
      </c>
      <c r="J74" s="0" t="n">
        <v>26</v>
      </c>
      <c r="K74" s="0" t="n">
        <v>21</v>
      </c>
      <c r="L74" s="0" t="n">
        <v>19</v>
      </c>
      <c r="M74" s="0" t="n">
        <v>14</v>
      </c>
      <c r="N74" s="0" t="n">
        <v>16</v>
      </c>
      <c r="O74" s="0" t="n">
        <v>20</v>
      </c>
      <c r="P74" s="0" t="n">
        <v>15</v>
      </c>
      <c r="Q74" s="0" t="n">
        <v>23</v>
      </c>
      <c r="R74" s="0" t="n">
        <v>12</v>
      </c>
      <c r="S74" s="0" t="n">
        <v>14</v>
      </c>
      <c r="T74" s="0" t="n">
        <v>21</v>
      </c>
      <c r="U74" s="0" t="n">
        <v>18</v>
      </c>
      <c r="V74" s="0" t="n">
        <v>15</v>
      </c>
      <c r="W74" s="0" t="n">
        <v>13</v>
      </c>
      <c r="X74" s="0" t="n">
        <v>18</v>
      </c>
      <c r="Y74" s="0" t="n">
        <v>12</v>
      </c>
      <c r="Z74" s="0" t="n">
        <v>22</v>
      </c>
      <c r="AA74" s="0" t="n">
        <v>9</v>
      </c>
      <c r="AB74" s="0" t="n">
        <v>19</v>
      </c>
      <c r="AC74" s="0" t="n">
        <v>11</v>
      </c>
    </row>
    <row r="75" customFormat="false" ht="15" hidden="false" customHeight="false" outlineLevel="0" collapsed="false">
      <c r="A75" s="0" t="s">
        <v>41</v>
      </c>
      <c r="B75" s="0" t="s">
        <v>37</v>
      </c>
      <c r="C75" s="0" t="s">
        <v>35</v>
      </c>
      <c r="D75" s="0" t="n">
        <v>1</v>
      </c>
      <c r="E75" s="0" t="n">
        <v>11</v>
      </c>
      <c r="F75" s="0" t="n">
        <v>11</v>
      </c>
      <c r="G75" s="0" t="n">
        <v>17</v>
      </c>
      <c r="H75" s="0" t="n">
        <v>23</v>
      </c>
      <c r="I75" s="0" t="n">
        <v>16</v>
      </c>
      <c r="J75" s="0" t="n">
        <v>18</v>
      </c>
      <c r="K75" s="0" t="n">
        <v>14</v>
      </c>
      <c r="L75" s="0" t="n">
        <v>18</v>
      </c>
      <c r="M75" s="0" t="n">
        <v>20</v>
      </c>
      <c r="N75" s="0" t="n">
        <v>20</v>
      </c>
      <c r="O75" s="0" t="n">
        <v>24</v>
      </c>
      <c r="P75" s="0" t="n">
        <v>21</v>
      </c>
      <c r="Q75" s="0" t="n">
        <v>23</v>
      </c>
      <c r="R75" s="0" t="n">
        <v>15</v>
      </c>
      <c r="S75" s="0" t="n">
        <v>17</v>
      </c>
      <c r="T75" s="0" t="n">
        <v>20</v>
      </c>
      <c r="U75" s="0" t="n">
        <v>18</v>
      </c>
      <c r="V75" s="0" t="n">
        <v>15</v>
      </c>
      <c r="W75" s="0" t="n">
        <v>20</v>
      </c>
      <c r="X75" s="0" t="n">
        <v>13</v>
      </c>
      <c r="Y75" s="0" t="n">
        <v>20</v>
      </c>
      <c r="Z75" s="0" t="n">
        <v>7</v>
      </c>
      <c r="AA75" s="0" t="n">
        <v>14</v>
      </c>
      <c r="AB75" s="0" t="n">
        <v>14</v>
      </c>
      <c r="AC75" s="0" t="n">
        <v>15</v>
      </c>
    </row>
    <row r="76" customFormat="false" ht="15" hidden="false" customHeight="false" outlineLevel="0" collapsed="false">
      <c r="A76" s="0" t="s">
        <v>41</v>
      </c>
      <c r="B76" s="0" t="s">
        <v>37</v>
      </c>
      <c r="C76" s="0" t="s">
        <v>35</v>
      </c>
      <c r="D76" s="0" t="n">
        <v>2</v>
      </c>
      <c r="E76" s="0" t="n">
        <v>17</v>
      </c>
      <c r="F76" s="0" t="n">
        <v>18</v>
      </c>
      <c r="G76" s="0" t="n">
        <v>12</v>
      </c>
      <c r="H76" s="0" t="n">
        <v>10</v>
      </c>
      <c r="I76" s="0" t="n">
        <v>20</v>
      </c>
      <c r="J76" s="0" t="n">
        <v>14</v>
      </c>
      <c r="K76" s="0" t="n">
        <v>19</v>
      </c>
      <c r="L76" s="0" t="n">
        <v>16</v>
      </c>
      <c r="M76" s="0" t="n">
        <v>13</v>
      </c>
      <c r="N76" s="0" t="n">
        <v>17</v>
      </c>
      <c r="O76" s="0" t="n">
        <v>13</v>
      </c>
      <c r="P76" s="0" t="n">
        <v>14</v>
      </c>
      <c r="Q76" s="0" t="n">
        <v>25</v>
      </c>
      <c r="R76" s="0" t="n">
        <v>13</v>
      </c>
      <c r="S76" s="0" t="n">
        <v>13</v>
      </c>
      <c r="T76" s="0" t="n">
        <v>16</v>
      </c>
      <c r="U76" s="0" t="n">
        <v>12</v>
      </c>
      <c r="V76" s="0" t="n">
        <v>13</v>
      </c>
      <c r="W76" s="0" t="n">
        <v>11</v>
      </c>
      <c r="X76" s="0" t="n">
        <v>27</v>
      </c>
      <c r="Y76" s="0" t="n">
        <v>16</v>
      </c>
      <c r="Z76" s="0" t="n">
        <v>14</v>
      </c>
      <c r="AA76" s="0" t="n">
        <v>14</v>
      </c>
      <c r="AB76" s="0" t="n">
        <v>16</v>
      </c>
      <c r="AC76" s="0" t="n">
        <v>19</v>
      </c>
    </row>
    <row r="77" customFormat="false" ht="15" hidden="false" customHeight="false" outlineLevel="0" collapsed="false">
      <c r="A77" s="0" t="s">
        <v>41</v>
      </c>
      <c r="B77" s="0" t="s">
        <v>37</v>
      </c>
      <c r="C77" s="0" t="s">
        <v>35</v>
      </c>
      <c r="D77" s="0" t="n">
        <v>3</v>
      </c>
      <c r="E77" s="0" t="n">
        <v>22</v>
      </c>
      <c r="F77" s="0" t="n">
        <v>14</v>
      </c>
      <c r="G77" s="0" t="n">
        <v>15</v>
      </c>
      <c r="H77" s="0" t="n">
        <v>18</v>
      </c>
      <c r="I77" s="0" t="n">
        <v>14</v>
      </c>
      <c r="J77" s="0" t="n">
        <v>20</v>
      </c>
      <c r="K77" s="0" t="n">
        <v>19</v>
      </c>
      <c r="L77" s="0" t="n">
        <v>24</v>
      </c>
      <c r="M77" s="0" t="n">
        <v>21</v>
      </c>
      <c r="N77" s="0" t="n">
        <v>23</v>
      </c>
      <c r="O77" s="0" t="n">
        <v>18</v>
      </c>
      <c r="P77" s="0" t="n">
        <v>17</v>
      </c>
      <c r="Q77" s="0" t="n">
        <v>19</v>
      </c>
      <c r="R77" s="0" t="n">
        <v>10</v>
      </c>
      <c r="S77" s="0" t="n">
        <v>19</v>
      </c>
      <c r="T77" s="0" t="n">
        <v>24</v>
      </c>
      <c r="U77" s="0" t="n">
        <v>18</v>
      </c>
      <c r="V77" s="0" t="n">
        <v>19</v>
      </c>
      <c r="W77" s="0" t="n">
        <v>16</v>
      </c>
      <c r="X77" s="0" t="n">
        <v>13</v>
      </c>
      <c r="Y77" s="0" t="n">
        <v>15</v>
      </c>
      <c r="Z77" s="0" t="n">
        <v>14</v>
      </c>
      <c r="AA77" s="0" t="n">
        <v>9</v>
      </c>
      <c r="AB77" s="0" t="n">
        <v>17</v>
      </c>
      <c r="AC77" s="0" t="n">
        <v>16</v>
      </c>
    </row>
    <row r="78" customFormat="false" ht="15" hidden="false" customHeight="false" outlineLevel="0" collapsed="false">
      <c r="A78" s="0" t="s">
        <v>41</v>
      </c>
      <c r="B78" s="0" t="s">
        <v>38</v>
      </c>
      <c r="C78" s="0" t="s">
        <v>34</v>
      </c>
      <c r="D78" s="0" t="n">
        <v>1</v>
      </c>
      <c r="E78" s="0" t="n">
        <v>11</v>
      </c>
      <c r="F78" s="0" t="n">
        <v>6</v>
      </c>
      <c r="G78" s="0" t="n">
        <v>7</v>
      </c>
      <c r="H78" s="0" t="n">
        <v>8</v>
      </c>
      <c r="I78" s="0" t="n">
        <v>6</v>
      </c>
      <c r="J78" s="0" t="n">
        <v>9</v>
      </c>
      <c r="K78" s="0" t="n">
        <v>10</v>
      </c>
      <c r="L78" s="0" t="n">
        <v>10</v>
      </c>
      <c r="M78" s="0" t="n">
        <v>13</v>
      </c>
      <c r="N78" s="0" t="n">
        <v>7</v>
      </c>
      <c r="O78" s="0" t="n">
        <v>12</v>
      </c>
      <c r="P78" s="0" t="n">
        <v>7</v>
      </c>
      <c r="Q78" s="0" t="n">
        <v>12</v>
      </c>
      <c r="R78" s="0" t="n">
        <v>10</v>
      </c>
      <c r="S78" s="0" t="n">
        <v>15</v>
      </c>
      <c r="T78" s="0" t="n">
        <v>7</v>
      </c>
      <c r="U78" s="0" t="n">
        <v>9</v>
      </c>
      <c r="V78" s="0" t="n">
        <v>11</v>
      </c>
      <c r="W78" s="0" t="n">
        <v>9</v>
      </c>
      <c r="X78" s="0" t="n">
        <v>12</v>
      </c>
      <c r="Y78" s="0" t="n">
        <v>8</v>
      </c>
      <c r="Z78" s="0" t="n">
        <v>18</v>
      </c>
      <c r="AA78" s="0" t="n">
        <v>9</v>
      </c>
      <c r="AB78" s="0" t="n">
        <v>10</v>
      </c>
      <c r="AC78" s="0" t="n">
        <v>13</v>
      </c>
    </row>
    <row r="79" customFormat="false" ht="15" hidden="false" customHeight="false" outlineLevel="0" collapsed="false">
      <c r="A79" s="0" t="s">
        <v>41</v>
      </c>
      <c r="B79" s="0" t="s">
        <v>38</v>
      </c>
      <c r="C79" s="0" t="s">
        <v>34</v>
      </c>
      <c r="D79" s="0" t="n">
        <v>2</v>
      </c>
      <c r="E79" s="0" t="n">
        <v>10</v>
      </c>
      <c r="F79" s="0" t="n">
        <v>6</v>
      </c>
      <c r="G79" s="0" t="n">
        <v>6</v>
      </c>
      <c r="H79" s="0" t="n">
        <v>7</v>
      </c>
      <c r="I79" s="0" t="n">
        <v>9</v>
      </c>
      <c r="J79" s="0" t="n">
        <v>6</v>
      </c>
      <c r="K79" s="0" t="n">
        <v>9</v>
      </c>
      <c r="L79" s="0" t="n">
        <v>13</v>
      </c>
      <c r="M79" s="0" t="n">
        <v>14</v>
      </c>
      <c r="N79" s="0" t="n">
        <v>7</v>
      </c>
      <c r="O79" s="0" t="n">
        <v>9</v>
      </c>
      <c r="P79" s="0" t="n">
        <v>10</v>
      </c>
      <c r="Q79" s="0" t="n">
        <v>7</v>
      </c>
      <c r="R79" s="0" t="n">
        <v>11</v>
      </c>
      <c r="S79" s="0" t="n">
        <v>6</v>
      </c>
      <c r="T79" s="0" t="n">
        <v>9</v>
      </c>
      <c r="U79" s="0" t="n">
        <v>6</v>
      </c>
      <c r="V79" s="0" t="n">
        <v>8</v>
      </c>
      <c r="W79" s="0" t="n">
        <v>9</v>
      </c>
      <c r="X79" s="0" t="n">
        <v>13</v>
      </c>
      <c r="Y79" s="0" t="n">
        <v>7</v>
      </c>
      <c r="Z79" s="0" t="n">
        <v>9</v>
      </c>
      <c r="AA79" s="0" t="n">
        <v>17</v>
      </c>
      <c r="AB79" s="0" t="n">
        <v>11</v>
      </c>
      <c r="AC79" s="0" t="n">
        <v>10</v>
      </c>
    </row>
    <row r="80" customFormat="false" ht="15" hidden="false" customHeight="false" outlineLevel="0" collapsed="false">
      <c r="A80" s="0" t="s">
        <v>41</v>
      </c>
      <c r="B80" s="0" t="s">
        <v>38</v>
      </c>
      <c r="C80" s="0" t="s">
        <v>34</v>
      </c>
      <c r="D80" s="0" t="n">
        <v>3</v>
      </c>
      <c r="E80" s="0" t="n">
        <v>14</v>
      </c>
      <c r="F80" s="0" t="n">
        <v>11</v>
      </c>
      <c r="G80" s="0" t="n">
        <v>3</v>
      </c>
      <c r="H80" s="0" t="n">
        <v>9</v>
      </c>
      <c r="I80" s="0" t="n">
        <v>12</v>
      </c>
      <c r="J80" s="0" t="n">
        <v>11</v>
      </c>
      <c r="K80" s="0" t="n">
        <v>7</v>
      </c>
      <c r="L80" s="0" t="n">
        <v>14</v>
      </c>
      <c r="M80" s="0" t="n">
        <v>7</v>
      </c>
      <c r="N80" s="0" t="n">
        <v>12</v>
      </c>
      <c r="O80" s="0" t="n">
        <v>6</v>
      </c>
      <c r="P80" s="0" t="n">
        <v>9</v>
      </c>
      <c r="Q80" s="0" t="n">
        <v>10</v>
      </c>
      <c r="R80" s="0" t="n">
        <v>6</v>
      </c>
      <c r="S80" s="0" t="n">
        <v>11</v>
      </c>
      <c r="T80" s="0" t="n">
        <v>7</v>
      </c>
      <c r="U80" s="0" t="n">
        <v>9</v>
      </c>
      <c r="V80" s="0" t="n">
        <v>9</v>
      </c>
      <c r="W80" s="0" t="n">
        <v>4</v>
      </c>
      <c r="X80" s="0" t="n">
        <v>7</v>
      </c>
      <c r="Y80" s="0" t="n">
        <v>11</v>
      </c>
      <c r="Z80" s="0" t="n">
        <v>10</v>
      </c>
      <c r="AA80" s="0" t="n">
        <v>11</v>
      </c>
      <c r="AB80" s="0" t="n">
        <v>11</v>
      </c>
      <c r="AC80" s="0" t="n">
        <v>8</v>
      </c>
    </row>
    <row r="81" customFormat="false" ht="15" hidden="false" customHeight="false" outlineLevel="0" collapsed="false">
      <c r="A81" s="0" t="s">
        <v>41</v>
      </c>
      <c r="B81" s="0" t="s">
        <v>38</v>
      </c>
      <c r="C81" s="0" t="s">
        <v>35</v>
      </c>
      <c r="D81" s="0" t="n">
        <v>1</v>
      </c>
      <c r="E81" s="0" t="n">
        <v>11</v>
      </c>
      <c r="F81" s="0" t="n">
        <v>7</v>
      </c>
      <c r="G81" s="0" t="n">
        <v>9</v>
      </c>
      <c r="H81" s="0" t="n">
        <v>12</v>
      </c>
      <c r="I81" s="0" t="n">
        <v>3</v>
      </c>
      <c r="J81" s="0" t="n">
        <v>7</v>
      </c>
      <c r="K81" s="0" t="n">
        <v>10</v>
      </c>
      <c r="L81" s="0" t="n">
        <v>5</v>
      </c>
      <c r="M81" s="0" t="n">
        <v>12</v>
      </c>
      <c r="N81" s="0" t="n">
        <v>14</v>
      </c>
      <c r="O81" s="0" t="n">
        <v>8</v>
      </c>
      <c r="P81" s="0" t="n">
        <v>9</v>
      </c>
      <c r="Q81" s="0" t="n">
        <v>12</v>
      </c>
      <c r="R81" s="0" t="n">
        <v>12</v>
      </c>
      <c r="S81" s="0" t="n">
        <v>16</v>
      </c>
      <c r="T81" s="0" t="n">
        <v>12</v>
      </c>
      <c r="U81" s="0" t="n">
        <v>10</v>
      </c>
      <c r="V81" s="0" t="n">
        <v>17</v>
      </c>
      <c r="W81" s="0" t="n">
        <v>7</v>
      </c>
      <c r="X81" s="0" t="n">
        <v>5</v>
      </c>
      <c r="Y81" s="0" t="n">
        <v>9</v>
      </c>
      <c r="Z81" s="0" t="n">
        <v>12</v>
      </c>
      <c r="AA81" s="0" t="n">
        <v>8</v>
      </c>
      <c r="AB81" s="0" t="n">
        <v>8</v>
      </c>
      <c r="AC81" s="0" t="n">
        <v>5</v>
      </c>
    </row>
    <row r="82" customFormat="false" ht="15" hidden="false" customHeight="false" outlineLevel="0" collapsed="false">
      <c r="A82" s="0" t="s">
        <v>41</v>
      </c>
      <c r="B82" s="0" t="s">
        <v>38</v>
      </c>
      <c r="C82" s="0" t="s">
        <v>35</v>
      </c>
      <c r="D82" s="0" t="n">
        <v>2</v>
      </c>
      <c r="E82" s="0" t="n">
        <v>10</v>
      </c>
      <c r="F82" s="0" t="n">
        <v>11</v>
      </c>
      <c r="G82" s="0" t="n">
        <v>10</v>
      </c>
      <c r="H82" s="0" t="n">
        <v>15</v>
      </c>
      <c r="I82" s="0" t="n">
        <v>11</v>
      </c>
      <c r="J82" s="0" t="n">
        <v>8</v>
      </c>
      <c r="K82" s="0" t="n">
        <v>9</v>
      </c>
      <c r="L82" s="0" t="n">
        <v>5</v>
      </c>
      <c r="M82" s="0" t="n">
        <v>10</v>
      </c>
      <c r="N82" s="0" t="n">
        <v>9</v>
      </c>
      <c r="O82" s="0" t="n">
        <v>7</v>
      </c>
      <c r="P82" s="0" t="n">
        <v>5</v>
      </c>
      <c r="Q82" s="0" t="n">
        <v>7</v>
      </c>
      <c r="R82" s="0" t="n">
        <v>8</v>
      </c>
      <c r="S82" s="0" t="n">
        <v>7</v>
      </c>
      <c r="T82" s="0" t="n">
        <v>13</v>
      </c>
      <c r="U82" s="0" t="n">
        <v>7</v>
      </c>
      <c r="V82" s="0" t="n">
        <v>11</v>
      </c>
      <c r="W82" s="0" t="n">
        <v>8</v>
      </c>
      <c r="X82" s="0" t="n">
        <v>9</v>
      </c>
      <c r="Y82" s="0" t="n">
        <v>5</v>
      </c>
      <c r="Z82" s="0" t="n">
        <v>12</v>
      </c>
      <c r="AA82" s="0" t="n">
        <v>10</v>
      </c>
      <c r="AB82" s="0" t="n">
        <v>7</v>
      </c>
      <c r="AC82" s="0" t="n">
        <v>6</v>
      </c>
    </row>
    <row r="83" customFormat="false" ht="15" hidden="false" customHeight="false" outlineLevel="0" collapsed="false">
      <c r="A83" s="0" t="s">
        <v>41</v>
      </c>
      <c r="B83" s="0" t="s">
        <v>38</v>
      </c>
      <c r="C83" s="0" t="s">
        <v>35</v>
      </c>
      <c r="D83" s="0" t="n">
        <v>3</v>
      </c>
      <c r="E83" s="0" t="n">
        <v>6</v>
      </c>
      <c r="F83" s="0" t="n">
        <v>7</v>
      </c>
      <c r="G83" s="0" t="n">
        <v>7</v>
      </c>
      <c r="H83" s="0" t="n">
        <v>8</v>
      </c>
      <c r="I83" s="0" t="n">
        <v>7</v>
      </c>
      <c r="J83" s="0" t="n">
        <v>12</v>
      </c>
      <c r="K83" s="0" t="n">
        <v>13</v>
      </c>
      <c r="L83" s="0" t="n">
        <v>16</v>
      </c>
      <c r="M83" s="0" t="n">
        <v>9</v>
      </c>
      <c r="N83" s="0" t="n">
        <v>8</v>
      </c>
      <c r="O83" s="0" t="n">
        <v>14</v>
      </c>
      <c r="P83" s="0" t="n">
        <v>8</v>
      </c>
      <c r="Q83" s="0" t="n">
        <v>10</v>
      </c>
      <c r="R83" s="0" t="n">
        <v>9</v>
      </c>
      <c r="S83" s="0" t="n">
        <v>9</v>
      </c>
      <c r="T83" s="0" t="n">
        <v>12</v>
      </c>
      <c r="U83" s="0" t="n">
        <v>8</v>
      </c>
      <c r="V83" s="0" t="n">
        <v>8</v>
      </c>
      <c r="W83" s="0" t="n">
        <v>3</v>
      </c>
      <c r="X83" s="0" t="n">
        <v>3</v>
      </c>
      <c r="Y83" s="0" t="n">
        <v>8</v>
      </c>
      <c r="Z83" s="0" t="n">
        <v>10</v>
      </c>
      <c r="AA83" s="0" t="n">
        <v>8</v>
      </c>
      <c r="AB83" s="0" t="n">
        <v>11</v>
      </c>
      <c r="AC83" s="0" t="n">
        <v>7</v>
      </c>
    </row>
    <row r="84" customFormat="false" ht="15" hidden="false" customHeight="false" outlineLevel="0" collapsed="false">
      <c r="A84" s="0" t="s">
        <v>50</v>
      </c>
      <c r="E84" s="0" t="n">
        <v>447</v>
      </c>
      <c r="F84" s="0" t="n">
        <v>414</v>
      </c>
      <c r="G84" s="0" t="n">
        <v>446</v>
      </c>
      <c r="H84" s="0" t="n">
        <v>466</v>
      </c>
      <c r="I84" s="0" t="n">
        <v>434</v>
      </c>
      <c r="J84" s="0" t="n">
        <v>493</v>
      </c>
      <c r="K84" s="0" t="n">
        <v>480</v>
      </c>
      <c r="L84" s="0" t="n">
        <v>463</v>
      </c>
      <c r="M84" s="0" t="n">
        <v>443</v>
      </c>
      <c r="N84" s="0" t="n">
        <v>465</v>
      </c>
      <c r="O84" s="0" t="n">
        <v>448</v>
      </c>
      <c r="P84" s="0" t="n">
        <v>418</v>
      </c>
      <c r="Q84" s="0" t="n">
        <v>494</v>
      </c>
      <c r="R84" s="0" t="n">
        <v>404</v>
      </c>
      <c r="S84" s="0" t="n">
        <v>494</v>
      </c>
      <c r="T84" s="0" t="n">
        <v>481</v>
      </c>
      <c r="U84" s="0" t="n">
        <v>416</v>
      </c>
      <c r="V84" s="0" t="n">
        <v>440</v>
      </c>
      <c r="W84" s="0" t="n">
        <v>445</v>
      </c>
      <c r="X84" s="0" t="n">
        <v>433</v>
      </c>
      <c r="Y84" s="0" t="n">
        <v>428</v>
      </c>
      <c r="Z84" s="0" t="n">
        <v>434</v>
      </c>
      <c r="AA84" s="0" t="n">
        <v>429</v>
      </c>
      <c r="AB84" s="0" t="n">
        <v>440</v>
      </c>
      <c r="AC84" s="0" t="n">
        <v>455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51</v>
      </c>
      <c r="B1" s="0" t="n">
        <v>2026</v>
      </c>
    </row>
    <row r="2" customFormat="false" ht="15" hidden="false" customHeight="false" outlineLevel="0" collapsed="false">
      <c r="A2" s="0" t="s">
        <v>52</v>
      </c>
      <c r="B2" s="0" t="n">
        <v>5</v>
      </c>
    </row>
    <row r="3" customFormat="false" ht="15" hidden="false" customHeight="false" outlineLevel="0" collapsed="false">
      <c r="A3" s="0" t="s">
        <v>53</v>
      </c>
      <c r="B3" s="0" t="n">
        <v>36</v>
      </c>
    </row>
    <row r="4" customFormat="false" ht="15" hidden="false" customHeight="false" outlineLevel="0" collapsed="false">
      <c r="A4" s="0" t="s">
        <v>54</v>
      </c>
      <c r="B4" s="0" t="n">
        <v>25</v>
      </c>
    </row>
    <row r="5" customFormat="false" ht="15" hidden="false" customHeight="false" outlineLevel="0" collapsed="false">
      <c r="A5" s="0" t="s">
        <v>55</v>
      </c>
      <c r="B5" s="0" t="n">
        <f aca="false">MATCH("PRODUKSI",Laporan!$A:$A,0)</f>
        <v>5</v>
      </c>
    </row>
    <row r="6" customFormat="false" ht="15" hidden="false" customHeight="false" outlineLevel="0" collapsed="false">
      <c r="A6" s="0" t="s">
        <v>56</v>
      </c>
      <c r="B6" s="0" t="n">
        <f aca="false">MATCH("REJECT",Laporan!$A:$A,0)</f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57</v>
      </c>
      <c r="B1" s="0" t="s">
        <v>58</v>
      </c>
      <c r="C1" s="0" t="s">
        <v>59</v>
      </c>
      <c r="D1" s="0" t="s">
        <v>60</v>
      </c>
      <c r="E1" s="0" t="s">
        <v>61</v>
      </c>
      <c r="F1" s="0" t="s">
        <v>62</v>
      </c>
      <c r="G1" s="0" t="s">
        <v>63</v>
      </c>
      <c r="H1" s="0" t="s">
        <v>64</v>
      </c>
      <c r="I1" s="0" t="s">
        <v>65</v>
      </c>
      <c r="J1" s="0" t="s">
        <v>66</v>
      </c>
      <c r="K1" s="0" t="s">
        <v>67</v>
      </c>
      <c r="L1" s="0" t="s">
        <v>68</v>
      </c>
      <c r="M1" s="0" t="s">
        <v>69</v>
      </c>
      <c r="N1" s="0" t="s">
        <v>70</v>
      </c>
      <c r="O1" s="0" t="s">
        <v>71</v>
      </c>
      <c r="P1" s="0" t="s">
        <v>72</v>
      </c>
    </row>
    <row r="2" customFormat="false" ht="15" hidden="false" customHeight="false" outlineLevel="0" collapsed="false">
      <c r="A2" s="0" t="n">
        <v>1</v>
      </c>
      <c r="B2" s="0" t="str">
        <f aca="false">IF(A2&lt;=36*25,"PRODUKSI","REJECT")</f>
        <v>PRODUKSI</v>
      </c>
      <c r="C2" s="0" t="n">
        <f aca="false">MOD(A2-1,Pemetaan!$B$3*Pemetaan!$B$4)</f>
        <v>0</v>
      </c>
      <c r="D2" s="0" t="n">
        <f aca="false">INT(C2/Pemetaan!$B$4)</f>
        <v>0</v>
      </c>
      <c r="E2" s="0" t="n">
        <f aca="false">MOD(C2,Pemetaan!$B$4)</f>
        <v>0</v>
      </c>
      <c r="F2" s="0" t="n">
        <f aca="false">IF(B2="PRODUKSI",Pemetaan!$B$5,Pemetaan!$B$6)</f>
        <v>5</v>
      </c>
      <c r="G2" s="0" t="n">
        <f aca="false">F2+2+D2</f>
        <v>7</v>
      </c>
      <c r="H2" s="0" t="n">
        <f aca="false">Pemetaan!$B$2+E2</f>
        <v>5</v>
      </c>
      <c r="I2" s="0" t="str">
        <f aca="false">INDEX(Laporan!$A$1:$AZ$300,G2,1)</f>
        <v>Water Treatment</v>
      </c>
      <c r="J2" s="0" t="str">
        <f aca="false">INDEX(Laporan!$A$1:$AZ$300,G2,2)</f>
        <v>330 ml</v>
      </c>
      <c r="K2" s="0" t="str">
        <f aca="false">INDEX(Laporan!$A$1:$AZ$300,G2,3)</f>
        <v>Shift 1</v>
      </c>
      <c r="L2" s="0" t="n">
        <f aca="false">INDEX(Laporan!$A$1:$AZ$300,G2,4)</f>
        <v>1</v>
      </c>
      <c r="M2" s="1" t="n">
        <f aca="false">DATE(Pemetaan!$B$1,VALUE(RIGHT(INDEX(Laporan!$A$1:$AZ$300,F2+1,H2),2)),VALUE(LEFT(INDEX(Laporan!$A$1:$AZ$300,F2+1,H2),2)))</f>
        <v>46083</v>
      </c>
      <c r="N2" s="0" t="n">
        <f aca="false">INDEX(Laporan!$A$1:$AZ$300,G2,H2)</f>
        <v>3233</v>
      </c>
      <c r="O2" s="0" t="n">
        <f aca="false">IF(N2="","",IFERROR(VALUE(SUBSTITUTE(SUBSTITUTE(N2," btl",""),".","")),""))</f>
        <v>3233</v>
      </c>
      <c r="P2" s="0" t="str">
        <f aca="false">IF(B2="PRODUKSI","produced","reject")</f>
        <v>produced</v>
      </c>
    </row>
    <row r="3" customFormat="false" ht="15" hidden="false" customHeight="false" outlineLevel="0" collapsed="false">
      <c r="A3" s="0" t="n">
        <v>2</v>
      </c>
      <c r="B3" s="0" t="str">
        <f aca="false">IF(A3&lt;=36*25,"PRODUKSI","REJECT")</f>
        <v>PRODUKSI</v>
      </c>
      <c r="C3" s="0" t="n">
        <f aca="false">MOD(A3-1,Pemetaan!$B$3*Pemetaan!$B$4)</f>
        <v>1</v>
      </c>
      <c r="D3" s="0" t="n">
        <f aca="false">INT(C3/Pemetaan!$B$4)</f>
        <v>0</v>
      </c>
      <c r="E3" s="0" t="n">
        <f aca="false">MOD(C3,Pemetaan!$B$4)</f>
        <v>1</v>
      </c>
      <c r="F3" s="0" t="n">
        <f aca="false">IF(B3="PRODUKSI",Pemetaan!$B$5,Pemetaan!$B$6)</f>
        <v>5</v>
      </c>
      <c r="G3" s="0" t="n">
        <f aca="false">F3+2+D3</f>
        <v>7</v>
      </c>
      <c r="H3" s="0" t="n">
        <f aca="false">Pemetaan!$B$2+E3</f>
        <v>6</v>
      </c>
      <c r="I3" s="0" t="str">
        <f aca="false">INDEX(Laporan!$A$1:$AZ$300,G3,1)</f>
        <v>Water Treatment</v>
      </c>
      <c r="J3" s="0" t="str">
        <f aca="false">INDEX(Laporan!$A$1:$AZ$300,G3,2)</f>
        <v>330 ml</v>
      </c>
      <c r="K3" s="0" t="str">
        <f aca="false">INDEX(Laporan!$A$1:$AZ$300,G3,3)</f>
        <v>Shift 1</v>
      </c>
      <c r="L3" s="0" t="n">
        <f aca="false">INDEX(Laporan!$A$1:$AZ$300,G3,4)</f>
        <v>1</v>
      </c>
      <c r="M3" s="1" t="n">
        <f aca="false">DATE(Pemetaan!$B$1,VALUE(RIGHT(INDEX(Laporan!$A$1:$AZ$300,F3+1,H3),2)),VALUE(LEFT(INDEX(Laporan!$A$1:$AZ$300,F3+1,H3),2)))</f>
        <v>46084</v>
      </c>
      <c r="N3" s="0" t="n">
        <f aca="false">INDEX(Laporan!$A$1:$AZ$300,G3,H3)</f>
        <v>3441</v>
      </c>
      <c r="O3" s="0" t="n">
        <f aca="false">IF(N3="","",IFERROR(VALUE(SUBSTITUTE(SUBSTITUTE(N3," btl",""),".","")),""))</f>
        <v>3441</v>
      </c>
      <c r="P3" s="0" t="str">
        <f aca="false">IF(B3="PRODUKSI","produced","reject")</f>
        <v>produced</v>
      </c>
    </row>
    <row r="4" customFormat="false" ht="15" hidden="false" customHeight="false" outlineLevel="0" collapsed="false">
      <c r="A4" s="0" t="n">
        <v>3</v>
      </c>
      <c r="B4" s="0" t="str">
        <f aca="false">IF(A4&lt;=36*25,"PRODUKSI","REJECT")</f>
        <v>PRODUKSI</v>
      </c>
      <c r="C4" s="0" t="n">
        <f aca="false">MOD(A4-1,Pemetaan!$B$3*Pemetaan!$B$4)</f>
        <v>2</v>
      </c>
      <c r="D4" s="0" t="n">
        <f aca="false">INT(C4/Pemetaan!$B$4)</f>
        <v>0</v>
      </c>
      <c r="E4" s="0" t="n">
        <f aca="false">MOD(C4,Pemetaan!$B$4)</f>
        <v>2</v>
      </c>
      <c r="F4" s="0" t="n">
        <f aca="false">IF(B4="PRODUKSI",Pemetaan!$B$5,Pemetaan!$B$6)</f>
        <v>5</v>
      </c>
      <c r="G4" s="0" t="n">
        <f aca="false">F4+2+D4</f>
        <v>7</v>
      </c>
      <c r="H4" s="0" t="n">
        <f aca="false">Pemetaan!$B$2+E4</f>
        <v>7</v>
      </c>
      <c r="I4" s="0" t="str">
        <f aca="false">INDEX(Laporan!$A$1:$AZ$300,G4,1)</f>
        <v>Water Treatment</v>
      </c>
      <c r="J4" s="0" t="str">
        <f aca="false">INDEX(Laporan!$A$1:$AZ$300,G4,2)</f>
        <v>330 ml</v>
      </c>
      <c r="K4" s="0" t="str">
        <f aca="false">INDEX(Laporan!$A$1:$AZ$300,G4,3)</f>
        <v>Shift 1</v>
      </c>
      <c r="L4" s="0" t="n">
        <f aca="false">INDEX(Laporan!$A$1:$AZ$300,G4,4)</f>
        <v>1</v>
      </c>
      <c r="M4" s="1" t="n">
        <f aca="false">DATE(Pemetaan!$B$1,VALUE(RIGHT(INDEX(Laporan!$A$1:$AZ$300,F4+1,H4),2)),VALUE(LEFT(INDEX(Laporan!$A$1:$AZ$300,F4+1,H4),2)))</f>
        <v>46085</v>
      </c>
      <c r="N4" s="0" t="n">
        <f aca="false">INDEX(Laporan!$A$1:$AZ$300,G4,H4)</f>
        <v>3596</v>
      </c>
      <c r="O4" s="0" t="n">
        <f aca="false">IF(N4="","",IFERROR(VALUE(SUBSTITUTE(SUBSTITUTE(N4," btl",""),".","")),""))</f>
        <v>3596</v>
      </c>
      <c r="P4" s="0" t="str">
        <f aca="false">IF(B4="PRODUKSI","produced","reject")</f>
        <v>produced</v>
      </c>
    </row>
    <row r="5" customFormat="false" ht="15" hidden="false" customHeight="false" outlineLevel="0" collapsed="false">
      <c r="A5" s="0" t="n">
        <v>4</v>
      </c>
      <c r="B5" s="0" t="str">
        <f aca="false">IF(A5&lt;=36*25,"PRODUKSI","REJECT")</f>
        <v>PRODUKSI</v>
      </c>
      <c r="C5" s="0" t="n">
        <f aca="false">MOD(A5-1,Pemetaan!$B$3*Pemetaan!$B$4)</f>
        <v>3</v>
      </c>
      <c r="D5" s="0" t="n">
        <f aca="false">INT(C5/Pemetaan!$B$4)</f>
        <v>0</v>
      </c>
      <c r="E5" s="0" t="n">
        <f aca="false">MOD(C5,Pemetaan!$B$4)</f>
        <v>3</v>
      </c>
      <c r="F5" s="0" t="n">
        <f aca="false">IF(B5="PRODUKSI",Pemetaan!$B$5,Pemetaan!$B$6)</f>
        <v>5</v>
      </c>
      <c r="G5" s="0" t="n">
        <f aca="false">F5+2+D5</f>
        <v>7</v>
      </c>
      <c r="H5" s="0" t="n">
        <f aca="false">Pemetaan!$B$2+E5</f>
        <v>8</v>
      </c>
      <c r="I5" s="0" t="str">
        <f aca="false">INDEX(Laporan!$A$1:$AZ$300,G5,1)</f>
        <v>Water Treatment</v>
      </c>
      <c r="J5" s="0" t="str">
        <f aca="false">INDEX(Laporan!$A$1:$AZ$300,G5,2)</f>
        <v>330 ml</v>
      </c>
      <c r="K5" s="0" t="str">
        <f aca="false">INDEX(Laporan!$A$1:$AZ$300,G5,3)</f>
        <v>Shift 1</v>
      </c>
      <c r="L5" s="0" t="n">
        <f aca="false">INDEX(Laporan!$A$1:$AZ$300,G5,4)</f>
        <v>1</v>
      </c>
      <c r="M5" s="1" t="n">
        <f aca="false">DATE(Pemetaan!$B$1,VALUE(RIGHT(INDEX(Laporan!$A$1:$AZ$300,F5+1,H5),2)),VALUE(LEFT(INDEX(Laporan!$A$1:$AZ$300,F5+1,H5),2)))</f>
        <v>46086</v>
      </c>
      <c r="N5" s="0" t="n">
        <f aca="false">INDEX(Laporan!$A$1:$AZ$300,G5,H5)</f>
        <v>2790</v>
      </c>
      <c r="O5" s="0" t="n">
        <f aca="false">IF(N5="","",IFERROR(VALUE(SUBSTITUTE(SUBSTITUTE(N5," btl",""),".","")),""))</f>
        <v>2790</v>
      </c>
      <c r="P5" s="0" t="str">
        <f aca="false">IF(B5="PRODUKSI","produced","reject")</f>
        <v>produced</v>
      </c>
    </row>
    <row r="6" customFormat="false" ht="15" hidden="false" customHeight="false" outlineLevel="0" collapsed="false">
      <c r="A6" s="0" t="n">
        <v>5</v>
      </c>
      <c r="B6" s="0" t="str">
        <f aca="false">IF(A6&lt;=36*25,"PRODUKSI","REJECT")</f>
        <v>PRODUKSI</v>
      </c>
      <c r="C6" s="0" t="n">
        <f aca="false">MOD(A6-1,Pemetaan!$B$3*Pemetaan!$B$4)</f>
        <v>4</v>
      </c>
      <c r="D6" s="0" t="n">
        <f aca="false">INT(C6/Pemetaan!$B$4)</f>
        <v>0</v>
      </c>
      <c r="E6" s="0" t="n">
        <f aca="false">MOD(C6,Pemetaan!$B$4)</f>
        <v>4</v>
      </c>
      <c r="F6" s="0" t="n">
        <f aca="false">IF(B6="PRODUKSI",Pemetaan!$B$5,Pemetaan!$B$6)</f>
        <v>5</v>
      </c>
      <c r="G6" s="0" t="n">
        <f aca="false">F6+2+D6</f>
        <v>7</v>
      </c>
      <c r="H6" s="0" t="n">
        <f aca="false">Pemetaan!$B$2+E6</f>
        <v>9</v>
      </c>
      <c r="I6" s="0" t="str">
        <f aca="false">INDEX(Laporan!$A$1:$AZ$300,G6,1)</f>
        <v>Water Treatment</v>
      </c>
      <c r="J6" s="0" t="str">
        <f aca="false">INDEX(Laporan!$A$1:$AZ$300,G6,2)</f>
        <v>330 ml</v>
      </c>
      <c r="K6" s="0" t="str">
        <f aca="false">INDEX(Laporan!$A$1:$AZ$300,G6,3)</f>
        <v>Shift 1</v>
      </c>
      <c r="L6" s="0" t="n">
        <f aca="false">INDEX(Laporan!$A$1:$AZ$300,G6,4)</f>
        <v>1</v>
      </c>
      <c r="M6" s="1" t="n">
        <f aca="false">DATE(Pemetaan!$B$1,VALUE(RIGHT(INDEX(Laporan!$A$1:$AZ$300,F6+1,H6),2)),VALUE(LEFT(INDEX(Laporan!$A$1:$AZ$300,F6+1,H6),2)))</f>
        <v>46087</v>
      </c>
      <c r="N6" s="0" t="n">
        <f aca="false">INDEX(Laporan!$A$1:$AZ$300,G6,H6)</f>
        <v>3300</v>
      </c>
      <c r="O6" s="0" t="n">
        <f aca="false">IF(N6="","",IFERROR(VALUE(SUBSTITUTE(SUBSTITUTE(N6," btl",""),".","")),""))</f>
        <v>3300</v>
      </c>
      <c r="P6" s="0" t="str">
        <f aca="false">IF(B6="PRODUKSI","produced","reject")</f>
        <v>produced</v>
      </c>
    </row>
    <row r="7" customFormat="false" ht="15" hidden="false" customHeight="false" outlineLevel="0" collapsed="false">
      <c r="A7" s="0" t="n">
        <v>6</v>
      </c>
      <c r="B7" s="0" t="str">
        <f aca="false">IF(A7&lt;=36*25,"PRODUKSI","REJECT")</f>
        <v>PRODUKSI</v>
      </c>
      <c r="C7" s="0" t="n">
        <f aca="false">MOD(A7-1,Pemetaan!$B$3*Pemetaan!$B$4)</f>
        <v>5</v>
      </c>
      <c r="D7" s="0" t="n">
        <f aca="false">INT(C7/Pemetaan!$B$4)</f>
        <v>0</v>
      </c>
      <c r="E7" s="0" t="n">
        <f aca="false">MOD(C7,Pemetaan!$B$4)</f>
        <v>5</v>
      </c>
      <c r="F7" s="0" t="n">
        <f aca="false">IF(B7="PRODUKSI",Pemetaan!$B$5,Pemetaan!$B$6)</f>
        <v>5</v>
      </c>
      <c r="G7" s="0" t="n">
        <f aca="false">F7+2+D7</f>
        <v>7</v>
      </c>
      <c r="H7" s="0" t="n">
        <f aca="false">Pemetaan!$B$2+E7</f>
        <v>10</v>
      </c>
      <c r="I7" s="0" t="str">
        <f aca="false">INDEX(Laporan!$A$1:$AZ$300,G7,1)</f>
        <v>Water Treatment</v>
      </c>
      <c r="J7" s="0" t="str">
        <f aca="false">INDEX(Laporan!$A$1:$AZ$300,G7,2)</f>
        <v>330 ml</v>
      </c>
      <c r="K7" s="0" t="str">
        <f aca="false">INDEX(Laporan!$A$1:$AZ$300,G7,3)</f>
        <v>Shift 1</v>
      </c>
      <c r="L7" s="0" t="n">
        <f aca="false">INDEX(Laporan!$A$1:$AZ$300,G7,4)</f>
        <v>1</v>
      </c>
      <c r="M7" s="1" t="n">
        <f aca="false">DATE(Pemetaan!$B$1,VALUE(RIGHT(INDEX(Laporan!$A$1:$AZ$300,F7+1,H7),2)),VALUE(LEFT(INDEX(Laporan!$A$1:$AZ$300,F7+1,H7),2)))</f>
        <v>46090</v>
      </c>
      <c r="N7" s="0" t="n">
        <f aca="false">INDEX(Laporan!$A$1:$AZ$300,G7,H7)</f>
        <v>3572</v>
      </c>
      <c r="O7" s="0" t="n">
        <f aca="false">IF(N7="","",IFERROR(VALUE(SUBSTITUTE(SUBSTITUTE(N7," btl",""),".","")),""))</f>
        <v>3572</v>
      </c>
      <c r="P7" s="0" t="str">
        <f aca="false">IF(B7="PRODUKSI","produced","reject")</f>
        <v>produced</v>
      </c>
    </row>
    <row r="8" customFormat="false" ht="15" hidden="false" customHeight="false" outlineLevel="0" collapsed="false">
      <c r="A8" s="0" t="n">
        <v>7</v>
      </c>
      <c r="B8" s="0" t="str">
        <f aca="false">IF(A8&lt;=36*25,"PRODUKSI","REJECT")</f>
        <v>PRODUKSI</v>
      </c>
      <c r="C8" s="0" t="n">
        <f aca="false">MOD(A8-1,Pemetaan!$B$3*Pemetaan!$B$4)</f>
        <v>6</v>
      </c>
      <c r="D8" s="0" t="n">
        <f aca="false">INT(C8/Pemetaan!$B$4)</f>
        <v>0</v>
      </c>
      <c r="E8" s="0" t="n">
        <f aca="false">MOD(C8,Pemetaan!$B$4)</f>
        <v>6</v>
      </c>
      <c r="F8" s="0" t="n">
        <f aca="false">IF(B8="PRODUKSI",Pemetaan!$B$5,Pemetaan!$B$6)</f>
        <v>5</v>
      </c>
      <c r="G8" s="0" t="n">
        <f aca="false">F8+2+D8</f>
        <v>7</v>
      </c>
      <c r="H8" s="0" t="n">
        <f aca="false">Pemetaan!$B$2+E8</f>
        <v>11</v>
      </c>
      <c r="I8" s="0" t="str">
        <f aca="false">INDEX(Laporan!$A$1:$AZ$300,G8,1)</f>
        <v>Water Treatment</v>
      </c>
      <c r="J8" s="0" t="str">
        <f aca="false">INDEX(Laporan!$A$1:$AZ$300,G8,2)</f>
        <v>330 ml</v>
      </c>
      <c r="K8" s="0" t="str">
        <f aca="false">INDEX(Laporan!$A$1:$AZ$300,G8,3)</f>
        <v>Shift 1</v>
      </c>
      <c r="L8" s="0" t="n">
        <f aca="false">INDEX(Laporan!$A$1:$AZ$300,G8,4)</f>
        <v>1</v>
      </c>
      <c r="M8" s="1" t="n">
        <f aca="false">DATE(Pemetaan!$B$1,VALUE(RIGHT(INDEX(Laporan!$A$1:$AZ$300,F8+1,H8),2)),VALUE(LEFT(INDEX(Laporan!$A$1:$AZ$300,F8+1,H8),2)))</f>
        <v>46091</v>
      </c>
      <c r="N8" s="0" t="n">
        <f aca="false">INDEX(Laporan!$A$1:$AZ$300,G8,H8)</f>
        <v>2948</v>
      </c>
      <c r="O8" s="0" t="n">
        <f aca="false">IF(N8="","",IFERROR(VALUE(SUBSTITUTE(SUBSTITUTE(N8," btl",""),".","")),""))</f>
        <v>2948</v>
      </c>
      <c r="P8" s="0" t="str">
        <f aca="false">IF(B8="PRODUKSI","produced","reject")</f>
        <v>produced</v>
      </c>
    </row>
    <row r="9" customFormat="false" ht="15" hidden="false" customHeight="false" outlineLevel="0" collapsed="false">
      <c r="A9" s="0" t="n">
        <v>8</v>
      </c>
      <c r="B9" s="0" t="str">
        <f aca="false">IF(A9&lt;=36*25,"PRODUKSI","REJECT")</f>
        <v>PRODUKSI</v>
      </c>
      <c r="C9" s="0" t="n">
        <f aca="false">MOD(A9-1,Pemetaan!$B$3*Pemetaan!$B$4)</f>
        <v>7</v>
      </c>
      <c r="D9" s="0" t="n">
        <f aca="false">INT(C9/Pemetaan!$B$4)</f>
        <v>0</v>
      </c>
      <c r="E9" s="0" t="n">
        <f aca="false">MOD(C9,Pemetaan!$B$4)</f>
        <v>7</v>
      </c>
      <c r="F9" s="0" t="n">
        <f aca="false">IF(B9="PRODUKSI",Pemetaan!$B$5,Pemetaan!$B$6)</f>
        <v>5</v>
      </c>
      <c r="G9" s="0" t="n">
        <f aca="false">F9+2+D9</f>
        <v>7</v>
      </c>
      <c r="H9" s="0" t="n">
        <f aca="false">Pemetaan!$B$2+E9</f>
        <v>12</v>
      </c>
      <c r="I9" s="0" t="str">
        <f aca="false">INDEX(Laporan!$A$1:$AZ$300,G9,1)</f>
        <v>Water Treatment</v>
      </c>
      <c r="J9" s="0" t="str">
        <f aca="false">INDEX(Laporan!$A$1:$AZ$300,G9,2)</f>
        <v>330 ml</v>
      </c>
      <c r="K9" s="0" t="str">
        <f aca="false">INDEX(Laporan!$A$1:$AZ$300,G9,3)</f>
        <v>Shift 1</v>
      </c>
      <c r="L9" s="0" t="n">
        <f aca="false">INDEX(Laporan!$A$1:$AZ$300,G9,4)</f>
        <v>1</v>
      </c>
      <c r="M9" s="1" t="n">
        <f aca="false">DATE(Pemetaan!$B$1,VALUE(RIGHT(INDEX(Laporan!$A$1:$AZ$300,F9+1,H9),2)),VALUE(LEFT(INDEX(Laporan!$A$1:$AZ$300,F9+1,H9),2)))</f>
        <v>46092</v>
      </c>
      <c r="N9" s="0" t="n">
        <f aca="false">INDEX(Laporan!$A$1:$AZ$300,G9,H9)</f>
        <v>3572</v>
      </c>
      <c r="O9" s="0" t="n">
        <f aca="false">IF(N9="","",IFERROR(VALUE(SUBSTITUTE(SUBSTITUTE(N9," btl",""),".","")),""))</f>
        <v>3572</v>
      </c>
      <c r="P9" s="0" t="str">
        <f aca="false">IF(B9="PRODUKSI","produced","reject")</f>
        <v>produced</v>
      </c>
    </row>
    <row r="10" customFormat="false" ht="15" hidden="false" customHeight="false" outlineLevel="0" collapsed="false">
      <c r="A10" s="0" t="n">
        <v>9</v>
      </c>
      <c r="B10" s="0" t="str">
        <f aca="false">IF(A10&lt;=36*25,"PRODUKSI","REJECT")</f>
        <v>PRODUKSI</v>
      </c>
      <c r="C10" s="0" t="n">
        <f aca="false">MOD(A10-1,Pemetaan!$B$3*Pemetaan!$B$4)</f>
        <v>8</v>
      </c>
      <c r="D10" s="0" t="n">
        <f aca="false">INT(C10/Pemetaan!$B$4)</f>
        <v>0</v>
      </c>
      <c r="E10" s="0" t="n">
        <f aca="false">MOD(C10,Pemetaan!$B$4)</f>
        <v>8</v>
      </c>
      <c r="F10" s="0" t="n">
        <f aca="false">IF(B10="PRODUKSI",Pemetaan!$B$5,Pemetaan!$B$6)</f>
        <v>5</v>
      </c>
      <c r="G10" s="0" t="n">
        <f aca="false">F10+2+D10</f>
        <v>7</v>
      </c>
      <c r="H10" s="0" t="n">
        <f aca="false">Pemetaan!$B$2+E10</f>
        <v>13</v>
      </c>
      <c r="I10" s="0" t="str">
        <f aca="false">INDEX(Laporan!$A$1:$AZ$300,G10,1)</f>
        <v>Water Treatment</v>
      </c>
      <c r="J10" s="0" t="str">
        <f aca="false">INDEX(Laporan!$A$1:$AZ$300,G10,2)</f>
        <v>330 ml</v>
      </c>
      <c r="K10" s="0" t="str">
        <f aca="false">INDEX(Laporan!$A$1:$AZ$300,G10,3)</f>
        <v>Shift 1</v>
      </c>
      <c r="L10" s="0" t="n">
        <f aca="false">INDEX(Laporan!$A$1:$AZ$300,G10,4)</f>
        <v>1</v>
      </c>
      <c r="M10" s="1" t="n">
        <f aca="false">DATE(Pemetaan!$B$1,VALUE(RIGHT(INDEX(Laporan!$A$1:$AZ$300,F10+1,H10),2)),VALUE(LEFT(INDEX(Laporan!$A$1:$AZ$300,F10+1,H10),2)))</f>
        <v>46093</v>
      </c>
      <c r="N10" s="0" t="n">
        <f aca="false">INDEX(Laporan!$A$1:$AZ$300,G10,H10)</f>
        <v>3012</v>
      </c>
      <c r="O10" s="0" t="n">
        <f aca="false">IF(N10="","",IFERROR(VALUE(SUBSTITUTE(SUBSTITUTE(N10," btl",""),".","")),""))</f>
        <v>3012</v>
      </c>
      <c r="P10" s="0" t="str">
        <f aca="false">IF(B10="PRODUKSI","produced","reject")</f>
        <v>produced</v>
      </c>
    </row>
    <row r="11" customFormat="false" ht="15" hidden="false" customHeight="false" outlineLevel="0" collapsed="false">
      <c r="A11" s="0" t="n">
        <v>10</v>
      </c>
      <c r="B11" s="0" t="str">
        <f aca="false">IF(A11&lt;=36*25,"PRODUKSI","REJECT")</f>
        <v>PRODUKSI</v>
      </c>
      <c r="C11" s="0" t="n">
        <f aca="false">MOD(A11-1,Pemetaan!$B$3*Pemetaan!$B$4)</f>
        <v>9</v>
      </c>
      <c r="D11" s="0" t="n">
        <f aca="false">INT(C11/Pemetaan!$B$4)</f>
        <v>0</v>
      </c>
      <c r="E11" s="0" t="n">
        <f aca="false">MOD(C11,Pemetaan!$B$4)</f>
        <v>9</v>
      </c>
      <c r="F11" s="0" t="n">
        <f aca="false">IF(B11="PRODUKSI",Pemetaan!$B$5,Pemetaan!$B$6)</f>
        <v>5</v>
      </c>
      <c r="G11" s="0" t="n">
        <f aca="false">F11+2+D11</f>
        <v>7</v>
      </c>
      <c r="H11" s="0" t="n">
        <f aca="false">Pemetaan!$B$2+E11</f>
        <v>14</v>
      </c>
      <c r="I11" s="0" t="str">
        <f aca="false">INDEX(Laporan!$A$1:$AZ$300,G11,1)</f>
        <v>Water Treatment</v>
      </c>
      <c r="J11" s="0" t="str">
        <f aca="false">INDEX(Laporan!$A$1:$AZ$300,G11,2)</f>
        <v>330 ml</v>
      </c>
      <c r="K11" s="0" t="str">
        <f aca="false">INDEX(Laporan!$A$1:$AZ$300,G11,3)</f>
        <v>Shift 1</v>
      </c>
      <c r="L11" s="0" t="n">
        <f aca="false">INDEX(Laporan!$A$1:$AZ$300,G11,4)</f>
        <v>1</v>
      </c>
      <c r="M11" s="1" t="n">
        <f aca="false">DATE(Pemetaan!$B$1,VALUE(RIGHT(INDEX(Laporan!$A$1:$AZ$300,F11+1,H11),2)),VALUE(LEFT(INDEX(Laporan!$A$1:$AZ$300,F11+1,H11),2)))</f>
        <v>46094</v>
      </c>
      <c r="N11" s="0" t="n">
        <f aca="false">INDEX(Laporan!$A$1:$AZ$300,G11,H11)</f>
        <v>3042</v>
      </c>
      <c r="O11" s="0" t="n">
        <f aca="false">IF(N11="","",IFERROR(VALUE(SUBSTITUTE(SUBSTITUTE(N11," btl",""),".","")),""))</f>
        <v>3042</v>
      </c>
      <c r="P11" s="0" t="str">
        <f aca="false">IF(B11="PRODUKSI","produced","reject")</f>
        <v>produced</v>
      </c>
    </row>
    <row r="12" customFormat="false" ht="15" hidden="false" customHeight="false" outlineLevel="0" collapsed="false">
      <c r="A12" s="0" t="n">
        <v>11</v>
      </c>
      <c r="B12" s="0" t="str">
        <f aca="false">IF(A12&lt;=36*25,"PRODUKSI","REJECT")</f>
        <v>PRODUKSI</v>
      </c>
      <c r="C12" s="0" t="n">
        <f aca="false">MOD(A12-1,Pemetaan!$B$3*Pemetaan!$B$4)</f>
        <v>10</v>
      </c>
      <c r="D12" s="0" t="n">
        <f aca="false">INT(C12/Pemetaan!$B$4)</f>
        <v>0</v>
      </c>
      <c r="E12" s="0" t="n">
        <f aca="false">MOD(C12,Pemetaan!$B$4)</f>
        <v>10</v>
      </c>
      <c r="F12" s="0" t="n">
        <f aca="false">IF(B12="PRODUKSI",Pemetaan!$B$5,Pemetaan!$B$6)</f>
        <v>5</v>
      </c>
      <c r="G12" s="0" t="n">
        <f aca="false">F12+2+D12</f>
        <v>7</v>
      </c>
      <c r="H12" s="0" t="n">
        <f aca="false">Pemetaan!$B$2+E12</f>
        <v>15</v>
      </c>
      <c r="I12" s="0" t="str">
        <f aca="false">INDEX(Laporan!$A$1:$AZ$300,G12,1)</f>
        <v>Water Treatment</v>
      </c>
      <c r="J12" s="0" t="str">
        <f aca="false">INDEX(Laporan!$A$1:$AZ$300,G12,2)</f>
        <v>330 ml</v>
      </c>
      <c r="K12" s="0" t="str">
        <f aca="false">INDEX(Laporan!$A$1:$AZ$300,G12,3)</f>
        <v>Shift 1</v>
      </c>
      <c r="L12" s="0" t="n">
        <f aca="false">INDEX(Laporan!$A$1:$AZ$300,G12,4)</f>
        <v>1</v>
      </c>
      <c r="M12" s="1" t="n">
        <f aca="false">DATE(Pemetaan!$B$1,VALUE(RIGHT(INDEX(Laporan!$A$1:$AZ$300,F12+1,H12),2)),VALUE(LEFT(INDEX(Laporan!$A$1:$AZ$300,F12+1,H12),2)))</f>
        <v>46097</v>
      </c>
      <c r="N12" s="0" t="n">
        <f aca="false">INDEX(Laporan!$A$1:$AZ$300,G12,H12)</f>
        <v>3186</v>
      </c>
      <c r="O12" s="0" t="n">
        <f aca="false">IF(N12="","",IFERROR(VALUE(SUBSTITUTE(SUBSTITUTE(N12," btl",""),".","")),""))</f>
        <v>3186</v>
      </c>
      <c r="P12" s="0" t="str">
        <f aca="false">IF(B12="PRODUKSI","produced","reject")</f>
        <v>produced</v>
      </c>
    </row>
    <row r="13" customFormat="false" ht="15" hidden="false" customHeight="false" outlineLevel="0" collapsed="false">
      <c r="A13" s="0" t="n">
        <v>12</v>
      </c>
      <c r="B13" s="0" t="str">
        <f aca="false">IF(A13&lt;=36*25,"PRODUKSI","REJECT")</f>
        <v>PRODUKSI</v>
      </c>
      <c r="C13" s="0" t="n">
        <f aca="false">MOD(A13-1,Pemetaan!$B$3*Pemetaan!$B$4)</f>
        <v>11</v>
      </c>
      <c r="D13" s="0" t="n">
        <f aca="false">INT(C13/Pemetaan!$B$4)</f>
        <v>0</v>
      </c>
      <c r="E13" s="0" t="n">
        <f aca="false">MOD(C13,Pemetaan!$B$4)</f>
        <v>11</v>
      </c>
      <c r="F13" s="0" t="n">
        <f aca="false">IF(B13="PRODUKSI",Pemetaan!$B$5,Pemetaan!$B$6)</f>
        <v>5</v>
      </c>
      <c r="G13" s="0" t="n">
        <f aca="false">F13+2+D13</f>
        <v>7</v>
      </c>
      <c r="H13" s="0" t="n">
        <f aca="false">Pemetaan!$B$2+E13</f>
        <v>16</v>
      </c>
      <c r="I13" s="0" t="str">
        <f aca="false">INDEX(Laporan!$A$1:$AZ$300,G13,1)</f>
        <v>Water Treatment</v>
      </c>
      <c r="J13" s="0" t="str">
        <f aca="false">INDEX(Laporan!$A$1:$AZ$300,G13,2)</f>
        <v>330 ml</v>
      </c>
      <c r="K13" s="0" t="str">
        <f aca="false">INDEX(Laporan!$A$1:$AZ$300,G13,3)</f>
        <v>Shift 1</v>
      </c>
      <c r="L13" s="0" t="n">
        <f aca="false">INDEX(Laporan!$A$1:$AZ$300,G13,4)</f>
        <v>1</v>
      </c>
      <c r="M13" s="1" t="n">
        <f aca="false">DATE(Pemetaan!$B$1,VALUE(RIGHT(INDEX(Laporan!$A$1:$AZ$300,F13+1,H13),2)),VALUE(LEFT(INDEX(Laporan!$A$1:$AZ$300,F13+1,H13),2)))</f>
        <v>46098</v>
      </c>
      <c r="N13" s="0" t="n">
        <f aca="false">INDEX(Laporan!$A$1:$AZ$300,G13,H13)</f>
        <v>3080</v>
      </c>
      <c r="O13" s="0" t="n">
        <f aca="false">IF(N13="","",IFERROR(VALUE(SUBSTITUTE(SUBSTITUTE(N13," btl",""),".","")),""))</f>
        <v>3080</v>
      </c>
      <c r="P13" s="0" t="str">
        <f aca="false">IF(B13="PRODUKSI","produced","reject")</f>
        <v>produced</v>
      </c>
    </row>
    <row r="14" customFormat="false" ht="15" hidden="false" customHeight="false" outlineLevel="0" collapsed="false">
      <c r="A14" s="0" t="n">
        <v>13</v>
      </c>
      <c r="B14" s="0" t="str">
        <f aca="false">IF(A14&lt;=36*25,"PRODUKSI","REJECT")</f>
        <v>PRODUKSI</v>
      </c>
      <c r="C14" s="0" t="n">
        <f aca="false">MOD(A14-1,Pemetaan!$B$3*Pemetaan!$B$4)</f>
        <v>12</v>
      </c>
      <c r="D14" s="0" t="n">
        <f aca="false">INT(C14/Pemetaan!$B$4)</f>
        <v>0</v>
      </c>
      <c r="E14" s="0" t="n">
        <f aca="false">MOD(C14,Pemetaan!$B$4)</f>
        <v>12</v>
      </c>
      <c r="F14" s="0" t="n">
        <f aca="false">IF(B14="PRODUKSI",Pemetaan!$B$5,Pemetaan!$B$6)</f>
        <v>5</v>
      </c>
      <c r="G14" s="0" t="n">
        <f aca="false">F14+2+D14</f>
        <v>7</v>
      </c>
      <c r="H14" s="0" t="n">
        <f aca="false">Pemetaan!$B$2+E14</f>
        <v>17</v>
      </c>
      <c r="I14" s="0" t="str">
        <f aca="false">INDEX(Laporan!$A$1:$AZ$300,G14,1)</f>
        <v>Water Treatment</v>
      </c>
      <c r="J14" s="0" t="str">
        <f aca="false">INDEX(Laporan!$A$1:$AZ$300,G14,2)</f>
        <v>330 ml</v>
      </c>
      <c r="K14" s="0" t="str">
        <f aca="false">INDEX(Laporan!$A$1:$AZ$300,G14,3)</f>
        <v>Shift 1</v>
      </c>
      <c r="L14" s="0" t="n">
        <f aca="false">INDEX(Laporan!$A$1:$AZ$300,G14,4)</f>
        <v>1</v>
      </c>
      <c r="M14" s="1" t="n">
        <f aca="false">DATE(Pemetaan!$B$1,VALUE(RIGHT(INDEX(Laporan!$A$1:$AZ$300,F14+1,H14),2)),VALUE(LEFT(INDEX(Laporan!$A$1:$AZ$300,F14+1,H14),2)))</f>
        <v>46099</v>
      </c>
      <c r="N14" s="0" t="n">
        <f aca="false">INDEX(Laporan!$A$1:$AZ$300,G14,H14)</f>
        <v>3527</v>
      </c>
      <c r="O14" s="0" t="n">
        <f aca="false">IF(N14="","",IFERROR(VALUE(SUBSTITUTE(SUBSTITUTE(N14," btl",""),".","")),""))</f>
        <v>3527</v>
      </c>
      <c r="P14" s="0" t="str">
        <f aca="false">IF(B14="PRODUKSI","produced","reject")</f>
        <v>produced</v>
      </c>
    </row>
    <row r="15" customFormat="false" ht="15" hidden="false" customHeight="false" outlineLevel="0" collapsed="false">
      <c r="A15" s="0" t="n">
        <v>14</v>
      </c>
      <c r="B15" s="0" t="str">
        <f aca="false">IF(A15&lt;=36*25,"PRODUKSI","REJECT")</f>
        <v>PRODUKSI</v>
      </c>
      <c r="C15" s="0" t="n">
        <f aca="false">MOD(A15-1,Pemetaan!$B$3*Pemetaan!$B$4)</f>
        <v>13</v>
      </c>
      <c r="D15" s="0" t="n">
        <f aca="false">INT(C15/Pemetaan!$B$4)</f>
        <v>0</v>
      </c>
      <c r="E15" s="0" t="n">
        <f aca="false">MOD(C15,Pemetaan!$B$4)</f>
        <v>13</v>
      </c>
      <c r="F15" s="0" t="n">
        <f aca="false">IF(B15="PRODUKSI",Pemetaan!$B$5,Pemetaan!$B$6)</f>
        <v>5</v>
      </c>
      <c r="G15" s="0" t="n">
        <f aca="false">F15+2+D15</f>
        <v>7</v>
      </c>
      <c r="H15" s="0" t="n">
        <f aca="false">Pemetaan!$B$2+E15</f>
        <v>18</v>
      </c>
      <c r="I15" s="0" t="str">
        <f aca="false">INDEX(Laporan!$A$1:$AZ$300,G15,1)</f>
        <v>Water Treatment</v>
      </c>
      <c r="J15" s="0" t="str">
        <f aca="false">INDEX(Laporan!$A$1:$AZ$300,G15,2)</f>
        <v>330 ml</v>
      </c>
      <c r="K15" s="0" t="str">
        <f aca="false">INDEX(Laporan!$A$1:$AZ$300,G15,3)</f>
        <v>Shift 1</v>
      </c>
      <c r="L15" s="0" t="n">
        <f aca="false">INDEX(Laporan!$A$1:$AZ$300,G15,4)</f>
        <v>1</v>
      </c>
      <c r="M15" s="1" t="n">
        <f aca="false">DATE(Pemetaan!$B$1,VALUE(RIGHT(INDEX(Laporan!$A$1:$AZ$300,F15+1,H15),2)),VALUE(LEFT(INDEX(Laporan!$A$1:$AZ$300,F15+1,H15),2)))</f>
        <v>46100</v>
      </c>
      <c r="N15" s="0" t="n">
        <f aca="false">INDEX(Laporan!$A$1:$AZ$300,G15,H15)</f>
        <v>3177</v>
      </c>
      <c r="O15" s="0" t="n">
        <f aca="false">IF(N15="","",IFERROR(VALUE(SUBSTITUTE(SUBSTITUTE(N15," btl",""),".","")),""))</f>
        <v>3177</v>
      </c>
      <c r="P15" s="0" t="str">
        <f aca="false">IF(B15="PRODUKSI","produced","reject")</f>
        <v>produced</v>
      </c>
    </row>
    <row r="16" customFormat="false" ht="15" hidden="false" customHeight="false" outlineLevel="0" collapsed="false">
      <c r="A16" s="0" t="n">
        <v>15</v>
      </c>
      <c r="B16" s="0" t="str">
        <f aca="false">IF(A16&lt;=36*25,"PRODUKSI","REJECT")</f>
        <v>PRODUKSI</v>
      </c>
      <c r="C16" s="0" t="n">
        <f aca="false">MOD(A16-1,Pemetaan!$B$3*Pemetaan!$B$4)</f>
        <v>14</v>
      </c>
      <c r="D16" s="0" t="n">
        <f aca="false">INT(C16/Pemetaan!$B$4)</f>
        <v>0</v>
      </c>
      <c r="E16" s="0" t="n">
        <f aca="false">MOD(C16,Pemetaan!$B$4)</f>
        <v>14</v>
      </c>
      <c r="F16" s="0" t="n">
        <f aca="false">IF(B16="PRODUKSI",Pemetaan!$B$5,Pemetaan!$B$6)</f>
        <v>5</v>
      </c>
      <c r="G16" s="0" t="n">
        <f aca="false">F16+2+D16</f>
        <v>7</v>
      </c>
      <c r="H16" s="0" t="n">
        <f aca="false">Pemetaan!$B$2+E16</f>
        <v>19</v>
      </c>
      <c r="I16" s="0" t="str">
        <f aca="false">INDEX(Laporan!$A$1:$AZ$300,G16,1)</f>
        <v>Water Treatment</v>
      </c>
      <c r="J16" s="0" t="str">
        <f aca="false">INDEX(Laporan!$A$1:$AZ$300,G16,2)</f>
        <v>330 ml</v>
      </c>
      <c r="K16" s="0" t="str">
        <f aca="false">INDEX(Laporan!$A$1:$AZ$300,G16,3)</f>
        <v>Shift 1</v>
      </c>
      <c r="L16" s="0" t="n">
        <f aca="false">INDEX(Laporan!$A$1:$AZ$300,G16,4)</f>
        <v>1</v>
      </c>
      <c r="M16" s="1" t="n">
        <f aca="false">DATE(Pemetaan!$B$1,VALUE(RIGHT(INDEX(Laporan!$A$1:$AZ$300,F16+1,H16),2)),VALUE(LEFT(INDEX(Laporan!$A$1:$AZ$300,F16+1,H16),2)))</f>
        <v>46101</v>
      </c>
      <c r="N16" s="0" t="n">
        <f aca="false">INDEX(Laporan!$A$1:$AZ$300,G16,H16)</f>
        <v>3085</v>
      </c>
      <c r="O16" s="0" t="n">
        <f aca="false">IF(N16="","",IFERROR(VALUE(SUBSTITUTE(SUBSTITUTE(N16," btl",""),".","")),""))</f>
        <v>3085</v>
      </c>
      <c r="P16" s="0" t="str">
        <f aca="false">IF(B16="PRODUKSI","produced","reject")</f>
        <v>produced</v>
      </c>
    </row>
    <row r="17" customFormat="false" ht="15" hidden="false" customHeight="false" outlineLevel="0" collapsed="false">
      <c r="A17" s="0" t="n">
        <v>16</v>
      </c>
      <c r="B17" s="0" t="str">
        <f aca="false">IF(A17&lt;=36*25,"PRODUKSI","REJECT")</f>
        <v>PRODUKSI</v>
      </c>
      <c r="C17" s="0" t="n">
        <f aca="false">MOD(A17-1,Pemetaan!$B$3*Pemetaan!$B$4)</f>
        <v>15</v>
      </c>
      <c r="D17" s="0" t="n">
        <f aca="false">INT(C17/Pemetaan!$B$4)</f>
        <v>0</v>
      </c>
      <c r="E17" s="0" t="n">
        <f aca="false">MOD(C17,Pemetaan!$B$4)</f>
        <v>15</v>
      </c>
      <c r="F17" s="0" t="n">
        <f aca="false">IF(B17="PRODUKSI",Pemetaan!$B$5,Pemetaan!$B$6)</f>
        <v>5</v>
      </c>
      <c r="G17" s="0" t="n">
        <f aca="false">F17+2+D17</f>
        <v>7</v>
      </c>
      <c r="H17" s="0" t="n">
        <f aca="false">Pemetaan!$B$2+E17</f>
        <v>20</v>
      </c>
      <c r="I17" s="0" t="str">
        <f aca="false">INDEX(Laporan!$A$1:$AZ$300,G17,1)</f>
        <v>Water Treatment</v>
      </c>
      <c r="J17" s="0" t="str">
        <f aca="false">INDEX(Laporan!$A$1:$AZ$300,G17,2)</f>
        <v>330 ml</v>
      </c>
      <c r="K17" s="0" t="str">
        <f aca="false">INDEX(Laporan!$A$1:$AZ$300,G17,3)</f>
        <v>Shift 1</v>
      </c>
      <c r="L17" s="0" t="n">
        <f aca="false">INDEX(Laporan!$A$1:$AZ$300,G17,4)</f>
        <v>1</v>
      </c>
      <c r="M17" s="1" t="n">
        <f aca="false">DATE(Pemetaan!$B$1,VALUE(RIGHT(INDEX(Laporan!$A$1:$AZ$300,F17+1,H17),2)),VALUE(LEFT(INDEX(Laporan!$A$1:$AZ$300,F17+1,H17),2)))</f>
        <v>46104</v>
      </c>
      <c r="N17" s="0" t="n">
        <f aca="false">INDEX(Laporan!$A$1:$AZ$300,G17,H17)</f>
        <v>3402</v>
      </c>
      <c r="O17" s="0" t="n">
        <f aca="false">IF(N17="","",IFERROR(VALUE(SUBSTITUTE(SUBSTITUTE(N17," btl",""),".","")),""))</f>
        <v>3402</v>
      </c>
      <c r="P17" s="0" t="str">
        <f aca="false">IF(B17="PRODUKSI","produced","reject")</f>
        <v>produced</v>
      </c>
    </row>
    <row r="18" customFormat="false" ht="15" hidden="false" customHeight="false" outlineLevel="0" collapsed="false">
      <c r="A18" s="0" t="n">
        <v>17</v>
      </c>
      <c r="B18" s="0" t="str">
        <f aca="false">IF(A18&lt;=36*25,"PRODUKSI","REJECT")</f>
        <v>PRODUKSI</v>
      </c>
      <c r="C18" s="0" t="n">
        <f aca="false">MOD(A18-1,Pemetaan!$B$3*Pemetaan!$B$4)</f>
        <v>16</v>
      </c>
      <c r="D18" s="0" t="n">
        <f aca="false">INT(C18/Pemetaan!$B$4)</f>
        <v>0</v>
      </c>
      <c r="E18" s="0" t="n">
        <f aca="false">MOD(C18,Pemetaan!$B$4)</f>
        <v>16</v>
      </c>
      <c r="F18" s="0" t="n">
        <f aca="false">IF(B18="PRODUKSI",Pemetaan!$B$5,Pemetaan!$B$6)</f>
        <v>5</v>
      </c>
      <c r="G18" s="0" t="n">
        <f aca="false">F18+2+D18</f>
        <v>7</v>
      </c>
      <c r="H18" s="0" t="n">
        <f aca="false">Pemetaan!$B$2+E18</f>
        <v>21</v>
      </c>
      <c r="I18" s="0" t="str">
        <f aca="false">INDEX(Laporan!$A$1:$AZ$300,G18,1)</f>
        <v>Water Treatment</v>
      </c>
      <c r="J18" s="0" t="str">
        <f aca="false">INDEX(Laporan!$A$1:$AZ$300,G18,2)</f>
        <v>330 ml</v>
      </c>
      <c r="K18" s="0" t="str">
        <f aca="false">INDEX(Laporan!$A$1:$AZ$300,G18,3)</f>
        <v>Shift 1</v>
      </c>
      <c r="L18" s="0" t="n">
        <f aca="false">INDEX(Laporan!$A$1:$AZ$300,G18,4)</f>
        <v>1</v>
      </c>
      <c r="M18" s="1" t="n">
        <f aca="false">DATE(Pemetaan!$B$1,VALUE(RIGHT(INDEX(Laporan!$A$1:$AZ$300,F18+1,H18),2)),VALUE(LEFT(INDEX(Laporan!$A$1:$AZ$300,F18+1,H18),2)))</f>
        <v>46105</v>
      </c>
      <c r="N18" s="0" t="n">
        <f aca="false">INDEX(Laporan!$A$1:$AZ$300,G18,H18)</f>
        <v>3278</v>
      </c>
      <c r="O18" s="0" t="n">
        <f aca="false">IF(N18="","",IFERROR(VALUE(SUBSTITUTE(SUBSTITUTE(N18," btl",""),".","")),""))</f>
        <v>3278</v>
      </c>
      <c r="P18" s="0" t="str">
        <f aca="false">IF(B18="PRODUKSI","produced","reject")</f>
        <v>produced</v>
      </c>
    </row>
    <row r="19" customFormat="false" ht="15" hidden="false" customHeight="false" outlineLevel="0" collapsed="false">
      <c r="A19" s="0" t="n">
        <v>18</v>
      </c>
      <c r="B19" s="0" t="str">
        <f aca="false">IF(A19&lt;=36*25,"PRODUKSI","REJECT")</f>
        <v>PRODUKSI</v>
      </c>
      <c r="C19" s="0" t="n">
        <f aca="false">MOD(A19-1,Pemetaan!$B$3*Pemetaan!$B$4)</f>
        <v>17</v>
      </c>
      <c r="D19" s="0" t="n">
        <f aca="false">INT(C19/Pemetaan!$B$4)</f>
        <v>0</v>
      </c>
      <c r="E19" s="0" t="n">
        <f aca="false">MOD(C19,Pemetaan!$B$4)</f>
        <v>17</v>
      </c>
      <c r="F19" s="0" t="n">
        <f aca="false">IF(B19="PRODUKSI",Pemetaan!$B$5,Pemetaan!$B$6)</f>
        <v>5</v>
      </c>
      <c r="G19" s="0" t="n">
        <f aca="false">F19+2+D19</f>
        <v>7</v>
      </c>
      <c r="H19" s="0" t="n">
        <f aca="false">Pemetaan!$B$2+E19</f>
        <v>22</v>
      </c>
      <c r="I19" s="0" t="str">
        <f aca="false">INDEX(Laporan!$A$1:$AZ$300,G19,1)</f>
        <v>Water Treatment</v>
      </c>
      <c r="J19" s="0" t="str">
        <f aca="false">INDEX(Laporan!$A$1:$AZ$300,G19,2)</f>
        <v>330 ml</v>
      </c>
      <c r="K19" s="0" t="str">
        <f aca="false">INDEX(Laporan!$A$1:$AZ$300,G19,3)</f>
        <v>Shift 1</v>
      </c>
      <c r="L19" s="0" t="n">
        <f aca="false">INDEX(Laporan!$A$1:$AZ$300,G19,4)</f>
        <v>1</v>
      </c>
      <c r="M19" s="1" t="n">
        <f aca="false">DATE(Pemetaan!$B$1,VALUE(RIGHT(INDEX(Laporan!$A$1:$AZ$300,F19+1,H19),2)),VALUE(LEFT(INDEX(Laporan!$A$1:$AZ$300,F19+1,H19),2)))</f>
        <v>46106</v>
      </c>
      <c r="N19" s="0" t="n">
        <f aca="false">INDEX(Laporan!$A$1:$AZ$300,G19,H19)</f>
        <v>3198</v>
      </c>
      <c r="O19" s="0" t="n">
        <f aca="false">IF(N19="","",IFERROR(VALUE(SUBSTITUTE(SUBSTITUTE(N19," btl",""),".","")),""))</f>
        <v>3198</v>
      </c>
      <c r="P19" s="0" t="str">
        <f aca="false">IF(B19="PRODUKSI","produced","reject")</f>
        <v>produced</v>
      </c>
    </row>
    <row r="20" customFormat="false" ht="15" hidden="false" customHeight="false" outlineLevel="0" collapsed="false">
      <c r="A20" s="0" t="n">
        <v>19</v>
      </c>
      <c r="B20" s="0" t="str">
        <f aca="false">IF(A20&lt;=36*25,"PRODUKSI","REJECT")</f>
        <v>PRODUKSI</v>
      </c>
      <c r="C20" s="0" t="n">
        <f aca="false">MOD(A20-1,Pemetaan!$B$3*Pemetaan!$B$4)</f>
        <v>18</v>
      </c>
      <c r="D20" s="0" t="n">
        <f aca="false">INT(C20/Pemetaan!$B$4)</f>
        <v>0</v>
      </c>
      <c r="E20" s="0" t="n">
        <f aca="false">MOD(C20,Pemetaan!$B$4)</f>
        <v>18</v>
      </c>
      <c r="F20" s="0" t="n">
        <f aca="false">IF(B20="PRODUKSI",Pemetaan!$B$5,Pemetaan!$B$6)</f>
        <v>5</v>
      </c>
      <c r="G20" s="0" t="n">
        <f aca="false">F20+2+D20</f>
        <v>7</v>
      </c>
      <c r="H20" s="0" t="n">
        <f aca="false">Pemetaan!$B$2+E20</f>
        <v>23</v>
      </c>
      <c r="I20" s="0" t="str">
        <f aca="false">INDEX(Laporan!$A$1:$AZ$300,G20,1)</f>
        <v>Water Treatment</v>
      </c>
      <c r="J20" s="0" t="str">
        <f aca="false">INDEX(Laporan!$A$1:$AZ$300,G20,2)</f>
        <v>330 ml</v>
      </c>
      <c r="K20" s="0" t="str">
        <f aca="false">INDEX(Laporan!$A$1:$AZ$300,G20,3)</f>
        <v>Shift 1</v>
      </c>
      <c r="L20" s="0" t="n">
        <f aca="false">INDEX(Laporan!$A$1:$AZ$300,G20,4)</f>
        <v>1</v>
      </c>
      <c r="M20" s="1" t="n">
        <f aca="false">DATE(Pemetaan!$B$1,VALUE(RIGHT(INDEX(Laporan!$A$1:$AZ$300,F20+1,H20),2)),VALUE(LEFT(INDEX(Laporan!$A$1:$AZ$300,F20+1,H20),2)))</f>
        <v>46107</v>
      </c>
      <c r="N20" s="0" t="n">
        <f aca="false">INDEX(Laporan!$A$1:$AZ$300,G20,H20)</f>
        <v>3159</v>
      </c>
      <c r="O20" s="0" t="n">
        <f aca="false">IF(N20="","",IFERROR(VALUE(SUBSTITUTE(SUBSTITUTE(N20," btl",""),".","")),""))</f>
        <v>3159</v>
      </c>
      <c r="P20" s="0" t="str">
        <f aca="false">IF(B20="PRODUKSI","produced","reject")</f>
        <v>produced</v>
      </c>
    </row>
    <row r="21" customFormat="false" ht="15" hidden="false" customHeight="false" outlineLevel="0" collapsed="false">
      <c r="A21" s="0" t="n">
        <v>20</v>
      </c>
      <c r="B21" s="0" t="str">
        <f aca="false">IF(A21&lt;=36*25,"PRODUKSI","REJECT")</f>
        <v>PRODUKSI</v>
      </c>
      <c r="C21" s="0" t="n">
        <f aca="false">MOD(A21-1,Pemetaan!$B$3*Pemetaan!$B$4)</f>
        <v>19</v>
      </c>
      <c r="D21" s="0" t="n">
        <f aca="false">INT(C21/Pemetaan!$B$4)</f>
        <v>0</v>
      </c>
      <c r="E21" s="0" t="n">
        <f aca="false">MOD(C21,Pemetaan!$B$4)</f>
        <v>19</v>
      </c>
      <c r="F21" s="0" t="n">
        <f aca="false">IF(B21="PRODUKSI",Pemetaan!$B$5,Pemetaan!$B$6)</f>
        <v>5</v>
      </c>
      <c r="G21" s="0" t="n">
        <f aca="false">F21+2+D21</f>
        <v>7</v>
      </c>
      <c r="H21" s="0" t="n">
        <f aca="false">Pemetaan!$B$2+E21</f>
        <v>24</v>
      </c>
      <c r="I21" s="0" t="str">
        <f aca="false">INDEX(Laporan!$A$1:$AZ$300,G21,1)</f>
        <v>Water Treatment</v>
      </c>
      <c r="J21" s="0" t="str">
        <f aca="false">INDEX(Laporan!$A$1:$AZ$300,G21,2)</f>
        <v>330 ml</v>
      </c>
      <c r="K21" s="0" t="str">
        <f aca="false">INDEX(Laporan!$A$1:$AZ$300,G21,3)</f>
        <v>Shift 1</v>
      </c>
      <c r="L21" s="0" t="n">
        <f aca="false">INDEX(Laporan!$A$1:$AZ$300,G21,4)</f>
        <v>1</v>
      </c>
      <c r="M21" s="1" t="n">
        <f aca="false">DATE(Pemetaan!$B$1,VALUE(RIGHT(INDEX(Laporan!$A$1:$AZ$300,F21+1,H21),2)),VALUE(LEFT(INDEX(Laporan!$A$1:$AZ$300,F21+1,H21),2)))</f>
        <v>46108</v>
      </c>
      <c r="N21" s="0" t="n">
        <f aca="false">INDEX(Laporan!$A$1:$AZ$300,G21,H21)</f>
        <v>3381</v>
      </c>
      <c r="O21" s="0" t="n">
        <f aca="false">IF(N21="","",IFERROR(VALUE(SUBSTITUTE(SUBSTITUTE(N21," btl",""),".","")),""))</f>
        <v>3381</v>
      </c>
      <c r="P21" s="0" t="str">
        <f aca="false">IF(B21="PRODUKSI","produced","reject")</f>
        <v>produced</v>
      </c>
    </row>
    <row r="22" customFormat="false" ht="15" hidden="false" customHeight="false" outlineLevel="0" collapsed="false">
      <c r="A22" s="0" t="n">
        <v>21</v>
      </c>
      <c r="B22" s="0" t="str">
        <f aca="false">IF(A22&lt;=36*25,"PRODUKSI","REJECT")</f>
        <v>PRODUKSI</v>
      </c>
      <c r="C22" s="0" t="n">
        <f aca="false">MOD(A22-1,Pemetaan!$B$3*Pemetaan!$B$4)</f>
        <v>20</v>
      </c>
      <c r="D22" s="0" t="n">
        <f aca="false">INT(C22/Pemetaan!$B$4)</f>
        <v>0</v>
      </c>
      <c r="E22" s="0" t="n">
        <f aca="false">MOD(C22,Pemetaan!$B$4)</f>
        <v>20</v>
      </c>
      <c r="F22" s="0" t="n">
        <f aca="false">IF(B22="PRODUKSI",Pemetaan!$B$5,Pemetaan!$B$6)</f>
        <v>5</v>
      </c>
      <c r="G22" s="0" t="n">
        <f aca="false">F22+2+D22</f>
        <v>7</v>
      </c>
      <c r="H22" s="0" t="n">
        <f aca="false">Pemetaan!$B$2+E22</f>
        <v>25</v>
      </c>
      <c r="I22" s="0" t="str">
        <f aca="false">INDEX(Laporan!$A$1:$AZ$300,G22,1)</f>
        <v>Water Treatment</v>
      </c>
      <c r="J22" s="0" t="str">
        <f aca="false">INDEX(Laporan!$A$1:$AZ$300,G22,2)</f>
        <v>330 ml</v>
      </c>
      <c r="K22" s="0" t="str">
        <f aca="false">INDEX(Laporan!$A$1:$AZ$300,G22,3)</f>
        <v>Shift 1</v>
      </c>
      <c r="L22" s="0" t="n">
        <f aca="false">INDEX(Laporan!$A$1:$AZ$300,G22,4)</f>
        <v>1</v>
      </c>
      <c r="M22" s="1" t="n">
        <f aca="false">DATE(Pemetaan!$B$1,VALUE(RIGHT(INDEX(Laporan!$A$1:$AZ$300,F22+1,H22),2)),VALUE(LEFT(INDEX(Laporan!$A$1:$AZ$300,F22+1,H22),2)))</f>
        <v>46111</v>
      </c>
      <c r="N22" s="0" t="n">
        <f aca="false">INDEX(Laporan!$A$1:$AZ$300,G22,H22)</f>
        <v>3257</v>
      </c>
      <c r="O22" s="0" t="n">
        <f aca="false">IF(N22="","",IFERROR(VALUE(SUBSTITUTE(SUBSTITUTE(N22," btl",""),".","")),""))</f>
        <v>3257</v>
      </c>
      <c r="P22" s="0" t="str">
        <f aca="false">IF(B22="PRODUKSI","produced","reject")</f>
        <v>produced</v>
      </c>
    </row>
    <row r="23" customFormat="false" ht="15" hidden="false" customHeight="false" outlineLevel="0" collapsed="false">
      <c r="A23" s="0" t="n">
        <v>22</v>
      </c>
      <c r="B23" s="0" t="str">
        <f aca="false">IF(A23&lt;=36*25,"PRODUKSI","REJECT")</f>
        <v>PRODUKSI</v>
      </c>
      <c r="C23" s="0" t="n">
        <f aca="false">MOD(A23-1,Pemetaan!$B$3*Pemetaan!$B$4)</f>
        <v>21</v>
      </c>
      <c r="D23" s="0" t="n">
        <f aca="false">INT(C23/Pemetaan!$B$4)</f>
        <v>0</v>
      </c>
      <c r="E23" s="0" t="n">
        <f aca="false">MOD(C23,Pemetaan!$B$4)</f>
        <v>21</v>
      </c>
      <c r="F23" s="0" t="n">
        <f aca="false">IF(B23="PRODUKSI",Pemetaan!$B$5,Pemetaan!$B$6)</f>
        <v>5</v>
      </c>
      <c r="G23" s="0" t="n">
        <f aca="false">F23+2+D23</f>
        <v>7</v>
      </c>
      <c r="H23" s="0" t="n">
        <f aca="false">Pemetaan!$B$2+E23</f>
        <v>26</v>
      </c>
      <c r="I23" s="0" t="str">
        <f aca="false">INDEX(Laporan!$A$1:$AZ$300,G23,1)</f>
        <v>Water Treatment</v>
      </c>
      <c r="J23" s="0" t="str">
        <f aca="false">INDEX(Laporan!$A$1:$AZ$300,G23,2)</f>
        <v>330 ml</v>
      </c>
      <c r="K23" s="0" t="str">
        <f aca="false">INDEX(Laporan!$A$1:$AZ$300,G23,3)</f>
        <v>Shift 1</v>
      </c>
      <c r="L23" s="0" t="n">
        <f aca="false">INDEX(Laporan!$A$1:$AZ$300,G23,4)</f>
        <v>1</v>
      </c>
      <c r="M23" s="1" t="n">
        <f aca="false">DATE(Pemetaan!$B$1,VALUE(RIGHT(INDEX(Laporan!$A$1:$AZ$300,F23+1,H23),2)),VALUE(LEFT(INDEX(Laporan!$A$1:$AZ$300,F23+1,H23),2)))</f>
        <v>46112</v>
      </c>
      <c r="N23" s="0" t="n">
        <f aca="false">INDEX(Laporan!$A$1:$AZ$300,G23,H23)</f>
        <v>2895</v>
      </c>
      <c r="O23" s="0" t="n">
        <f aca="false">IF(N23="","",IFERROR(VALUE(SUBSTITUTE(SUBSTITUTE(N23," btl",""),".","")),""))</f>
        <v>2895</v>
      </c>
      <c r="P23" s="0" t="str">
        <f aca="false">IF(B23="PRODUKSI","produced","reject")</f>
        <v>produced</v>
      </c>
    </row>
    <row r="24" customFormat="false" ht="15" hidden="false" customHeight="false" outlineLevel="0" collapsed="false">
      <c r="A24" s="0" t="n">
        <v>23</v>
      </c>
      <c r="B24" s="0" t="str">
        <f aca="false">IF(A24&lt;=36*25,"PRODUKSI","REJECT")</f>
        <v>PRODUKSI</v>
      </c>
      <c r="C24" s="0" t="n">
        <f aca="false">MOD(A24-1,Pemetaan!$B$3*Pemetaan!$B$4)</f>
        <v>22</v>
      </c>
      <c r="D24" s="0" t="n">
        <f aca="false">INT(C24/Pemetaan!$B$4)</f>
        <v>0</v>
      </c>
      <c r="E24" s="0" t="n">
        <f aca="false">MOD(C24,Pemetaan!$B$4)</f>
        <v>22</v>
      </c>
      <c r="F24" s="0" t="n">
        <f aca="false">IF(B24="PRODUKSI",Pemetaan!$B$5,Pemetaan!$B$6)</f>
        <v>5</v>
      </c>
      <c r="G24" s="0" t="n">
        <f aca="false">F24+2+D24</f>
        <v>7</v>
      </c>
      <c r="H24" s="0" t="n">
        <f aca="false">Pemetaan!$B$2+E24</f>
        <v>27</v>
      </c>
      <c r="I24" s="0" t="str">
        <f aca="false">INDEX(Laporan!$A$1:$AZ$300,G24,1)</f>
        <v>Water Treatment</v>
      </c>
      <c r="J24" s="0" t="str">
        <f aca="false">INDEX(Laporan!$A$1:$AZ$300,G24,2)</f>
        <v>330 ml</v>
      </c>
      <c r="K24" s="0" t="str">
        <f aca="false">INDEX(Laporan!$A$1:$AZ$300,G24,3)</f>
        <v>Shift 1</v>
      </c>
      <c r="L24" s="0" t="n">
        <f aca="false">INDEX(Laporan!$A$1:$AZ$300,G24,4)</f>
        <v>1</v>
      </c>
      <c r="M24" s="1" t="n">
        <f aca="false">DATE(Pemetaan!$B$1,VALUE(RIGHT(INDEX(Laporan!$A$1:$AZ$300,F24+1,H24),2)),VALUE(LEFT(INDEX(Laporan!$A$1:$AZ$300,F24+1,H24),2)))</f>
        <v>46113</v>
      </c>
      <c r="N24" s="0" t="n">
        <f aca="false">INDEX(Laporan!$A$1:$AZ$300,G24,H24)</f>
        <v>3377</v>
      </c>
      <c r="O24" s="0" t="n">
        <f aca="false">IF(N24="","",IFERROR(VALUE(SUBSTITUTE(SUBSTITUTE(N24," btl",""),".","")),""))</f>
        <v>3377</v>
      </c>
      <c r="P24" s="0" t="str">
        <f aca="false">IF(B24="PRODUKSI","produced","reject")</f>
        <v>produced</v>
      </c>
    </row>
    <row r="25" customFormat="false" ht="15" hidden="false" customHeight="false" outlineLevel="0" collapsed="false">
      <c r="A25" s="0" t="n">
        <v>24</v>
      </c>
      <c r="B25" s="0" t="str">
        <f aca="false">IF(A25&lt;=36*25,"PRODUKSI","REJECT")</f>
        <v>PRODUKSI</v>
      </c>
      <c r="C25" s="0" t="n">
        <f aca="false">MOD(A25-1,Pemetaan!$B$3*Pemetaan!$B$4)</f>
        <v>23</v>
      </c>
      <c r="D25" s="0" t="n">
        <f aca="false">INT(C25/Pemetaan!$B$4)</f>
        <v>0</v>
      </c>
      <c r="E25" s="0" t="n">
        <f aca="false">MOD(C25,Pemetaan!$B$4)</f>
        <v>23</v>
      </c>
      <c r="F25" s="0" t="n">
        <f aca="false">IF(B25="PRODUKSI",Pemetaan!$B$5,Pemetaan!$B$6)</f>
        <v>5</v>
      </c>
      <c r="G25" s="0" t="n">
        <f aca="false">F25+2+D25</f>
        <v>7</v>
      </c>
      <c r="H25" s="0" t="n">
        <f aca="false">Pemetaan!$B$2+E25</f>
        <v>28</v>
      </c>
      <c r="I25" s="0" t="str">
        <f aca="false">INDEX(Laporan!$A$1:$AZ$300,G25,1)</f>
        <v>Water Treatment</v>
      </c>
      <c r="J25" s="0" t="str">
        <f aca="false">INDEX(Laporan!$A$1:$AZ$300,G25,2)</f>
        <v>330 ml</v>
      </c>
      <c r="K25" s="0" t="str">
        <f aca="false">INDEX(Laporan!$A$1:$AZ$300,G25,3)</f>
        <v>Shift 1</v>
      </c>
      <c r="L25" s="0" t="n">
        <f aca="false">INDEX(Laporan!$A$1:$AZ$300,G25,4)</f>
        <v>1</v>
      </c>
      <c r="M25" s="1" t="n">
        <f aca="false">DATE(Pemetaan!$B$1,VALUE(RIGHT(INDEX(Laporan!$A$1:$AZ$300,F25+1,H25),2)),VALUE(LEFT(INDEX(Laporan!$A$1:$AZ$300,F25+1,H25),2)))</f>
        <v>46114</v>
      </c>
      <c r="N25" s="0" t="n">
        <f aca="false">INDEX(Laporan!$A$1:$AZ$300,G25,H25)</f>
        <v>3596</v>
      </c>
      <c r="O25" s="0" t="n">
        <f aca="false">IF(N25="","",IFERROR(VALUE(SUBSTITUTE(SUBSTITUTE(N25," btl",""),".","")),""))</f>
        <v>3596</v>
      </c>
      <c r="P25" s="0" t="str">
        <f aca="false">IF(B25="PRODUKSI","produced","reject")</f>
        <v>produced</v>
      </c>
    </row>
    <row r="26" customFormat="false" ht="15" hidden="false" customHeight="false" outlineLevel="0" collapsed="false">
      <c r="A26" s="0" t="n">
        <v>25</v>
      </c>
      <c r="B26" s="0" t="str">
        <f aca="false">IF(A26&lt;=36*25,"PRODUKSI","REJECT")</f>
        <v>PRODUKSI</v>
      </c>
      <c r="C26" s="0" t="n">
        <f aca="false">MOD(A26-1,Pemetaan!$B$3*Pemetaan!$B$4)</f>
        <v>24</v>
      </c>
      <c r="D26" s="0" t="n">
        <f aca="false">INT(C26/Pemetaan!$B$4)</f>
        <v>0</v>
      </c>
      <c r="E26" s="0" t="n">
        <f aca="false">MOD(C26,Pemetaan!$B$4)</f>
        <v>24</v>
      </c>
      <c r="F26" s="0" t="n">
        <f aca="false">IF(B26="PRODUKSI",Pemetaan!$B$5,Pemetaan!$B$6)</f>
        <v>5</v>
      </c>
      <c r="G26" s="0" t="n">
        <f aca="false">F26+2+D26</f>
        <v>7</v>
      </c>
      <c r="H26" s="0" t="n">
        <f aca="false">Pemetaan!$B$2+E26</f>
        <v>29</v>
      </c>
      <c r="I26" s="0" t="str">
        <f aca="false">INDEX(Laporan!$A$1:$AZ$300,G26,1)</f>
        <v>Water Treatment</v>
      </c>
      <c r="J26" s="0" t="str">
        <f aca="false">INDEX(Laporan!$A$1:$AZ$300,G26,2)</f>
        <v>330 ml</v>
      </c>
      <c r="K26" s="0" t="str">
        <f aca="false">INDEX(Laporan!$A$1:$AZ$300,G26,3)</f>
        <v>Shift 1</v>
      </c>
      <c r="L26" s="0" t="n">
        <f aca="false">INDEX(Laporan!$A$1:$AZ$300,G26,4)</f>
        <v>1</v>
      </c>
      <c r="M26" s="1" t="n">
        <f aca="false">DATE(Pemetaan!$B$1,VALUE(RIGHT(INDEX(Laporan!$A$1:$AZ$300,F26+1,H26),2)),VALUE(LEFT(INDEX(Laporan!$A$1:$AZ$300,F26+1,H26),2)))</f>
        <v>46115</v>
      </c>
      <c r="N26" s="0" t="n">
        <f aca="false">INDEX(Laporan!$A$1:$AZ$300,G26,H26)</f>
        <v>3141</v>
      </c>
      <c r="O26" s="0" t="n">
        <f aca="false">IF(N26="","",IFERROR(VALUE(SUBSTITUTE(SUBSTITUTE(N26," btl",""),".","")),""))</f>
        <v>3141</v>
      </c>
      <c r="P26" s="0" t="str">
        <f aca="false">IF(B26="PRODUKSI","produced","reject")</f>
        <v>produced</v>
      </c>
    </row>
    <row r="27" customFormat="false" ht="15" hidden="false" customHeight="false" outlineLevel="0" collapsed="false">
      <c r="A27" s="0" t="n">
        <v>26</v>
      </c>
      <c r="B27" s="0" t="str">
        <f aca="false">IF(A27&lt;=36*25,"PRODUKSI","REJECT")</f>
        <v>PRODUKSI</v>
      </c>
      <c r="C27" s="0" t="n">
        <f aca="false">MOD(A27-1,Pemetaan!$B$3*Pemetaan!$B$4)</f>
        <v>25</v>
      </c>
      <c r="D27" s="0" t="n">
        <f aca="false">INT(C27/Pemetaan!$B$4)</f>
        <v>1</v>
      </c>
      <c r="E27" s="0" t="n">
        <f aca="false">MOD(C27,Pemetaan!$B$4)</f>
        <v>0</v>
      </c>
      <c r="F27" s="0" t="n">
        <f aca="false">IF(B27="PRODUKSI",Pemetaan!$B$5,Pemetaan!$B$6)</f>
        <v>5</v>
      </c>
      <c r="G27" s="0" t="n">
        <f aca="false">F27+2+D27</f>
        <v>8</v>
      </c>
      <c r="H27" s="0" t="n">
        <f aca="false">Pemetaan!$B$2+E27</f>
        <v>5</v>
      </c>
      <c r="I27" s="0" t="str">
        <f aca="false">INDEX(Laporan!$A$1:$AZ$300,G27,1)</f>
        <v>Water Treatment</v>
      </c>
      <c r="J27" s="0" t="str">
        <f aca="false">INDEX(Laporan!$A$1:$AZ$300,G27,2)</f>
        <v>330 ml</v>
      </c>
      <c r="K27" s="0" t="str">
        <f aca="false">INDEX(Laporan!$A$1:$AZ$300,G27,3)</f>
        <v>Shift 1</v>
      </c>
      <c r="L27" s="0" t="n">
        <f aca="false">INDEX(Laporan!$A$1:$AZ$300,G27,4)</f>
        <v>2</v>
      </c>
      <c r="M27" s="1" t="n">
        <f aca="false">DATE(Pemetaan!$B$1,VALUE(RIGHT(INDEX(Laporan!$A$1:$AZ$300,F27+1,H27),2)),VALUE(LEFT(INDEX(Laporan!$A$1:$AZ$300,F27+1,H27),2)))</f>
        <v>46083</v>
      </c>
      <c r="N27" s="0" t="n">
        <f aca="false">INDEX(Laporan!$A$1:$AZ$300,G27,H27)</f>
        <v>3411</v>
      </c>
      <c r="O27" s="0" t="n">
        <f aca="false">IF(N27="","",IFERROR(VALUE(SUBSTITUTE(SUBSTITUTE(N27," btl",""),".","")),""))</f>
        <v>3411</v>
      </c>
      <c r="P27" s="0" t="str">
        <f aca="false">IF(B27="PRODUKSI","produced","reject")</f>
        <v>produced</v>
      </c>
    </row>
    <row r="28" customFormat="false" ht="15" hidden="false" customHeight="false" outlineLevel="0" collapsed="false">
      <c r="A28" s="0" t="n">
        <v>27</v>
      </c>
      <c r="B28" s="0" t="str">
        <f aca="false">IF(A28&lt;=36*25,"PRODUKSI","REJECT")</f>
        <v>PRODUKSI</v>
      </c>
      <c r="C28" s="0" t="n">
        <f aca="false">MOD(A28-1,Pemetaan!$B$3*Pemetaan!$B$4)</f>
        <v>26</v>
      </c>
      <c r="D28" s="0" t="n">
        <f aca="false">INT(C28/Pemetaan!$B$4)</f>
        <v>1</v>
      </c>
      <c r="E28" s="0" t="n">
        <f aca="false">MOD(C28,Pemetaan!$B$4)</f>
        <v>1</v>
      </c>
      <c r="F28" s="0" t="n">
        <f aca="false">IF(B28="PRODUKSI",Pemetaan!$B$5,Pemetaan!$B$6)</f>
        <v>5</v>
      </c>
      <c r="G28" s="0" t="n">
        <f aca="false">F28+2+D28</f>
        <v>8</v>
      </c>
      <c r="H28" s="0" t="n">
        <f aca="false">Pemetaan!$B$2+E28</f>
        <v>6</v>
      </c>
      <c r="I28" s="0" t="str">
        <f aca="false">INDEX(Laporan!$A$1:$AZ$300,G28,1)</f>
        <v>Water Treatment</v>
      </c>
      <c r="J28" s="0" t="str">
        <f aca="false">INDEX(Laporan!$A$1:$AZ$300,G28,2)</f>
        <v>330 ml</v>
      </c>
      <c r="K28" s="0" t="str">
        <f aca="false">INDEX(Laporan!$A$1:$AZ$300,G28,3)</f>
        <v>Shift 1</v>
      </c>
      <c r="L28" s="0" t="n">
        <f aca="false">INDEX(Laporan!$A$1:$AZ$300,G28,4)</f>
        <v>2</v>
      </c>
      <c r="M28" s="1" t="n">
        <f aca="false">DATE(Pemetaan!$B$1,VALUE(RIGHT(INDEX(Laporan!$A$1:$AZ$300,F28+1,H28),2)),VALUE(LEFT(INDEX(Laporan!$A$1:$AZ$300,F28+1,H28),2)))</f>
        <v>46084</v>
      </c>
      <c r="N28" s="0" t="n">
        <f aca="false">INDEX(Laporan!$A$1:$AZ$300,G28,H28)</f>
        <v>3236</v>
      </c>
      <c r="O28" s="0" t="n">
        <f aca="false">IF(N28="","",IFERROR(VALUE(SUBSTITUTE(SUBSTITUTE(N28," btl",""),".","")),""))</f>
        <v>3236</v>
      </c>
      <c r="P28" s="0" t="str">
        <f aca="false">IF(B28="PRODUKSI","produced","reject")</f>
        <v>produced</v>
      </c>
    </row>
    <row r="29" customFormat="false" ht="15" hidden="false" customHeight="false" outlineLevel="0" collapsed="false">
      <c r="A29" s="0" t="n">
        <v>28</v>
      </c>
      <c r="B29" s="0" t="str">
        <f aca="false">IF(A29&lt;=36*25,"PRODUKSI","REJECT")</f>
        <v>PRODUKSI</v>
      </c>
      <c r="C29" s="0" t="n">
        <f aca="false">MOD(A29-1,Pemetaan!$B$3*Pemetaan!$B$4)</f>
        <v>27</v>
      </c>
      <c r="D29" s="0" t="n">
        <f aca="false">INT(C29/Pemetaan!$B$4)</f>
        <v>1</v>
      </c>
      <c r="E29" s="0" t="n">
        <f aca="false">MOD(C29,Pemetaan!$B$4)</f>
        <v>2</v>
      </c>
      <c r="F29" s="0" t="n">
        <f aca="false">IF(B29="PRODUKSI",Pemetaan!$B$5,Pemetaan!$B$6)</f>
        <v>5</v>
      </c>
      <c r="G29" s="0" t="n">
        <f aca="false">F29+2+D29</f>
        <v>8</v>
      </c>
      <c r="H29" s="0" t="n">
        <f aca="false">Pemetaan!$B$2+E29</f>
        <v>7</v>
      </c>
      <c r="I29" s="0" t="str">
        <f aca="false">INDEX(Laporan!$A$1:$AZ$300,G29,1)</f>
        <v>Water Treatment</v>
      </c>
      <c r="J29" s="0" t="str">
        <f aca="false">INDEX(Laporan!$A$1:$AZ$300,G29,2)</f>
        <v>330 ml</v>
      </c>
      <c r="K29" s="0" t="str">
        <f aca="false">INDEX(Laporan!$A$1:$AZ$300,G29,3)</f>
        <v>Shift 1</v>
      </c>
      <c r="L29" s="0" t="n">
        <f aca="false">INDEX(Laporan!$A$1:$AZ$300,G29,4)</f>
        <v>2</v>
      </c>
      <c r="M29" s="1" t="n">
        <f aca="false">DATE(Pemetaan!$B$1,VALUE(RIGHT(INDEX(Laporan!$A$1:$AZ$300,F29+1,H29),2)),VALUE(LEFT(INDEX(Laporan!$A$1:$AZ$300,F29+1,H29),2)))</f>
        <v>46085</v>
      </c>
      <c r="N29" s="0" t="n">
        <f aca="false">INDEX(Laporan!$A$1:$AZ$300,G29,H29)</f>
        <v>3517</v>
      </c>
      <c r="O29" s="0" t="n">
        <f aca="false">IF(N29="","",IFERROR(VALUE(SUBSTITUTE(SUBSTITUTE(N29," btl",""),".","")),""))</f>
        <v>3517</v>
      </c>
      <c r="P29" s="0" t="str">
        <f aca="false">IF(B29="PRODUKSI","produced","reject")</f>
        <v>produced</v>
      </c>
    </row>
    <row r="30" customFormat="false" ht="15" hidden="false" customHeight="false" outlineLevel="0" collapsed="false">
      <c r="A30" s="0" t="n">
        <v>29</v>
      </c>
      <c r="B30" s="0" t="str">
        <f aca="false">IF(A30&lt;=36*25,"PRODUKSI","REJECT")</f>
        <v>PRODUKSI</v>
      </c>
      <c r="C30" s="0" t="n">
        <f aca="false">MOD(A30-1,Pemetaan!$B$3*Pemetaan!$B$4)</f>
        <v>28</v>
      </c>
      <c r="D30" s="0" t="n">
        <f aca="false">INT(C30/Pemetaan!$B$4)</f>
        <v>1</v>
      </c>
      <c r="E30" s="0" t="n">
        <f aca="false">MOD(C30,Pemetaan!$B$4)</f>
        <v>3</v>
      </c>
      <c r="F30" s="0" t="n">
        <f aca="false">IF(B30="PRODUKSI",Pemetaan!$B$5,Pemetaan!$B$6)</f>
        <v>5</v>
      </c>
      <c r="G30" s="0" t="n">
        <f aca="false">F30+2+D30</f>
        <v>8</v>
      </c>
      <c r="H30" s="0" t="n">
        <f aca="false">Pemetaan!$B$2+E30</f>
        <v>8</v>
      </c>
      <c r="I30" s="0" t="str">
        <f aca="false">INDEX(Laporan!$A$1:$AZ$300,G30,1)</f>
        <v>Water Treatment</v>
      </c>
      <c r="J30" s="0" t="str">
        <f aca="false">INDEX(Laporan!$A$1:$AZ$300,G30,2)</f>
        <v>330 ml</v>
      </c>
      <c r="K30" s="0" t="str">
        <f aca="false">INDEX(Laporan!$A$1:$AZ$300,G30,3)</f>
        <v>Shift 1</v>
      </c>
      <c r="L30" s="0" t="n">
        <f aca="false">INDEX(Laporan!$A$1:$AZ$300,G30,4)</f>
        <v>2</v>
      </c>
      <c r="M30" s="1" t="n">
        <f aca="false">DATE(Pemetaan!$B$1,VALUE(RIGHT(INDEX(Laporan!$A$1:$AZ$300,F30+1,H30),2)),VALUE(LEFT(INDEX(Laporan!$A$1:$AZ$300,F30+1,H30),2)))</f>
        <v>46086</v>
      </c>
      <c r="N30" s="0" t="n">
        <f aca="false">INDEX(Laporan!$A$1:$AZ$300,G30,H30)</f>
        <v>3438</v>
      </c>
      <c r="O30" s="0" t="n">
        <f aca="false">IF(N30="","",IFERROR(VALUE(SUBSTITUTE(SUBSTITUTE(N30," btl",""),".","")),""))</f>
        <v>3438</v>
      </c>
      <c r="P30" s="0" t="str">
        <f aca="false">IF(B30="PRODUKSI","produced","reject")</f>
        <v>produced</v>
      </c>
    </row>
    <row r="31" customFormat="false" ht="15" hidden="false" customHeight="false" outlineLevel="0" collapsed="false">
      <c r="A31" s="0" t="n">
        <v>30</v>
      </c>
      <c r="B31" s="0" t="str">
        <f aca="false">IF(A31&lt;=36*25,"PRODUKSI","REJECT")</f>
        <v>PRODUKSI</v>
      </c>
      <c r="C31" s="0" t="n">
        <f aca="false">MOD(A31-1,Pemetaan!$B$3*Pemetaan!$B$4)</f>
        <v>29</v>
      </c>
      <c r="D31" s="0" t="n">
        <f aca="false">INT(C31/Pemetaan!$B$4)</f>
        <v>1</v>
      </c>
      <c r="E31" s="0" t="n">
        <f aca="false">MOD(C31,Pemetaan!$B$4)</f>
        <v>4</v>
      </c>
      <c r="F31" s="0" t="n">
        <f aca="false">IF(B31="PRODUKSI",Pemetaan!$B$5,Pemetaan!$B$6)</f>
        <v>5</v>
      </c>
      <c r="G31" s="0" t="n">
        <f aca="false">F31+2+D31</f>
        <v>8</v>
      </c>
      <c r="H31" s="0" t="n">
        <f aca="false">Pemetaan!$B$2+E31</f>
        <v>9</v>
      </c>
      <c r="I31" s="0" t="str">
        <f aca="false">INDEX(Laporan!$A$1:$AZ$300,G31,1)</f>
        <v>Water Treatment</v>
      </c>
      <c r="J31" s="0" t="str">
        <f aca="false">INDEX(Laporan!$A$1:$AZ$300,G31,2)</f>
        <v>330 ml</v>
      </c>
      <c r="K31" s="0" t="str">
        <f aca="false">INDEX(Laporan!$A$1:$AZ$300,G31,3)</f>
        <v>Shift 1</v>
      </c>
      <c r="L31" s="0" t="n">
        <f aca="false">INDEX(Laporan!$A$1:$AZ$300,G31,4)</f>
        <v>2</v>
      </c>
      <c r="M31" s="1" t="n">
        <f aca="false">DATE(Pemetaan!$B$1,VALUE(RIGHT(INDEX(Laporan!$A$1:$AZ$300,F31+1,H31),2)),VALUE(LEFT(INDEX(Laporan!$A$1:$AZ$300,F31+1,H31),2)))</f>
        <v>46087</v>
      </c>
      <c r="N31" s="0" t="n">
        <f aca="false">INDEX(Laporan!$A$1:$AZ$300,G31,H31)</f>
        <v>3720</v>
      </c>
      <c r="O31" s="0" t="n">
        <f aca="false">IF(N31="","",IFERROR(VALUE(SUBSTITUTE(SUBSTITUTE(N31," btl",""),".","")),""))</f>
        <v>3720</v>
      </c>
      <c r="P31" s="0" t="str">
        <f aca="false">IF(B31="PRODUKSI","produced","reject")</f>
        <v>produced</v>
      </c>
    </row>
    <row r="32" customFormat="false" ht="15" hidden="false" customHeight="false" outlineLevel="0" collapsed="false">
      <c r="A32" s="0" t="n">
        <v>31</v>
      </c>
      <c r="B32" s="0" t="str">
        <f aca="false">IF(A32&lt;=36*25,"PRODUKSI","REJECT")</f>
        <v>PRODUKSI</v>
      </c>
      <c r="C32" s="0" t="n">
        <f aca="false">MOD(A32-1,Pemetaan!$B$3*Pemetaan!$B$4)</f>
        <v>30</v>
      </c>
      <c r="D32" s="0" t="n">
        <f aca="false">INT(C32/Pemetaan!$B$4)</f>
        <v>1</v>
      </c>
      <c r="E32" s="0" t="n">
        <f aca="false">MOD(C32,Pemetaan!$B$4)</f>
        <v>5</v>
      </c>
      <c r="F32" s="0" t="n">
        <f aca="false">IF(B32="PRODUKSI",Pemetaan!$B$5,Pemetaan!$B$6)</f>
        <v>5</v>
      </c>
      <c r="G32" s="0" t="n">
        <f aca="false">F32+2+D32</f>
        <v>8</v>
      </c>
      <c r="H32" s="0" t="n">
        <f aca="false">Pemetaan!$B$2+E32</f>
        <v>10</v>
      </c>
      <c r="I32" s="0" t="str">
        <f aca="false">INDEX(Laporan!$A$1:$AZ$300,G32,1)</f>
        <v>Water Treatment</v>
      </c>
      <c r="J32" s="0" t="str">
        <f aca="false">INDEX(Laporan!$A$1:$AZ$300,G32,2)</f>
        <v>330 ml</v>
      </c>
      <c r="K32" s="0" t="str">
        <f aca="false">INDEX(Laporan!$A$1:$AZ$300,G32,3)</f>
        <v>Shift 1</v>
      </c>
      <c r="L32" s="0" t="n">
        <f aca="false">INDEX(Laporan!$A$1:$AZ$300,G32,4)</f>
        <v>2</v>
      </c>
      <c r="M32" s="1" t="n">
        <f aca="false">DATE(Pemetaan!$B$1,VALUE(RIGHT(INDEX(Laporan!$A$1:$AZ$300,F32+1,H32),2)),VALUE(LEFT(INDEX(Laporan!$A$1:$AZ$300,F32+1,H32),2)))</f>
        <v>46090</v>
      </c>
      <c r="N32" s="0" t="n">
        <f aca="false">INDEX(Laporan!$A$1:$AZ$300,G32,H32)</f>
        <v>3255</v>
      </c>
      <c r="O32" s="0" t="n">
        <f aca="false">IF(N32="","",IFERROR(VALUE(SUBSTITUTE(SUBSTITUTE(N32," btl",""),".","")),""))</f>
        <v>3255</v>
      </c>
      <c r="P32" s="0" t="str">
        <f aca="false">IF(B32="PRODUKSI","produced","reject")</f>
        <v>produced</v>
      </c>
    </row>
    <row r="33" customFormat="false" ht="15" hidden="false" customHeight="false" outlineLevel="0" collapsed="false">
      <c r="A33" s="0" t="n">
        <v>32</v>
      </c>
      <c r="B33" s="0" t="str">
        <f aca="false">IF(A33&lt;=36*25,"PRODUKSI","REJECT")</f>
        <v>PRODUKSI</v>
      </c>
      <c r="C33" s="0" t="n">
        <f aca="false">MOD(A33-1,Pemetaan!$B$3*Pemetaan!$B$4)</f>
        <v>31</v>
      </c>
      <c r="D33" s="0" t="n">
        <f aca="false">INT(C33/Pemetaan!$B$4)</f>
        <v>1</v>
      </c>
      <c r="E33" s="0" t="n">
        <f aca="false">MOD(C33,Pemetaan!$B$4)</f>
        <v>6</v>
      </c>
      <c r="F33" s="0" t="n">
        <f aca="false">IF(B33="PRODUKSI",Pemetaan!$B$5,Pemetaan!$B$6)</f>
        <v>5</v>
      </c>
      <c r="G33" s="0" t="n">
        <f aca="false">F33+2+D33</f>
        <v>8</v>
      </c>
      <c r="H33" s="0" t="n">
        <f aca="false">Pemetaan!$B$2+E33</f>
        <v>11</v>
      </c>
      <c r="I33" s="0" t="str">
        <f aca="false">INDEX(Laporan!$A$1:$AZ$300,G33,1)</f>
        <v>Water Treatment</v>
      </c>
      <c r="J33" s="0" t="str">
        <f aca="false">INDEX(Laporan!$A$1:$AZ$300,G33,2)</f>
        <v>330 ml</v>
      </c>
      <c r="K33" s="0" t="str">
        <f aca="false">INDEX(Laporan!$A$1:$AZ$300,G33,3)</f>
        <v>Shift 1</v>
      </c>
      <c r="L33" s="0" t="n">
        <f aca="false">INDEX(Laporan!$A$1:$AZ$300,G33,4)</f>
        <v>2</v>
      </c>
      <c r="M33" s="1" t="n">
        <f aca="false">DATE(Pemetaan!$B$1,VALUE(RIGHT(INDEX(Laporan!$A$1:$AZ$300,F33+1,H33),2)),VALUE(LEFT(INDEX(Laporan!$A$1:$AZ$300,F33+1,H33),2)))</f>
        <v>46091</v>
      </c>
      <c r="N33" s="0" t="n">
        <f aca="false">INDEX(Laporan!$A$1:$AZ$300,G33,H33)</f>
        <v>3633</v>
      </c>
      <c r="O33" s="0" t="n">
        <f aca="false">IF(N33="","",IFERROR(VALUE(SUBSTITUTE(SUBSTITUTE(N33," btl",""),".","")),""))</f>
        <v>3633</v>
      </c>
      <c r="P33" s="0" t="str">
        <f aca="false">IF(B33="PRODUKSI","produced","reject")</f>
        <v>produced</v>
      </c>
    </row>
    <row r="34" customFormat="false" ht="15" hidden="false" customHeight="false" outlineLevel="0" collapsed="false">
      <c r="A34" s="0" t="n">
        <v>33</v>
      </c>
      <c r="B34" s="0" t="str">
        <f aca="false">IF(A34&lt;=36*25,"PRODUKSI","REJECT")</f>
        <v>PRODUKSI</v>
      </c>
      <c r="C34" s="0" t="n">
        <f aca="false">MOD(A34-1,Pemetaan!$B$3*Pemetaan!$B$4)</f>
        <v>32</v>
      </c>
      <c r="D34" s="0" t="n">
        <f aca="false">INT(C34/Pemetaan!$B$4)</f>
        <v>1</v>
      </c>
      <c r="E34" s="0" t="n">
        <f aca="false">MOD(C34,Pemetaan!$B$4)</f>
        <v>7</v>
      </c>
      <c r="F34" s="0" t="n">
        <f aca="false">IF(B34="PRODUKSI",Pemetaan!$B$5,Pemetaan!$B$6)</f>
        <v>5</v>
      </c>
      <c r="G34" s="0" t="n">
        <f aca="false">F34+2+D34</f>
        <v>8</v>
      </c>
      <c r="H34" s="0" t="n">
        <f aca="false">Pemetaan!$B$2+E34</f>
        <v>12</v>
      </c>
      <c r="I34" s="0" t="str">
        <f aca="false">INDEX(Laporan!$A$1:$AZ$300,G34,1)</f>
        <v>Water Treatment</v>
      </c>
      <c r="J34" s="0" t="str">
        <f aca="false">INDEX(Laporan!$A$1:$AZ$300,G34,2)</f>
        <v>330 ml</v>
      </c>
      <c r="K34" s="0" t="str">
        <f aca="false">INDEX(Laporan!$A$1:$AZ$300,G34,3)</f>
        <v>Shift 1</v>
      </c>
      <c r="L34" s="0" t="n">
        <f aca="false">INDEX(Laporan!$A$1:$AZ$300,G34,4)</f>
        <v>2</v>
      </c>
      <c r="M34" s="1" t="n">
        <f aca="false">DATE(Pemetaan!$B$1,VALUE(RIGHT(INDEX(Laporan!$A$1:$AZ$300,F34+1,H34),2)),VALUE(LEFT(INDEX(Laporan!$A$1:$AZ$300,F34+1,H34),2)))</f>
        <v>46092</v>
      </c>
      <c r="N34" s="0" t="n">
        <f aca="false">INDEX(Laporan!$A$1:$AZ$300,G34,H34)</f>
        <v>2775</v>
      </c>
      <c r="O34" s="0" t="n">
        <f aca="false">IF(N34="","",IFERROR(VALUE(SUBSTITUTE(SUBSTITUTE(N34," btl",""),".","")),""))</f>
        <v>2775</v>
      </c>
      <c r="P34" s="0" t="str">
        <f aca="false">IF(B34="PRODUKSI","produced","reject")</f>
        <v>produced</v>
      </c>
    </row>
    <row r="35" customFormat="false" ht="15" hidden="false" customHeight="false" outlineLevel="0" collapsed="false">
      <c r="A35" s="0" t="n">
        <v>34</v>
      </c>
      <c r="B35" s="0" t="str">
        <f aca="false">IF(A35&lt;=36*25,"PRODUKSI","REJECT")</f>
        <v>PRODUKSI</v>
      </c>
      <c r="C35" s="0" t="n">
        <f aca="false">MOD(A35-1,Pemetaan!$B$3*Pemetaan!$B$4)</f>
        <v>33</v>
      </c>
      <c r="D35" s="0" t="n">
        <f aca="false">INT(C35/Pemetaan!$B$4)</f>
        <v>1</v>
      </c>
      <c r="E35" s="0" t="n">
        <f aca="false">MOD(C35,Pemetaan!$B$4)</f>
        <v>8</v>
      </c>
      <c r="F35" s="0" t="n">
        <f aca="false">IF(B35="PRODUKSI",Pemetaan!$B$5,Pemetaan!$B$6)</f>
        <v>5</v>
      </c>
      <c r="G35" s="0" t="n">
        <f aca="false">F35+2+D35</f>
        <v>8</v>
      </c>
      <c r="H35" s="0" t="n">
        <f aca="false">Pemetaan!$B$2+E35</f>
        <v>13</v>
      </c>
      <c r="I35" s="0" t="str">
        <f aca="false">INDEX(Laporan!$A$1:$AZ$300,G35,1)</f>
        <v>Water Treatment</v>
      </c>
      <c r="J35" s="0" t="str">
        <f aca="false">INDEX(Laporan!$A$1:$AZ$300,G35,2)</f>
        <v>330 ml</v>
      </c>
      <c r="K35" s="0" t="str">
        <f aca="false">INDEX(Laporan!$A$1:$AZ$300,G35,3)</f>
        <v>Shift 1</v>
      </c>
      <c r="L35" s="0" t="n">
        <f aca="false">INDEX(Laporan!$A$1:$AZ$300,G35,4)</f>
        <v>2</v>
      </c>
      <c r="M35" s="1" t="n">
        <f aca="false">DATE(Pemetaan!$B$1,VALUE(RIGHT(INDEX(Laporan!$A$1:$AZ$300,F35+1,H35),2)),VALUE(LEFT(INDEX(Laporan!$A$1:$AZ$300,F35+1,H35),2)))</f>
        <v>46093</v>
      </c>
      <c r="N35" s="0" t="n">
        <f aca="false">INDEX(Laporan!$A$1:$AZ$300,G35,H35)</f>
        <v>3360</v>
      </c>
      <c r="O35" s="0" t="n">
        <f aca="false">IF(N35="","",IFERROR(VALUE(SUBSTITUTE(SUBSTITUTE(N35," btl",""),".","")),""))</f>
        <v>3360</v>
      </c>
      <c r="P35" s="0" t="str">
        <f aca="false">IF(B35="PRODUKSI","produced","reject")</f>
        <v>produced</v>
      </c>
    </row>
    <row r="36" customFormat="false" ht="15" hidden="false" customHeight="false" outlineLevel="0" collapsed="false">
      <c r="A36" s="0" t="n">
        <v>35</v>
      </c>
      <c r="B36" s="0" t="str">
        <f aca="false">IF(A36&lt;=36*25,"PRODUKSI","REJECT")</f>
        <v>PRODUKSI</v>
      </c>
      <c r="C36" s="0" t="n">
        <f aca="false">MOD(A36-1,Pemetaan!$B$3*Pemetaan!$B$4)</f>
        <v>34</v>
      </c>
      <c r="D36" s="0" t="n">
        <f aca="false">INT(C36/Pemetaan!$B$4)</f>
        <v>1</v>
      </c>
      <c r="E36" s="0" t="n">
        <f aca="false">MOD(C36,Pemetaan!$B$4)</f>
        <v>9</v>
      </c>
      <c r="F36" s="0" t="n">
        <f aca="false">IF(B36="PRODUKSI",Pemetaan!$B$5,Pemetaan!$B$6)</f>
        <v>5</v>
      </c>
      <c r="G36" s="0" t="n">
        <f aca="false">F36+2+D36</f>
        <v>8</v>
      </c>
      <c r="H36" s="0" t="n">
        <f aca="false">Pemetaan!$B$2+E36</f>
        <v>14</v>
      </c>
      <c r="I36" s="0" t="str">
        <f aca="false">INDEX(Laporan!$A$1:$AZ$300,G36,1)</f>
        <v>Water Treatment</v>
      </c>
      <c r="J36" s="0" t="str">
        <f aca="false">INDEX(Laporan!$A$1:$AZ$300,G36,2)</f>
        <v>330 ml</v>
      </c>
      <c r="K36" s="0" t="str">
        <f aca="false">INDEX(Laporan!$A$1:$AZ$300,G36,3)</f>
        <v>Shift 1</v>
      </c>
      <c r="L36" s="0" t="n">
        <f aca="false">INDEX(Laporan!$A$1:$AZ$300,G36,4)</f>
        <v>2</v>
      </c>
      <c r="M36" s="1" t="n">
        <f aca="false">DATE(Pemetaan!$B$1,VALUE(RIGHT(INDEX(Laporan!$A$1:$AZ$300,F36+1,H36),2)),VALUE(LEFT(INDEX(Laporan!$A$1:$AZ$300,F36+1,H36),2)))</f>
        <v>46094</v>
      </c>
      <c r="N36" s="0" t="n">
        <f aca="false">INDEX(Laporan!$A$1:$AZ$300,G36,H36)</f>
        <v>3224</v>
      </c>
      <c r="O36" s="0" t="n">
        <f aca="false">IF(N36="","",IFERROR(VALUE(SUBSTITUTE(SUBSTITUTE(N36," btl",""),".","")),""))</f>
        <v>3224</v>
      </c>
      <c r="P36" s="0" t="str">
        <f aca="false">IF(B36="PRODUKSI","produced","reject")</f>
        <v>produced</v>
      </c>
    </row>
    <row r="37" customFormat="false" ht="15" hidden="false" customHeight="false" outlineLevel="0" collapsed="false">
      <c r="A37" s="0" t="n">
        <v>36</v>
      </c>
      <c r="B37" s="0" t="str">
        <f aca="false">IF(A37&lt;=36*25,"PRODUKSI","REJECT")</f>
        <v>PRODUKSI</v>
      </c>
      <c r="C37" s="0" t="n">
        <f aca="false">MOD(A37-1,Pemetaan!$B$3*Pemetaan!$B$4)</f>
        <v>35</v>
      </c>
      <c r="D37" s="0" t="n">
        <f aca="false">INT(C37/Pemetaan!$B$4)</f>
        <v>1</v>
      </c>
      <c r="E37" s="0" t="n">
        <f aca="false">MOD(C37,Pemetaan!$B$4)</f>
        <v>10</v>
      </c>
      <c r="F37" s="0" t="n">
        <f aca="false">IF(B37="PRODUKSI",Pemetaan!$B$5,Pemetaan!$B$6)</f>
        <v>5</v>
      </c>
      <c r="G37" s="0" t="n">
        <f aca="false">F37+2+D37</f>
        <v>8</v>
      </c>
      <c r="H37" s="0" t="n">
        <f aca="false">Pemetaan!$B$2+E37</f>
        <v>15</v>
      </c>
      <c r="I37" s="0" t="str">
        <f aca="false">INDEX(Laporan!$A$1:$AZ$300,G37,1)</f>
        <v>Water Treatment</v>
      </c>
      <c r="J37" s="0" t="str">
        <f aca="false">INDEX(Laporan!$A$1:$AZ$300,G37,2)</f>
        <v>330 ml</v>
      </c>
      <c r="K37" s="0" t="str">
        <f aca="false">INDEX(Laporan!$A$1:$AZ$300,G37,3)</f>
        <v>Shift 1</v>
      </c>
      <c r="L37" s="0" t="n">
        <f aca="false">INDEX(Laporan!$A$1:$AZ$300,G37,4)</f>
        <v>2</v>
      </c>
      <c r="M37" s="1" t="n">
        <f aca="false">DATE(Pemetaan!$B$1,VALUE(RIGHT(INDEX(Laporan!$A$1:$AZ$300,F37+1,H37),2)),VALUE(LEFT(INDEX(Laporan!$A$1:$AZ$300,F37+1,H37),2)))</f>
        <v>46097</v>
      </c>
      <c r="N37" s="0" t="n">
        <f aca="false">INDEX(Laporan!$A$1:$AZ$300,G37,H37)</f>
        <v>3106</v>
      </c>
      <c r="O37" s="0" t="n">
        <f aca="false">IF(N37="","",IFERROR(VALUE(SUBSTITUTE(SUBSTITUTE(N37," btl",""),".","")),""))</f>
        <v>3106</v>
      </c>
      <c r="P37" s="0" t="str">
        <f aca="false">IF(B37="PRODUKSI","produced","reject")</f>
        <v>produced</v>
      </c>
    </row>
    <row r="38" customFormat="false" ht="15" hidden="false" customHeight="false" outlineLevel="0" collapsed="false">
      <c r="A38" s="0" t="n">
        <v>37</v>
      </c>
      <c r="B38" s="0" t="str">
        <f aca="false">IF(A38&lt;=36*25,"PRODUKSI","REJECT")</f>
        <v>PRODUKSI</v>
      </c>
      <c r="C38" s="0" t="n">
        <f aca="false">MOD(A38-1,Pemetaan!$B$3*Pemetaan!$B$4)</f>
        <v>36</v>
      </c>
      <c r="D38" s="0" t="n">
        <f aca="false">INT(C38/Pemetaan!$B$4)</f>
        <v>1</v>
      </c>
      <c r="E38" s="0" t="n">
        <f aca="false">MOD(C38,Pemetaan!$B$4)</f>
        <v>11</v>
      </c>
      <c r="F38" s="0" t="n">
        <f aca="false">IF(B38="PRODUKSI",Pemetaan!$B$5,Pemetaan!$B$6)</f>
        <v>5</v>
      </c>
      <c r="G38" s="0" t="n">
        <f aca="false">F38+2+D38</f>
        <v>8</v>
      </c>
      <c r="H38" s="0" t="n">
        <f aca="false">Pemetaan!$B$2+E38</f>
        <v>16</v>
      </c>
      <c r="I38" s="0" t="str">
        <f aca="false">INDEX(Laporan!$A$1:$AZ$300,G38,1)</f>
        <v>Water Treatment</v>
      </c>
      <c r="J38" s="0" t="str">
        <f aca="false">INDEX(Laporan!$A$1:$AZ$300,G38,2)</f>
        <v>330 ml</v>
      </c>
      <c r="K38" s="0" t="str">
        <f aca="false">INDEX(Laporan!$A$1:$AZ$300,G38,3)</f>
        <v>Shift 1</v>
      </c>
      <c r="L38" s="0" t="n">
        <f aca="false">INDEX(Laporan!$A$1:$AZ$300,G38,4)</f>
        <v>2</v>
      </c>
      <c r="M38" s="1" t="n">
        <f aca="false">DATE(Pemetaan!$B$1,VALUE(RIGHT(INDEX(Laporan!$A$1:$AZ$300,F38+1,H38),2)),VALUE(LEFT(INDEX(Laporan!$A$1:$AZ$300,F38+1,H38),2)))</f>
        <v>46098</v>
      </c>
      <c r="N38" s="0" t="n">
        <f aca="false">INDEX(Laporan!$A$1:$AZ$300,G38,H38)</f>
        <v>3417</v>
      </c>
      <c r="O38" s="0" t="n">
        <f aca="false">IF(N38="","",IFERROR(VALUE(SUBSTITUTE(SUBSTITUTE(N38," btl",""),".","")),""))</f>
        <v>3417</v>
      </c>
      <c r="P38" s="0" t="str">
        <f aca="false">IF(B38="PRODUKSI","produced","reject")</f>
        <v>produced</v>
      </c>
    </row>
    <row r="39" customFormat="false" ht="15" hidden="false" customHeight="false" outlineLevel="0" collapsed="false">
      <c r="A39" s="0" t="n">
        <v>38</v>
      </c>
      <c r="B39" s="0" t="str">
        <f aca="false">IF(A39&lt;=36*25,"PRODUKSI","REJECT")</f>
        <v>PRODUKSI</v>
      </c>
      <c r="C39" s="0" t="n">
        <f aca="false">MOD(A39-1,Pemetaan!$B$3*Pemetaan!$B$4)</f>
        <v>37</v>
      </c>
      <c r="D39" s="0" t="n">
        <f aca="false">INT(C39/Pemetaan!$B$4)</f>
        <v>1</v>
      </c>
      <c r="E39" s="0" t="n">
        <f aca="false">MOD(C39,Pemetaan!$B$4)</f>
        <v>12</v>
      </c>
      <c r="F39" s="0" t="n">
        <f aca="false">IF(B39="PRODUKSI",Pemetaan!$B$5,Pemetaan!$B$6)</f>
        <v>5</v>
      </c>
      <c r="G39" s="0" t="n">
        <f aca="false">F39+2+D39</f>
        <v>8</v>
      </c>
      <c r="H39" s="0" t="n">
        <f aca="false">Pemetaan!$B$2+E39</f>
        <v>17</v>
      </c>
      <c r="I39" s="0" t="str">
        <f aca="false">INDEX(Laporan!$A$1:$AZ$300,G39,1)</f>
        <v>Water Treatment</v>
      </c>
      <c r="J39" s="0" t="str">
        <f aca="false">INDEX(Laporan!$A$1:$AZ$300,G39,2)</f>
        <v>330 ml</v>
      </c>
      <c r="K39" s="0" t="str">
        <f aca="false">INDEX(Laporan!$A$1:$AZ$300,G39,3)</f>
        <v>Shift 1</v>
      </c>
      <c r="L39" s="0" t="n">
        <f aca="false">INDEX(Laporan!$A$1:$AZ$300,G39,4)</f>
        <v>2</v>
      </c>
      <c r="M39" s="1" t="n">
        <f aca="false">DATE(Pemetaan!$B$1,VALUE(RIGHT(INDEX(Laporan!$A$1:$AZ$300,F39+1,H39),2)),VALUE(LEFT(INDEX(Laporan!$A$1:$AZ$300,F39+1,H39),2)))</f>
        <v>46099</v>
      </c>
      <c r="N39" s="0" t="n">
        <f aca="false">INDEX(Laporan!$A$1:$AZ$300,G39,H39)</f>
        <v>3029</v>
      </c>
      <c r="O39" s="0" t="n">
        <f aca="false">IF(N39="","",IFERROR(VALUE(SUBSTITUTE(SUBSTITUTE(N39," btl",""),".","")),""))</f>
        <v>3029</v>
      </c>
      <c r="P39" s="0" t="str">
        <f aca="false">IF(B39="PRODUKSI","produced","reject")</f>
        <v>produced</v>
      </c>
    </row>
    <row r="40" customFormat="false" ht="15" hidden="false" customHeight="false" outlineLevel="0" collapsed="false">
      <c r="A40" s="0" t="n">
        <v>39</v>
      </c>
      <c r="B40" s="0" t="str">
        <f aca="false">IF(A40&lt;=36*25,"PRODUKSI","REJECT")</f>
        <v>PRODUKSI</v>
      </c>
      <c r="C40" s="0" t="n">
        <f aca="false">MOD(A40-1,Pemetaan!$B$3*Pemetaan!$B$4)</f>
        <v>38</v>
      </c>
      <c r="D40" s="0" t="n">
        <f aca="false">INT(C40/Pemetaan!$B$4)</f>
        <v>1</v>
      </c>
      <c r="E40" s="0" t="n">
        <f aca="false">MOD(C40,Pemetaan!$B$4)</f>
        <v>13</v>
      </c>
      <c r="F40" s="0" t="n">
        <f aca="false">IF(B40="PRODUKSI",Pemetaan!$B$5,Pemetaan!$B$6)</f>
        <v>5</v>
      </c>
      <c r="G40" s="0" t="n">
        <f aca="false">F40+2+D40</f>
        <v>8</v>
      </c>
      <c r="H40" s="0" t="n">
        <f aca="false">Pemetaan!$B$2+E40</f>
        <v>18</v>
      </c>
      <c r="I40" s="0" t="str">
        <f aca="false">INDEX(Laporan!$A$1:$AZ$300,G40,1)</f>
        <v>Water Treatment</v>
      </c>
      <c r="J40" s="0" t="str">
        <f aca="false">INDEX(Laporan!$A$1:$AZ$300,G40,2)</f>
        <v>330 ml</v>
      </c>
      <c r="K40" s="0" t="str">
        <f aca="false">INDEX(Laporan!$A$1:$AZ$300,G40,3)</f>
        <v>Shift 1</v>
      </c>
      <c r="L40" s="0" t="n">
        <f aca="false">INDEX(Laporan!$A$1:$AZ$300,G40,4)</f>
        <v>2</v>
      </c>
      <c r="M40" s="1" t="n">
        <f aca="false">DATE(Pemetaan!$B$1,VALUE(RIGHT(INDEX(Laporan!$A$1:$AZ$300,F40+1,H40),2)),VALUE(LEFT(INDEX(Laporan!$A$1:$AZ$300,F40+1,H40),2)))</f>
        <v>46100</v>
      </c>
      <c r="N40" s="0" t="n">
        <f aca="false">INDEX(Laporan!$A$1:$AZ$300,G40,H40)</f>
        <v>3434</v>
      </c>
      <c r="O40" s="0" t="n">
        <f aca="false">IF(N40="","",IFERROR(VALUE(SUBSTITUTE(SUBSTITUTE(N40," btl",""),".","")),""))</f>
        <v>3434</v>
      </c>
      <c r="P40" s="0" t="str">
        <f aca="false">IF(B40="PRODUKSI","produced","reject")</f>
        <v>produced</v>
      </c>
    </row>
    <row r="41" customFormat="false" ht="15" hidden="false" customHeight="false" outlineLevel="0" collapsed="false">
      <c r="A41" s="0" t="n">
        <v>40</v>
      </c>
      <c r="B41" s="0" t="str">
        <f aca="false">IF(A41&lt;=36*25,"PRODUKSI","REJECT")</f>
        <v>PRODUKSI</v>
      </c>
      <c r="C41" s="0" t="n">
        <f aca="false">MOD(A41-1,Pemetaan!$B$3*Pemetaan!$B$4)</f>
        <v>39</v>
      </c>
      <c r="D41" s="0" t="n">
        <f aca="false">INT(C41/Pemetaan!$B$4)</f>
        <v>1</v>
      </c>
      <c r="E41" s="0" t="n">
        <f aca="false">MOD(C41,Pemetaan!$B$4)</f>
        <v>14</v>
      </c>
      <c r="F41" s="0" t="n">
        <f aca="false">IF(B41="PRODUKSI",Pemetaan!$B$5,Pemetaan!$B$6)</f>
        <v>5</v>
      </c>
      <c r="G41" s="0" t="n">
        <f aca="false">F41+2+D41</f>
        <v>8</v>
      </c>
      <c r="H41" s="0" t="n">
        <f aca="false">Pemetaan!$B$2+E41</f>
        <v>19</v>
      </c>
      <c r="I41" s="0" t="str">
        <f aca="false">INDEX(Laporan!$A$1:$AZ$300,G41,1)</f>
        <v>Water Treatment</v>
      </c>
      <c r="J41" s="0" t="str">
        <f aca="false">INDEX(Laporan!$A$1:$AZ$300,G41,2)</f>
        <v>330 ml</v>
      </c>
      <c r="K41" s="0" t="str">
        <f aca="false">INDEX(Laporan!$A$1:$AZ$300,G41,3)</f>
        <v>Shift 1</v>
      </c>
      <c r="L41" s="0" t="n">
        <f aca="false">INDEX(Laporan!$A$1:$AZ$300,G41,4)</f>
        <v>2</v>
      </c>
      <c r="M41" s="1" t="n">
        <f aca="false">DATE(Pemetaan!$B$1,VALUE(RIGHT(INDEX(Laporan!$A$1:$AZ$300,F41+1,H41),2)),VALUE(LEFT(INDEX(Laporan!$A$1:$AZ$300,F41+1,H41),2)))</f>
        <v>46101</v>
      </c>
      <c r="N41" s="0" t="n">
        <f aca="false">INDEX(Laporan!$A$1:$AZ$300,G41,H41)</f>
        <v>3325</v>
      </c>
      <c r="O41" s="0" t="n">
        <f aca="false">IF(N41="","",IFERROR(VALUE(SUBSTITUTE(SUBSTITUTE(N41," btl",""),".","")),""))</f>
        <v>3325</v>
      </c>
      <c r="P41" s="0" t="str">
        <f aca="false">IF(B41="PRODUKSI","produced","reject")</f>
        <v>produced</v>
      </c>
    </row>
    <row r="42" customFormat="false" ht="15" hidden="false" customHeight="false" outlineLevel="0" collapsed="false">
      <c r="A42" s="0" t="n">
        <v>41</v>
      </c>
      <c r="B42" s="0" t="str">
        <f aca="false">IF(A42&lt;=36*25,"PRODUKSI","REJECT")</f>
        <v>PRODUKSI</v>
      </c>
      <c r="C42" s="0" t="n">
        <f aca="false">MOD(A42-1,Pemetaan!$B$3*Pemetaan!$B$4)</f>
        <v>40</v>
      </c>
      <c r="D42" s="0" t="n">
        <f aca="false">INT(C42/Pemetaan!$B$4)</f>
        <v>1</v>
      </c>
      <c r="E42" s="0" t="n">
        <f aca="false">MOD(C42,Pemetaan!$B$4)</f>
        <v>15</v>
      </c>
      <c r="F42" s="0" t="n">
        <f aca="false">IF(B42="PRODUKSI",Pemetaan!$B$5,Pemetaan!$B$6)</f>
        <v>5</v>
      </c>
      <c r="G42" s="0" t="n">
        <f aca="false">F42+2+D42</f>
        <v>8</v>
      </c>
      <c r="H42" s="0" t="n">
        <f aca="false">Pemetaan!$B$2+E42</f>
        <v>20</v>
      </c>
      <c r="I42" s="0" t="str">
        <f aca="false">INDEX(Laporan!$A$1:$AZ$300,G42,1)</f>
        <v>Water Treatment</v>
      </c>
      <c r="J42" s="0" t="str">
        <f aca="false">INDEX(Laporan!$A$1:$AZ$300,G42,2)</f>
        <v>330 ml</v>
      </c>
      <c r="K42" s="0" t="str">
        <f aca="false">INDEX(Laporan!$A$1:$AZ$300,G42,3)</f>
        <v>Shift 1</v>
      </c>
      <c r="L42" s="0" t="n">
        <f aca="false">INDEX(Laporan!$A$1:$AZ$300,G42,4)</f>
        <v>2</v>
      </c>
      <c r="M42" s="1" t="n">
        <f aca="false">DATE(Pemetaan!$B$1,VALUE(RIGHT(INDEX(Laporan!$A$1:$AZ$300,F42+1,H42),2)),VALUE(LEFT(INDEX(Laporan!$A$1:$AZ$300,F42+1,H42),2)))</f>
        <v>46104</v>
      </c>
      <c r="N42" s="0" t="n">
        <f aca="false">INDEX(Laporan!$A$1:$AZ$300,G42,H42)</f>
        <v>3331</v>
      </c>
      <c r="O42" s="0" t="n">
        <f aca="false">IF(N42="","",IFERROR(VALUE(SUBSTITUTE(SUBSTITUTE(N42," btl",""),".","")),""))</f>
        <v>3331</v>
      </c>
      <c r="P42" s="0" t="str">
        <f aca="false">IF(B42="PRODUKSI","produced","reject")</f>
        <v>produced</v>
      </c>
    </row>
    <row r="43" customFormat="false" ht="15" hidden="false" customHeight="false" outlineLevel="0" collapsed="false">
      <c r="A43" s="0" t="n">
        <v>42</v>
      </c>
      <c r="B43" s="0" t="str">
        <f aca="false">IF(A43&lt;=36*25,"PRODUKSI","REJECT")</f>
        <v>PRODUKSI</v>
      </c>
      <c r="C43" s="0" t="n">
        <f aca="false">MOD(A43-1,Pemetaan!$B$3*Pemetaan!$B$4)</f>
        <v>41</v>
      </c>
      <c r="D43" s="0" t="n">
        <f aca="false">INT(C43/Pemetaan!$B$4)</f>
        <v>1</v>
      </c>
      <c r="E43" s="0" t="n">
        <f aca="false">MOD(C43,Pemetaan!$B$4)</f>
        <v>16</v>
      </c>
      <c r="F43" s="0" t="n">
        <f aca="false">IF(B43="PRODUKSI",Pemetaan!$B$5,Pemetaan!$B$6)</f>
        <v>5</v>
      </c>
      <c r="G43" s="0" t="n">
        <f aca="false">F43+2+D43</f>
        <v>8</v>
      </c>
      <c r="H43" s="0" t="n">
        <f aca="false">Pemetaan!$B$2+E43</f>
        <v>21</v>
      </c>
      <c r="I43" s="0" t="str">
        <f aca="false">INDEX(Laporan!$A$1:$AZ$300,G43,1)</f>
        <v>Water Treatment</v>
      </c>
      <c r="J43" s="0" t="str">
        <f aca="false">INDEX(Laporan!$A$1:$AZ$300,G43,2)</f>
        <v>330 ml</v>
      </c>
      <c r="K43" s="0" t="str">
        <f aca="false">INDEX(Laporan!$A$1:$AZ$300,G43,3)</f>
        <v>Shift 1</v>
      </c>
      <c r="L43" s="0" t="n">
        <f aca="false">INDEX(Laporan!$A$1:$AZ$300,G43,4)</f>
        <v>2</v>
      </c>
      <c r="M43" s="1" t="n">
        <f aca="false">DATE(Pemetaan!$B$1,VALUE(RIGHT(INDEX(Laporan!$A$1:$AZ$300,F43+1,H43),2)),VALUE(LEFT(INDEX(Laporan!$A$1:$AZ$300,F43+1,H43),2)))</f>
        <v>46105</v>
      </c>
      <c r="N43" s="0" t="n">
        <f aca="false">INDEX(Laporan!$A$1:$AZ$300,G43,H43)</f>
        <v>3842</v>
      </c>
      <c r="O43" s="0" t="n">
        <f aca="false">IF(N43="","",IFERROR(VALUE(SUBSTITUTE(SUBSTITUTE(N43," btl",""),".","")),""))</f>
        <v>3842</v>
      </c>
      <c r="P43" s="0" t="str">
        <f aca="false">IF(B43="PRODUKSI","produced","reject")</f>
        <v>produced</v>
      </c>
    </row>
    <row r="44" customFormat="false" ht="15" hidden="false" customHeight="false" outlineLevel="0" collapsed="false">
      <c r="A44" s="0" t="n">
        <v>43</v>
      </c>
      <c r="B44" s="0" t="str">
        <f aca="false">IF(A44&lt;=36*25,"PRODUKSI","REJECT")</f>
        <v>PRODUKSI</v>
      </c>
      <c r="C44" s="0" t="n">
        <f aca="false">MOD(A44-1,Pemetaan!$B$3*Pemetaan!$B$4)</f>
        <v>42</v>
      </c>
      <c r="D44" s="0" t="n">
        <f aca="false">INT(C44/Pemetaan!$B$4)</f>
        <v>1</v>
      </c>
      <c r="E44" s="0" t="n">
        <f aca="false">MOD(C44,Pemetaan!$B$4)</f>
        <v>17</v>
      </c>
      <c r="F44" s="0" t="n">
        <f aca="false">IF(B44="PRODUKSI",Pemetaan!$B$5,Pemetaan!$B$6)</f>
        <v>5</v>
      </c>
      <c r="G44" s="0" t="n">
        <f aca="false">F44+2+D44</f>
        <v>8</v>
      </c>
      <c r="H44" s="0" t="n">
        <f aca="false">Pemetaan!$B$2+E44</f>
        <v>22</v>
      </c>
      <c r="I44" s="0" t="str">
        <f aca="false">INDEX(Laporan!$A$1:$AZ$300,G44,1)</f>
        <v>Water Treatment</v>
      </c>
      <c r="J44" s="0" t="str">
        <f aca="false">INDEX(Laporan!$A$1:$AZ$300,G44,2)</f>
        <v>330 ml</v>
      </c>
      <c r="K44" s="0" t="str">
        <f aca="false">INDEX(Laporan!$A$1:$AZ$300,G44,3)</f>
        <v>Shift 1</v>
      </c>
      <c r="L44" s="0" t="n">
        <f aca="false">INDEX(Laporan!$A$1:$AZ$300,G44,4)</f>
        <v>2</v>
      </c>
      <c r="M44" s="1" t="n">
        <f aca="false">DATE(Pemetaan!$B$1,VALUE(RIGHT(INDEX(Laporan!$A$1:$AZ$300,F44+1,H44),2)),VALUE(LEFT(INDEX(Laporan!$A$1:$AZ$300,F44+1,H44),2)))</f>
        <v>46106</v>
      </c>
      <c r="N44" s="0" t="n">
        <f aca="false">INDEX(Laporan!$A$1:$AZ$300,G44,H44)</f>
        <v>3419</v>
      </c>
      <c r="O44" s="0" t="n">
        <f aca="false">IF(N44="","",IFERROR(VALUE(SUBSTITUTE(SUBSTITUTE(N44," btl",""),".","")),""))</f>
        <v>3419</v>
      </c>
      <c r="P44" s="0" t="str">
        <f aca="false">IF(B44="PRODUKSI","produced","reject")</f>
        <v>produced</v>
      </c>
    </row>
    <row r="45" customFormat="false" ht="15" hidden="false" customHeight="false" outlineLevel="0" collapsed="false">
      <c r="A45" s="0" t="n">
        <v>44</v>
      </c>
      <c r="B45" s="0" t="str">
        <f aca="false">IF(A45&lt;=36*25,"PRODUKSI","REJECT")</f>
        <v>PRODUKSI</v>
      </c>
      <c r="C45" s="0" t="n">
        <f aca="false">MOD(A45-1,Pemetaan!$B$3*Pemetaan!$B$4)</f>
        <v>43</v>
      </c>
      <c r="D45" s="0" t="n">
        <f aca="false">INT(C45/Pemetaan!$B$4)</f>
        <v>1</v>
      </c>
      <c r="E45" s="0" t="n">
        <f aca="false">MOD(C45,Pemetaan!$B$4)</f>
        <v>18</v>
      </c>
      <c r="F45" s="0" t="n">
        <f aca="false">IF(B45="PRODUKSI",Pemetaan!$B$5,Pemetaan!$B$6)</f>
        <v>5</v>
      </c>
      <c r="G45" s="0" t="n">
        <f aca="false">F45+2+D45</f>
        <v>8</v>
      </c>
      <c r="H45" s="0" t="n">
        <f aca="false">Pemetaan!$B$2+E45</f>
        <v>23</v>
      </c>
      <c r="I45" s="0" t="str">
        <f aca="false">INDEX(Laporan!$A$1:$AZ$300,G45,1)</f>
        <v>Water Treatment</v>
      </c>
      <c r="J45" s="0" t="str">
        <f aca="false">INDEX(Laporan!$A$1:$AZ$300,G45,2)</f>
        <v>330 ml</v>
      </c>
      <c r="K45" s="0" t="str">
        <f aca="false">INDEX(Laporan!$A$1:$AZ$300,G45,3)</f>
        <v>Shift 1</v>
      </c>
      <c r="L45" s="0" t="n">
        <f aca="false">INDEX(Laporan!$A$1:$AZ$300,G45,4)</f>
        <v>2</v>
      </c>
      <c r="M45" s="1" t="n">
        <f aca="false">DATE(Pemetaan!$B$1,VALUE(RIGHT(INDEX(Laporan!$A$1:$AZ$300,F45+1,H45),2)),VALUE(LEFT(INDEX(Laporan!$A$1:$AZ$300,F45+1,H45),2)))</f>
        <v>46107</v>
      </c>
      <c r="N45" s="0" t="n">
        <f aca="false">INDEX(Laporan!$A$1:$AZ$300,G45,H45)</f>
        <v>3188</v>
      </c>
      <c r="O45" s="0" t="n">
        <f aca="false">IF(N45="","",IFERROR(VALUE(SUBSTITUTE(SUBSTITUTE(N45," btl",""),".","")),""))</f>
        <v>3188</v>
      </c>
      <c r="P45" s="0" t="str">
        <f aca="false">IF(B45="PRODUKSI","produced","reject")</f>
        <v>produced</v>
      </c>
    </row>
    <row r="46" customFormat="false" ht="15" hidden="false" customHeight="false" outlineLevel="0" collapsed="false">
      <c r="A46" s="0" t="n">
        <v>45</v>
      </c>
      <c r="B46" s="0" t="str">
        <f aca="false">IF(A46&lt;=36*25,"PRODUKSI","REJECT")</f>
        <v>PRODUKSI</v>
      </c>
      <c r="C46" s="0" t="n">
        <f aca="false">MOD(A46-1,Pemetaan!$B$3*Pemetaan!$B$4)</f>
        <v>44</v>
      </c>
      <c r="D46" s="0" t="n">
        <f aca="false">INT(C46/Pemetaan!$B$4)</f>
        <v>1</v>
      </c>
      <c r="E46" s="0" t="n">
        <f aca="false">MOD(C46,Pemetaan!$B$4)</f>
        <v>19</v>
      </c>
      <c r="F46" s="0" t="n">
        <f aca="false">IF(B46="PRODUKSI",Pemetaan!$B$5,Pemetaan!$B$6)</f>
        <v>5</v>
      </c>
      <c r="G46" s="0" t="n">
        <f aca="false">F46+2+D46</f>
        <v>8</v>
      </c>
      <c r="H46" s="0" t="n">
        <f aca="false">Pemetaan!$B$2+E46</f>
        <v>24</v>
      </c>
      <c r="I46" s="0" t="str">
        <f aca="false">INDEX(Laporan!$A$1:$AZ$300,G46,1)</f>
        <v>Water Treatment</v>
      </c>
      <c r="J46" s="0" t="str">
        <f aca="false">INDEX(Laporan!$A$1:$AZ$300,G46,2)</f>
        <v>330 ml</v>
      </c>
      <c r="K46" s="0" t="str">
        <f aca="false">INDEX(Laporan!$A$1:$AZ$300,G46,3)</f>
        <v>Shift 1</v>
      </c>
      <c r="L46" s="0" t="n">
        <f aca="false">INDEX(Laporan!$A$1:$AZ$300,G46,4)</f>
        <v>2</v>
      </c>
      <c r="M46" s="1" t="n">
        <f aca="false">DATE(Pemetaan!$B$1,VALUE(RIGHT(INDEX(Laporan!$A$1:$AZ$300,F46+1,H46),2)),VALUE(LEFT(INDEX(Laporan!$A$1:$AZ$300,F46+1,H46),2)))</f>
        <v>46108</v>
      </c>
      <c r="N46" s="0" t="n">
        <f aca="false">INDEX(Laporan!$A$1:$AZ$300,G46,H46)</f>
        <v>3433</v>
      </c>
      <c r="O46" s="0" t="n">
        <f aca="false">IF(N46="","",IFERROR(VALUE(SUBSTITUTE(SUBSTITUTE(N46," btl",""),".","")),""))</f>
        <v>3433</v>
      </c>
      <c r="P46" s="0" t="str">
        <f aca="false">IF(B46="PRODUKSI","produced","reject")</f>
        <v>produced</v>
      </c>
    </row>
    <row r="47" customFormat="false" ht="15" hidden="false" customHeight="false" outlineLevel="0" collapsed="false">
      <c r="A47" s="0" t="n">
        <v>46</v>
      </c>
      <c r="B47" s="0" t="str">
        <f aca="false">IF(A47&lt;=36*25,"PRODUKSI","REJECT")</f>
        <v>PRODUKSI</v>
      </c>
      <c r="C47" s="0" t="n">
        <f aca="false">MOD(A47-1,Pemetaan!$B$3*Pemetaan!$B$4)</f>
        <v>45</v>
      </c>
      <c r="D47" s="0" t="n">
        <f aca="false">INT(C47/Pemetaan!$B$4)</f>
        <v>1</v>
      </c>
      <c r="E47" s="0" t="n">
        <f aca="false">MOD(C47,Pemetaan!$B$4)</f>
        <v>20</v>
      </c>
      <c r="F47" s="0" t="n">
        <f aca="false">IF(B47="PRODUKSI",Pemetaan!$B$5,Pemetaan!$B$6)</f>
        <v>5</v>
      </c>
      <c r="G47" s="0" t="n">
        <f aca="false">F47+2+D47</f>
        <v>8</v>
      </c>
      <c r="H47" s="0" t="n">
        <f aca="false">Pemetaan!$B$2+E47</f>
        <v>25</v>
      </c>
      <c r="I47" s="0" t="str">
        <f aca="false">INDEX(Laporan!$A$1:$AZ$300,G47,1)</f>
        <v>Water Treatment</v>
      </c>
      <c r="J47" s="0" t="str">
        <f aca="false">INDEX(Laporan!$A$1:$AZ$300,G47,2)</f>
        <v>330 ml</v>
      </c>
      <c r="K47" s="0" t="str">
        <f aca="false">INDEX(Laporan!$A$1:$AZ$300,G47,3)</f>
        <v>Shift 1</v>
      </c>
      <c r="L47" s="0" t="n">
        <f aca="false">INDEX(Laporan!$A$1:$AZ$300,G47,4)</f>
        <v>2</v>
      </c>
      <c r="M47" s="1" t="n">
        <f aca="false">DATE(Pemetaan!$B$1,VALUE(RIGHT(INDEX(Laporan!$A$1:$AZ$300,F47+1,H47),2)),VALUE(LEFT(INDEX(Laporan!$A$1:$AZ$300,F47+1,H47),2)))</f>
        <v>46111</v>
      </c>
      <c r="N47" s="0" t="n">
        <f aca="false">INDEX(Laporan!$A$1:$AZ$300,G47,H47)</f>
        <v>3216</v>
      </c>
      <c r="O47" s="0" t="n">
        <f aca="false">IF(N47="","",IFERROR(VALUE(SUBSTITUTE(SUBSTITUTE(N47," btl",""),".","")),""))</f>
        <v>3216</v>
      </c>
      <c r="P47" s="0" t="str">
        <f aca="false">IF(B47="PRODUKSI","produced","reject")</f>
        <v>produced</v>
      </c>
    </row>
    <row r="48" customFormat="false" ht="15" hidden="false" customHeight="false" outlineLevel="0" collapsed="false">
      <c r="A48" s="0" t="n">
        <v>47</v>
      </c>
      <c r="B48" s="0" t="str">
        <f aca="false">IF(A48&lt;=36*25,"PRODUKSI","REJECT")</f>
        <v>PRODUKSI</v>
      </c>
      <c r="C48" s="0" t="n">
        <f aca="false">MOD(A48-1,Pemetaan!$B$3*Pemetaan!$B$4)</f>
        <v>46</v>
      </c>
      <c r="D48" s="0" t="n">
        <f aca="false">INT(C48/Pemetaan!$B$4)</f>
        <v>1</v>
      </c>
      <c r="E48" s="0" t="n">
        <f aca="false">MOD(C48,Pemetaan!$B$4)</f>
        <v>21</v>
      </c>
      <c r="F48" s="0" t="n">
        <f aca="false">IF(B48="PRODUKSI",Pemetaan!$B$5,Pemetaan!$B$6)</f>
        <v>5</v>
      </c>
      <c r="G48" s="0" t="n">
        <f aca="false">F48+2+D48</f>
        <v>8</v>
      </c>
      <c r="H48" s="0" t="n">
        <f aca="false">Pemetaan!$B$2+E48</f>
        <v>26</v>
      </c>
      <c r="I48" s="0" t="str">
        <f aca="false">INDEX(Laporan!$A$1:$AZ$300,G48,1)</f>
        <v>Water Treatment</v>
      </c>
      <c r="J48" s="0" t="str">
        <f aca="false">INDEX(Laporan!$A$1:$AZ$300,G48,2)</f>
        <v>330 ml</v>
      </c>
      <c r="K48" s="0" t="str">
        <f aca="false">INDEX(Laporan!$A$1:$AZ$300,G48,3)</f>
        <v>Shift 1</v>
      </c>
      <c r="L48" s="0" t="n">
        <f aca="false">INDEX(Laporan!$A$1:$AZ$300,G48,4)</f>
        <v>2</v>
      </c>
      <c r="M48" s="1" t="n">
        <f aca="false">DATE(Pemetaan!$B$1,VALUE(RIGHT(INDEX(Laporan!$A$1:$AZ$300,F48+1,H48),2)),VALUE(LEFT(INDEX(Laporan!$A$1:$AZ$300,F48+1,H48),2)))</f>
        <v>46112</v>
      </c>
      <c r="N48" s="0" t="n">
        <f aca="false">INDEX(Laporan!$A$1:$AZ$300,G48,H48)</f>
        <v>2953</v>
      </c>
      <c r="O48" s="0" t="n">
        <f aca="false">IF(N48="","",IFERROR(VALUE(SUBSTITUTE(SUBSTITUTE(N48," btl",""),".","")),""))</f>
        <v>2953</v>
      </c>
      <c r="P48" s="0" t="str">
        <f aca="false">IF(B48="PRODUKSI","produced","reject")</f>
        <v>produced</v>
      </c>
    </row>
    <row r="49" customFormat="false" ht="15" hidden="false" customHeight="false" outlineLevel="0" collapsed="false">
      <c r="A49" s="0" t="n">
        <v>48</v>
      </c>
      <c r="B49" s="0" t="str">
        <f aca="false">IF(A49&lt;=36*25,"PRODUKSI","REJECT")</f>
        <v>PRODUKSI</v>
      </c>
      <c r="C49" s="0" t="n">
        <f aca="false">MOD(A49-1,Pemetaan!$B$3*Pemetaan!$B$4)</f>
        <v>47</v>
      </c>
      <c r="D49" s="0" t="n">
        <f aca="false">INT(C49/Pemetaan!$B$4)</f>
        <v>1</v>
      </c>
      <c r="E49" s="0" t="n">
        <f aca="false">MOD(C49,Pemetaan!$B$4)</f>
        <v>22</v>
      </c>
      <c r="F49" s="0" t="n">
        <f aca="false">IF(B49="PRODUKSI",Pemetaan!$B$5,Pemetaan!$B$6)</f>
        <v>5</v>
      </c>
      <c r="G49" s="0" t="n">
        <f aca="false">F49+2+D49</f>
        <v>8</v>
      </c>
      <c r="H49" s="0" t="n">
        <f aca="false">Pemetaan!$B$2+E49</f>
        <v>27</v>
      </c>
      <c r="I49" s="0" t="str">
        <f aca="false">INDEX(Laporan!$A$1:$AZ$300,G49,1)</f>
        <v>Water Treatment</v>
      </c>
      <c r="J49" s="0" t="str">
        <f aca="false">INDEX(Laporan!$A$1:$AZ$300,G49,2)</f>
        <v>330 ml</v>
      </c>
      <c r="K49" s="0" t="str">
        <f aca="false">INDEX(Laporan!$A$1:$AZ$300,G49,3)</f>
        <v>Shift 1</v>
      </c>
      <c r="L49" s="0" t="n">
        <f aca="false">INDEX(Laporan!$A$1:$AZ$300,G49,4)</f>
        <v>2</v>
      </c>
      <c r="M49" s="1" t="n">
        <f aca="false">DATE(Pemetaan!$B$1,VALUE(RIGHT(INDEX(Laporan!$A$1:$AZ$300,F49+1,H49),2)),VALUE(LEFT(INDEX(Laporan!$A$1:$AZ$300,F49+1,H49),2)))</f>
        <v>46113</v>
      </c>
      <c r="N49" s="0" t="n">
        <f aca="false">INDEX(Laporan!$A$1:$AZ$300,G49,H49)</f>
        <v>3078</v>
      </c>
      <c r="O49" s="0" t="n">
        <f aca="false">IF(N49="","",IFERROR(VALUE(SUBSTITUTE(SUBSTITUTE(N49," btl",""),".","")),""))</f>
        <v>3078</v>
      </c>
      <c r="P49" s="0" t="str">
        <f aca="false">IF(B49="PRODUKSI","produced","reject")</f>
        <v>produced</v>
      </c>
    </row>
    <row r="50" customFormat="false" ht="15" hidden="false" customHeight="false" outlineLevel="0" collapsed="false">
      <c r="A50" s="0" t="n">
        <v>49</v>
      </c>
      <c r="B50" s="0" t="str">
        <f aca="false">IF(A50&lt;=36*25,"PRODUKSI","REJECT")</f>
        <v>PRODUKSI</v>
      </c>
      <c r="C50" s="0" t="n">
        <f aca="false">MOD(A50-1,Pemetaan!$B$3*Pemetaan!$B$4)</f>
        <v>48</v>
      </c>
      <c r="D50" s="0" t="n">
        <f aca="false">INT(C50/Pemetaan!$B$4)</f>
        <v>1</v>
      </c>
      <c r="E50" s="0" t="n">
        <f aca="false">MOD(C50,Pemetaan!$B$4)</f>
        <v>23</v>
      </c>
      <c r="F50" s="0" t="n">
        <f aca="false">IF(B50="PRODUKSI",Pemetaan!$B$5,Pemetaan!$B$6)</f>
        <v>5</v>
      </c>
      <c r="G50" s="0" t="n">
        <f aca="false">F50+2+D50</f>
        <v>8</v>
      </c>
      <c r="H50" s="0" t="n">
        <f aca="false">Pemetaan!$B$2+E50</f>
        <v>28</v>
      </c>
      <c r="I50" s="0" t="str">
        <f aca="false">INDEX(Laporan!$A$1:$AZ$300,G50,1)</f>
        <v>Water Treatment</v>
      </c>
      <c r="J50" s="0" t="str">
        <f aca="false">INDEX(Laporan!$A$1:$AZ$300,G50,2)</f>
        <v>330 ml</v>
      </c>
      <c r="K50" s="0" t="str">
        <f aca="false">INDEX(Laporan!$A$1:$AZ$300,G50,3)</f>
        <v>Shift 1</v>
      </c>
      <c r="L50" s="0" t="n">
        <f aca="false">INDEX(Laporan!$A$1:$AZ$300,G50,4)</f>
        <v>2</v>
      </c>
      <c r="M50" s="1" t="n">
        <f aca="false">DATE(Pemetaan!$B$1,VALUE(RIGHT(INDEX(Laporan!$A$1:$AZ$300,F50+1,H50),2)),VALUE(LEFT(INDEX(Laporan!$A$1:$AZ$300,F50+1,H50),2)))</f>
        <v>46114</v>
      </c>
      <c r="N50" s="0" t="n">
        <f aca="false">INDEX(Laporan!$A$1:$AZ$300,G50,H50)</f>
        <v>3377</v>
      </c>
      <c r="O50" s="0" t="n">
        <f aca="false">IF(N50="","",IFERROR(VALUE(SUBSTITUTE(SUBSTITUTE(N50," btl",""),".","")),""))</f>
        <v>3377</v>
      </c>
      <c r="P50" s="0" t="str">
        <f aca="false">IF(B50="PRODUKSI","produced","reject")</f>
        <v>produced</v>
      </c>
    </row>
    <row r="51" customFormat="false" ht="15" hidden="false" customHeight="false" outlineLevel="0" collapsed="false">
      <c r="A51" s="0" t="n">
        <v>50</v>
      </c>
      <c r="B51" s="0" t="str">
        <f aca="false">IF(A51&lt;=36*25,"PRODUKSI","REJECT")</f>
        <v>PRODUKSI</v>
      </c>
      <c r="C51" s="0" t="n">
        <f aca="false">MOD(A51-1,Pemetaan!$B$3*Pemetaan!$B$4)</f>
        <v>49</v>
      </c>
      <c r="D51" s="0" t="n">
        <f aca="false">INT(C51/Pemetaan!$B$4)</f>
        <v>1</v>
      </c>
      <c r="E51" s="0" t="n">
        <f aca="false">MOD(C51,Pemetaan!$B$4)</f>
        <v>24</v>
      </c>
      <c r="F51" s="0" t="n">
        <f aca="false">IF(B51="PRODUKSI",Pemetaan!$B$5,Pemetaan!$B$6)</f>
        <v>5</v>
      </c>
      <c r="G51" s="0" t="n">
        <f aca="false">F51+2+D51</f>
        <v>8</v>
      </c>
      <c r="H51" s="0" t="n">
        <f aca="false">Pemetaan!$B$2+E51</f>
        <v>29</v>
      </c>
      <c r="I51" s="0" t="str">
        <f aca="false">INDEX(Laporan!$A$1:$AZ$300,G51,1)</f>
        <v>Water Treatment</v>
      </c>
      <c r="J51" s="0" t="str">
        <f aca="false">INDEX(Laporan!$A$1:$AZ$300,G51,2)</f>
        <v>330 ml</v>
      </c>
      <c r="K51" s="0" t="str">
        <f aca="false">INDEX(Laporan!$A$1:$AZ$300,G51,3)</f>
        <v>Shift 1</v>
      </c>
      <c r="L51" s="0" t="n">
        <f aca="false">INDEX(Laporan!$A$1:$AZ$300,G51,4)</f>
        <v>2</v>
      </c>
      <c r="M51" s="1" t="n">
        <f aca="false">DATE(Pemetaan!$B$1,VALUE(RIGHT(INDEX(Laporan!$A$1:$AZ$300,F51+1,H51),2)),VALUE(LEFT(INDEX(Laporan!$A$1:$AZ$300,F51+1,H51),2)))</f>
        <v>46115</v>
      </c>
      <c r="N51" s="0" t="n">
        <f aca="false">INDEX(Laporan!$A$1:$AZ$300,G51,H51)</f>
        <v>3091</v>
      </c>
      <c r="O51" s="0" t="n">
        <f aca="false">IF(N51="","",IFERROR(VALUE(SUBSTITUTE(SUBSTITUTE(N51," btl",""),".","")),""))</f>
        <v>3091</v>
      </c>
      <c r="P51" s="0" t="str">
        <f aca="false">IF(B51="PRODUKSI","produced","reject")</f>
        <v>produced</v>
      </c>
    </row>
    <row r="52" customFormat="false" ht="15" hidden="false" customHeight="false" outlineLevel="0" collapsed="false">
      <c r="A52" s="0" t="n">
        <v>51</v>
      </c>
      <c r="B52" s="0" t="str">
        <f aca="false">IF(A52&lt;=36*25,"PRODUKSI","REJECT")</f>
        <v>PRODUKSI</v>
      </c>
      <c r="C52" s="0" t="n">
        <f aca="false">MOD(A52-1,Pemetaan!$B$3*Pemetaan!$B$4)</f>
        <v>50</v>
      </c>
      <c r="D52" s="0" t="n">
        <f aca="false">INT(C52/Pemetaan!$B$4)</f>
        <v>2</v>
      </c>
      <c r="E52" s="0" t="n">
        <f aca="false">MOD(C52,Pemetaan!$B$4)</f>
        <v>0</v>
      </c>
      <c r="F52" s="0" t="n">
        <f aca="false">IF(B52="PRODUKSI",Pemetaan!$B$5,Pemetaan!$B$6)</f>
        <v>5</v>
      </c>
      <c r="G52" s="0" t="n">
        <f aca="false">F52+2+D52</f>
        <v>9</v>
      </c>
      <c r="H52" s="0" t="n">
        <f aca="false">Pemetaan!$B$2+E52</f>
        <v>5</v>
      </c>
      <c r="I52" s="0" t="str">
        <f aca="false">INDEX(Laporan!$A$1:$AZ$300,G52,1)</f>
        <v>Water Treatment</v>
      </c>
      <c r="J52" s="0" t="str">
        <f aca="false">INDEX(Laporan!$A$1:$AZ$300,G52,2)</f>
        <v>330 ml</v>
      </c>
      <c r="K52" s="0" t="str">
        <f aca="false">INDEX(Laporan!$A$1:$AZ$300,G52,3)</f>
        <v>Shift 1</v>
      </c>
      <c r="L52" s="0" t="n">
        <f aca="false">INDEX(Laporan!$A$1:$AZ$300,G52,4)</f>
        <v>3</v>
      </c>
      <c r="M52" s="1" t="n">
        <f aca="false">DATE(Pemetaan!$B$1,VALUE(RIGHT(INDEX(Laporan!$A$1:$AZ$300,F52+1,H52),2)),VALUE(LEFT(INDEX(Laporan!$A$1:$AZ$300,F52+1,H52),2)))</f>
        <v>46083</v>
      </c>
      <c r="N52" s="0" t="n">
        <f aca="false">INDEX(Laporan!$A$1:$AZ$300,G52,H52)</f>
        <v>3162</v>
      </c>
      <c r="O52" s="0" t="n">
        <f aca="false">IF(N52="","",IFERROR(VALUE(SUBSTITUTE(SUBSTITUTE(N52," btl",""),".","")),""))</f>
        <v>3162</v>
      </c>
      <c r="P52" s="0" t="str">
        <f aca="false">IF(B52="PRODUKSI","produced","reject")</f>
        <v>produced</v>
      </c>
    </row>
    <row r="53" customFormat="false" ht="15" hidden="false" customHeight="false" outlineLevel="0" collapsed="false">
      <c r="A53" s="0" t="n">
        <v>52</v>
      </c>
      <c r="B53" s="0" t="str">
        <f aca="false">IF(A53&lt;=36*25,"PRODUKSI","REJECT")</f>
        <v>PRODUKSI</v>
      </c>
      <c r="C53" s="0" t="n">
        <f aca="false">MOD(A53-1,Pemetaan!$B$3*Pemetaan!$B$4)</f>
        <v>51</v>
      </c>
      <c r="D53" s="0" t="n">
        <f aca="false">INT(C53/Pemetaan!$B$4)</f>
        <v>2</v>
      </c>
      <c r="E53" s="0" t="n">
        <f aca="false">MOD(C53,Pemetaan!$B$4)</f>
        <v>1</v>
      </c>
      <c r="F53" s="0" t="n">
        <f aca="false">IF(B53="PRODUKSI",Pemetaan!$B$5,Pemetaan!$B$6)</f>
        <v>5</v>
      </c>
      <c r="G53" s="0" t="n">
        <f aca="false">F53+2+D53</f>
        <v>9</v>
      </c>
      <c r="H53" s="0" t="n">
        <f aca="false">Pemetaan!$B$2+E53</f>
        <v>6</v>
      </c>
      <c r="I53" s="0" t="str">
        <f aca="false">INDEX(Laporan!$A$1:$AZ$300,G53,1)</f>
        <v>Water Treatment</v>
      </c>
      <c r="J53" s="0" t="str">
        <f aca="false">INDEX(Laporan!$A$1:$AZ$300,G53,2)</f>
        <v>330 ml</v>
      </c>
      <c r="K53" s="0" t="str">
        <f aca="false">INDEX(Laporan!$A$1:$AZ$300,G53,3)</f>
        <v>Shift 1</v>
      </c>
      <c r="L53" s="0" t="n">
        <f aca="false">INDEX(Laporan!$A$1:$AZ$300,G53,4)</f>
        <v>3</v>
      </c>
      <c r="M53" s="1" t="n">
        <f aca="false">DATE(Pemetaan!$B$1,VALUE(RIGHT(INDEX(Laporan!$A$1:$AZ$300,F53+1,H53),2)),VALUE(LEFT(INDEX(Laporan!$A$1:$AZ$300,F53+1,H53),2)))</f>
        <v>46084</v>
      </c>
      <c r="N53" s="0" t="n">
        <f aca="false">INDEX(Laporan!$A$1:$AZ$300,G53,H53)</f>
        <v>3598</v>
      </c>
      <c r="O53" s="0" t="n">
        <f aca="false">IF(N53="","",IFERROR(VALUE(SUBSTITUTE(SUBSTITUTE(N53," btl",""),".","")),""))</f>
        <v>3598</v>
      </c>
      <c r="P53" s="0" t="str">
        <f aca="false">IF(B53="PRODUKSI","produced","reject")</f>
        <v>produced</v>
      </c>
    </row>
    <row r="54" customFormat="false" ht="15" hidden="false" customHeight="false" outlineLevel="0" collapsed="false">
      <c r="A54" s="0" t="n">
        <v>53</v>
      </c>
      <c r="B54" s="0" t="str">
        <f aca="false">IF(A54&lt;=36*25,"PRODUKSI","REJECT")</f>
        <v>PRODUKSI</v>
      </c>
      <c r="C54" s="0" t="n">
        <f aca="false">MOD(A54-1,Pemetaan!$B$3*Pemetaan!$B$4)</f>
        <v>52</v>
      </c>
      <c r="D54" s="0" t="n">
        <f aca="false">INT(C54/Pemetaan!$B$4)</f>
        <v>2</v>
      </c>
      <c r="E54" s="0" t="n">
        <f aca="false">MOD(C54,Pemetaan!$B$4)</f>
        <v>2</v>
      </c>
      <c r="F54" s="0" t="n">
        <f aca="false">IF(B54="PRODUKSI",Pemetaan!$B$5,Pemetaan!$B$6)</f>
        <v>5</v>
      </c>
      <c r="G54" s="0" t="n">
        <f aca="false">F54+2+D54</f>
        <v>9</v>
      </c>
      <c r="H54" s="0" t="n">
        <f aca="false">Pemetaan!$B$2+E54</f>
        <v>7</v>
      </c>
      <c r="I54" s="0" t="str">
        <f aca="false">INDEX(Laporan!$A$1:$AZ$300,G54,1)</f>
        <v>Water Treatment</v>
      </c>
      <c r="J54" s="0" t="str">
        <f aca="false">INDEX(Laporan!$A$1:$AZ$300,G54,2)</f>
        <v>330 ml</v>
      </c>
      <c r="K54" s="0" t="str">
        <f aca="false">INDEX(Laporan!$A$1:$AZ$300,G54,3)</f>
        <v>Shift 1</v>
      </c>
      <c r="L54" s="0" t="n">
        <f aca="false">INDEX(Laporan!$A$1:$AZ$300,G54,4)</f>
        <v>3</v>
      </c>
      <c r="M54" s="1" t="n">
        <f aca="false">DATE(Pemetaan!$B$1,VALUE(RIGHT(INDEX(Laporan!$A$1:$AZ$300,F54+1,H54),2)),VALUE(LEFT(INDEX(Laporan!$A$1:$AZ$300,F54+1,H54),2)))</f>
        <v>46085</v>
      </c>
      <c r="N54" s="0" t="n">
        <f aca="false">INDEX(Laporan!$A$1:$AZ$300,G54,H54)</f>
        <v>3185</v>
      </c>
      <c r="O54" s="0" t="n">
        <f aca="false">IF(N54="","",IFERROR(VALUE(SUBSTITUTE(SUBSTITUTE(N54," btl",""),".","")),""))</f>
        <v>3185</v>
      </c>
      <c r="P54" s="0" t="str">
        <f aca="false">IF(B54="PRODUKSI","produced","reject")</f>
        <v>produced</v>
      </c>
    </row>
    <row r="55" customFormat="false" ht="15" hidden="false" customHeight="false" outlineLevel="0" collapsed="false">
      <c r="A55" s="0" t="n">
        <v>54</v>
      </c>
      <c r="B55" s="0" t="str">
        <f aca="false">IF(A55&lt;=36*25,"PRODUKSI","REJECT")</f>
        <v>PRODUKSI</v>
      </c>
      <c r="C55" s="0" t="n">
        <f aca="false">MOD(A55-1,Pemetaan!$B$3*Pemetaan!$B$4)</f>
        <v>53</v>
      </c>
      <c r="D55" s="0" t="n">
        <f aca="false">INT(C55/Pemetaan!$B$4)</f>
        <v>2</v>
      </c>
      <c r="E55" s="0" t="n">
        <f aca="false">MOD(C55,Pemetaan!$B$4)</f>
        <v>3</v>
      </c>
      <c r="F55" s="0" t="n">
        <f aca="false">IF(B55="PRODUKSI",Pemetaan!$B$5,Pemetaan!$B$6)</f>
        <v>5</v>
      </c>
      <c r="G55" s="0" t="n">
        <f aca="false">F55+2+D55</f>
        <v>9</v>
      </c>
      <c r="H55" s="0" t="n">
        <f aca="false">Pemetaan!$B$2+E55</f>
        <v>8</v>
      </c>
      <c r="I55" s="0" t="str">
        <f aca="false">INDEX(Laporan!$A$1:$AZ$300,G55,1)</f>
        <v>Water Treatment</v>
      </c>
      <c r="J55" s="0" t="str">
        <f aca="false">INDEX(Laporan!$A$1:$AZ$300,G55,2)</f>
        <v>330 ml</v>
      </c>
      <c r="K55" s="0" t="str">
        <f aca="false">INDEX(Laporan!$A$1:$AZ$300,G55,3)</f>
        <v>Shift 1</v>
      </c>
      <c r="L55" s="0" t="n">
        <f aca="false">INDEX(Laporan!$A$1:$AZ$300,G55,4)</f>
        <v>3</v>
      </c>
      <c r="M55" s="1" t="n">
        <f aca="false">DATE(Pemetaan!$B$1,VALUE(RIGHT(INDEX(Laporan!$A$1:$AZ$300,F55+1,H55),2)),VALUE(LEFT(INDEX(Laporan!$A$1:$AZ$300,F55+1,H55),2)))</f>
        <v>46086</v>
      </c>
      <c r="N55" s="0" t="n">
        <f aca="false">INDEX(Laporan!$A$1:$AZ$300,G55,H55)</f>
        <v>3364</v>
      </c>
      <c r="O55" s="0" t="n">
        <f aca="false">IF(N55="","",IFERROR(VALUE(SUBSTITUTE(SUBSTITUTE(N55," btl",""),".","")),""))</f>
        <v>3364</v>
      </c>
      <c r="P55" s="0" t="str">
        <f aca="false">IF(B55="PRODUKSI","produced","reject")</f>
        <v>produced</v>
      </c>
    </row>
    <row r="56" customFormat="false" ht="15" hidden="false" customHeight="false" outlineLevel="0" collapsed="false">
      <c r="A56" s="0" t="n">
        <v>55</v>
      </c>
      <c r="B56" s="0" t="str">
        <f aca="false">IF(A56&lt;=36*25,"PRODUKSI","REJECT")</f>
        <v>PRODUKSI</v>
      </c>
      <c r="C56" s="0" t="n">
        <f aca="false">MOD(A56-1,Pemetaan!$B$3*Pemetaan!$B$4)</f>
        <v>54</v>
      </c>
      <c r="D56" s="0" t="n">
        <f aca="false">INT(C56/Pemetaan!$B$4)</f>
        <v>2</v>
      </c>
      <c r="E56" s="0" t="n">
        <f aca="false">MOD(C56,Pemetaan!$B$4)</f>
        <v>4</v>
      </c>
      <c r="F56" s="0" t="n">
        <f aca="false">IF(B56="PRODUKSI",Pemetaan!$B$5,Pemetaan!$B$6)</f>
        <v>5</v>
      </c>
      <c r="G56" s="0" t="n">
        <f aca="false">F56+2+D56</f>
        <v>9</v>
      </c>
      <c r="H56" s="0" t="n">
        <f aca="false">Pemetaan!$B$2+E56</f>
        <v>9</v>
      </c>
      <c r="I56" s="0" t="str">
        <f aca="false">INDEX(Laporan!$A$1:$AZ$300,G56,1)</f>
        <v>Water Treatment</v>
      </c>
      <c r="J56" s="0" t="str">
        <f aca="false">INDEX(Laporan!$A$1:$AZ$300,G56,2)</f>
        <v>330 ml</v>
      </c>
      <c r="K56" s="0" t="str">
        <f aca="false">INDEX(Laporan!$A$1:$AZ$300,G56,3)</f>
        <v>Shift 1</v>
      </c>
      <c r="L56" s="0" t="n">
        <f aca="false">INDEX(Laporan!$A$1:$AZ$300,G56,4)</f>
        <v>3</v>
      </c>
      <c r="M56" s="1" t="n">
        <f aca="false">DATE(Pemetaan!$B$1,VALUE(RIGHT(INDEX(Laporan!$A$1:$AZ$300,F56+1,H56),2)),VALUE(LEFT(INDEX(Laporan!$A$1:$AZ$300,F56+1,H56),2)))</f>
        <v>46087</v>
      </c>
      <c r="N56" s="0" t="n">
        <f aca="false">INDEX(Laporan!$A$1:$AZ$300,G56,H56)</f>
        <v>2929</v>
      </c>
      <c r="O56" s="0" t="n">
        <f aca="false">IF(N56="","",IFERROR(VALUE(SUBSTITUTE(SUBSTITUTE(N56," btl",""),".","")),""))</f>
        <v>2929</v>
      </c>
      <c r="P56" s="0" t="str">
        <f aca="false">IF(B56="PRODUKSI","produced","reject")</f>
        <v>produced</v>
      </c>
    </row>
    <row r="57" customFormat="false" ht="15" hidden="false" customHeight="false" outlineLevel="0" collapsed="false">
      <c r="A57" s="0" t="n">
        <v>56</v>
      </c>
      <c r="B57" s="0" t="str">
        <f aca="false">IF(A57&lt;=36*25,"PRODUKSI","REJECT")</f>
        <v>PRODUKSI</v>
      </c>
      <c r="C57" s="0" t="n">
        <f aca="false">MOD(A57-1,Pemetaan!$B$3*Pemetaan!$B$4)</f>
        <v>55</v>
      </c>
      <c r="D57" s="0" t="n">
        <f aca="false">INT(C57/Pemetaan!$B$4)</f>
        <v>2</v>
      </c>
      <c r="E57" s="0" t="n">
        <f aca="false">MOD(C57,Pemetaan!$B$4)</f>
        <v>5</v>
      </c>
      <c r="F57" s="0" t="n">
        <f aca="false">IF(B57="PRODUKSI",Pemetaan!$B$5,Pemetaan!$B$6)</f>
        <v>5</v>
      </c>
      <c r="G57" s="0" t="n">
        <f aca="false">F57+2+D57</f>
        <v>9</v>
      </c>
      <c r="H57" s="0" t="n">
        <f aca="false">Pemetaan!$B$2+E57</f>
        <v>10</v>
      </c>
      <c r="I57" s="0" t="str">
        <f aca="false">INDEX(Laporan!$A$1:$AZ$300,G57,1)</f>
        <v>Water Treatment</v>
      </c>
      <c r="J57" s="0" t="str">
        <f aca="false">INDEX(Laporan!$A$1:$AZ$300,G57,2)</f>
        <v>330 ml</v>
      </c>
      <c r="K57" s="0" t="str">
        <f aca="false">INDEX(Laporan!$A$1:$AZ$300,G57,3)</f>
        <v>Shift 1</v>
      </c>
      <c r="L57" s="0" t="n">
        <f aca="false">INDEX(Laporan!$A$1:$AZ$300,G57,4)</f>
        <v>3</v>
      </c>
      <c r="M57" s="1" t="n">
        <f aca="false">DATE(Pemetaan!$B$1,VALUE(RIGHT(INDEX(Laporan!$A$1:$AZ$300,F57+1,H57),2)),VALUE(LEFT(INDEX(Laporan!$A$1:$AZ$300,F57+1,H57),2)))</f>
        <v>46090</v>
      </c>
      <c r="N57" s="0" t="n">
        <f aca="false">INDEX(Laporan!$A$1:$AZ$300,G57,H57)</f>
        <v>2924</v>
      </c>
      <c r="O57" s="0" t="n">
        <f aca="false">IF(N57="","",IFERROR(VALUE(SUBSTITUTE(SUBSTITUTE(N57," btl",""),".","")),""))</f>
        <v>2924</v>
      </c>
      <c r="P57" s="0" t="str">
        <f aca="false">IF(B57="PRODUKSI","produced","reject")</f>
        <v>produced</v>
      </c>
    </row>
    <row r="58" customFormat="false" ht="15" hidden="false" customHeight="false" outlineLevel="0" collapsed="false">
      <c r="A58" s="0" t="n">
        <v>57</v>
      </c>
      <c r="B58" s="0" t="str">
        <f aca="false">IF(A58&lt;=36*25,"PRODUKSI","REJECT")</f>
        <v>PRODUKSI</v>
      </c>
      <c r="C58" s="0" t="n">
        <f aca="false">MOD(A58-1,Pemetaan!$B$3*Pemetaan!$B$4)</f>
        <v>56</v>
      </c>
      <c r="D58" s="0" t="n">
        <f aca="false">INT(C58/Pemetaan!$B$4)</f>
        <v>2</v>
      </c>
      <c r="E58" s="0" t="n">
        <f aca="false">MOD(C58,Pemetaan!$B$4)</f>
        <v>6</v>
      </c>
      <c r="F58" s="0" t="n">
        <f aca="false">IF(B58="PRODUKSI",Pemetaan!$B$5,Pemetaan!$B$6)</f>
        <v>5</v>
      </c>
      <c r="G58" s="0" t="n">
        <f aca="false">F58+2+D58</f>
        <v>9</v>
      </c>
      <c r="H58" s="0" t="n">
        <f aca="false">Pemetaan!$B$2+E58</f>
        <v>11</v>
      </c>
      <c r="I58" s="0" t="str">
        <f aca="false">INDEX(Laporan!$A$1:$AZ$300,G58,1)</f>
        <v>Water Treatment</v>
      </c>
      <c r="J58" s="0" t="str">
        <f aca="false">INDEX(Laporan!$A$1:$AZ$300,G58,2)</f>
        <v>330 ml</v>
      </c>
      <c r="K58" s="0" t="str">
        <f aca="false">INDEX(Laporan!$A$1:$AZ$300,G58,3)</f>
        <v>Shift 1</v>
      </c>
      <c r="L58" s="0" t="n">
        <f aca="false">INDEX(Laporan!$A$1:$AZ$300,G58,4)</f>
        <v>3</v>
      </c>
      <c r="M58" s="1" t="n">
        <f aca="false">DATE(Pemetaan!$B$1,VALUE(RIGHT(INDEX(Laporan!$A$1:$AZ$300,F58+1,H58),2)),VALUE(LEFT(INDEX(Laporan!$A$1:$AZ$300,F58+1,H58),2)))</f>
        <v>46091</v>
      </c>
      <c r="N58" s="0" t="n">
        <f aca="false">INDEX(Laporan!$A$1:$AZ$300,G58,H58)</f>
        <v>3284</v>
      </c>
      <c r="O58" s="0" t="n">
        <f aca="false">IF(N58="","",IFERROR(VALUE(SUBSTITUTE(SUBSTITUTE(N58," btl",""),".","")),""))</f>
        <v>3284</v>
      </c>
      <c r="P58" s="0" t="str">
        <f aca="false">IF(B58="PRODUKSI","produced","reject")</f>
        <v>produced</v>
      </c>
    </row>
    <row r="59" customFormat="false" ht="15" hidden="false" customHeight="false" outlineLevel="0" collapsed="false">
      <c r="A59" s="0" t="n">
        <v>58</v>
      </c>
      <c r="B59" s="0" t="str">
        <f aca="false">IF(A59&lt;=36*25,"PRODUKSI","REJECT")</f>
        <v>PRODUKSI</v>
      </c>
      <c r="C59" s="0" t="n">
        <f aca="false">MOD(A59-1,Pemetaan!$B$3*Pemetaan!$B$4)</f>
        <v>57</v>
      </c>
      <c r="D59" s="0" t="n">
        <f aca="false">INT(C59/Pemetaan!$B$4)</f>
        <v>2</v>
      </c>
      <c r="E59" s="0" t="n">
        <f aca="false">MOD(C59,Pemetaan!$B$4)</f>
        <v>7</v>
      </c>
      <c r="F59" s="0" t="n">
        <f aca="false">IF(B59="PRODUKSI",Pemetaan!$B$5,Pemetaan!$B$6)</f>
        <v>5</v>
      </c>
      <c r="G59" s="0" t="n">
        <f aca="false">F59+2+D59</f>
        <v>9</v>
      </c>
      <c r="H59" s="0" t="n">
        <f aca="false">Pemetaan!$B$2+E59</f>
        <v>12</v>
      </c>
      <c r="I59" s="0" t="str">
        <f aca="false">INDEX(Laporan!$A$1:$AZ$300,G59,1)</f>
        <v>Water Treatment</v>
      </c>
      <c r="J59" s="0" t="str">
        <f aca="false">INDEX(Laporan!$A$1:$AZ$300,G59,2)</f>
        <v>330 ml</v>
      </c>
      <c r="K59" s="0" t="str">
        <f aca="false">INDEX(Laporan!$A$1:$AZ$300,G59,3)</f>
        <v>Shift 1</v>
      </c>
      <c r="L59" s="0" t="n">
        <f aca="false">INDEX(Laporan!$A$1:$AZ$300,G59,4)</f>
        <v>3</v>
      </c>
      <c r="M59" s="1" t="n">
        <f aca="false">DATE(Pemetaan!$B$1,VALUE(RIGHT(INDEX(Laporan!$A$1:$AZ$300,F59+1,H59),2)),VALUE(LEFT(INDEX(Laporan!$A$1:$AZ$300,F59+1,H59),2)))</f>
        <v>46092</v>
      </c>
      <c r="N59" s="0" t="n">
        <f aca="false">INDEX(Laporan!$A$1:$AZ$300,G59,H59)</f>
        <v>2684</v>
      </c>
      <c r="O59" s="0" t="n">
        <f aca="false">IF(N59="","",IFERROR(VALUE(SUBSTITUTE(SUBSTITUTE(N59," btl",""),".","")),""))</f>
        <v>2684</v>
      </c>
      <c r="P59" s="0" t="str">
        <f aca="false">IF(B59="PRODUKSI","produced","reject")</f>
        <v>produced</v>
      </c>
    </row>
    <row r="60" customFormat="false" ht="15" hidden="false" customHeight="false" outlineLevel="0" collapsed="false">
      <c r="A60" s="0" t="n">
        <v>59</v>
      </c>
      <c r="B60" s="0" t="str">
        <f aca="false">IF(A60&lt;=36*25,"PRODUKSI","REJECT")</f>
        <v>PRODUKSI</v>
      </c>
      <c r="C60" s="0" t="n">
        <f aca="false">MOD(A60-1,Pemetaan!$B$3*Pemetaan!$B$4)</f>
        <v>58</v>
      </c>
      <c r="D60" s="0" t="n">
        <f aca="false">INT(C60/Pemetaan!$B$4)</f>
        <v>2</v>
      </c>
      <c r="E60" s="0" t="n">
        <f aca="false">MOD(C60,Pemetaan!$B$4)</f>
        <v>8</v>
      </c>
      <c r="F60" s="0" t="n">
        <f aca="false">IF(B60="PRODUKSI",Pemetaan!$B$5,Pemetaan!$B$6)</f>
        <v>5</v>
      </c>
      <c r="G60" s="0" t="n">
        <f aca="false">F60+2+D60</f>
        <v>9</v>
      </c>
      <c r="H60" s="0" t="n">
        <f aca="false">Pemetaan!$B$2+E60</f>
        <v>13</v>
      </c>
      <c r="I60" s="0" t="str">
        <f aca="false">INDEX(Laporan!$A$1:$AZ$300,G60,1)</f>
        <v>Water Treatment</v>
      </c>
      <c r="J60" s="0" t="str">
        <f aca="false">INDEX(Laporan!$A$1:$AZ$300,G60,2)</f>
        <v>330 ml</v>
      </c>
      <c r="K60" s="0" t="str">
        <f aca="false">INDEX(Laporan!$A$1:$AZ$300,G60,3)</f>
        <v>Shift 1</v>
      </c>
      <c r="L60" s="0" t="n">
        <f aca="false">INDEX(Laporan!$A$1:$AZ$300,G60,4)</f>
        <v>3</v>
      </c>
      <c r="M60" s="1" t="n">
        <f aca="false">DATE(Pemetaan!$B$1,VALUE(RIGHT(INDEX(Laporan!$A$1:$AZ$300,F60+1,H60),2)),VALUE(LEFT(INDEX(Laporan!$A$1:$AZ$300,F60+1,H60),2)))</f>
        <v>46093</v>
      </c>
      <c r="N60" s="0" t="n">
        <f aca="false">INDEX(Laporan!$A$1:$AZ$300,G60,H60)</f>
        <v>3431</v>
      </c>
      <c r="O60" s="0" t="n">
        <f aca="false">IF(N60="","",IFERROR(VALUE(SUBSTITUTE(SUBSTITUTE(N60," btl",""),".","")),""))</f>
        <v>3431</v>
      </c>
      <c r="P60" s="0" t="str">
        <f aca="false">IF(B60="PRODUKSI","produced","reject")</f>
        <v>produced</v>
      </c>
    </row>
    <row r="61" customFormat="false" ht="15" hidden="false" customHeight="false" outlineLevel="0" collapsed="false">
      <c r="A61" s="0" t="n">
        <v>60</v>
      </c>
      <c r="B61" s="0" t="str">
        <f aca="false">IF(A61&lt;=36*25,"PRODUKSI","REJECT")</f>
        <v>PRODUKSI</v>
      </c>
      <c r="C61" s="0" t="n">
        <f aca="false">MOD(A61-1,Pemetaan!$B$3*Pemetaan!$B$4)</f>
        <v>59</v>
      </c>
      <c r="D61" s="0" t="n">
        <f aca="false">INT(C61/Pemetaan!$B$4)</f>
        <v>2</v>
      </c>
      <c r="E61" s="0" t="n">
        <f aca="false">MOD(C61,Pemetaan!$B$4)</f>
        <v>9</v>
      </c>
      <c r="F61" s="0" t="n">
        <f aca="false">IF(B61="PRODUKSI",Pemetaan!$B$5,Pemetaan!$B$6)</f>
        <v>5</v>
      </c>
      <c r="G61" s="0" t="n">
        <f aca="false">F61+2+D61</f>
        <v>9</v>
      </c>
      <c r="H61" s="0" t="n">
        <f aca="false">Pemetaan!$B$2+E61</f>
        <v>14</v>
      </c>
      <c r="I61" s="0" t="str">
        <f aca="false">INDEX(Laporan!$A$1:$AZ$300,G61,1)</f>
        <v>Water Treatment</v>
      </c>
      <c r="J61" s="0" t="str">
        <f aca="false">INDEX(Laporan!$A$1:$AZ$300,G61,2)</f>
        <v>330 ml</v>
      </c>
      <c r="K61" s="0" t="str">
        <f aca="false">INDEX(Laporan!$A$1:$AZ$300,G61,3)</f>
        <v>Shift 1</v>
      </c>
      <c r="L61" s="0" t="n">
        <f aca="false">INDEX(Laporan!$A$1:$AZ$300,G61,4)</f>
        <v>3</v>
      </c>
      <c r="M61" s="1" t="n">
        <f aca="false">DATE(Pemetaan!$B$1,VALUE(RIGHT(INDEX(Laporan!$A$1:$AZ$300,F61+1,H61),2)),VALUE(LEFT(INDEX(Laporan!$A$1:$AZ$300,F61+1,H61),2)))</f>
        <v>46094</v>
      </c>
      <c r="N61" s="0" t="n">
        <f aca="false">INDEX(Laporan!$A$1:$AZ$300,G61,H61)</f>
        <v>3114</v>
      </c>
      <c r="O61" s="0" t="n">
        <f aca="false">IF(N61="","",IFERROR(VALUE(SUBSTITUTE(SUBSTITUTE(N61," btl",""),".","")),""))</f>
        <v>3114</v>
      </c>
      <c r="P61" s="0" t="str">
        <f aca="false">IF(B61="PRODUKSI","produced","reject")</f>
        <v>produced</v>
      </c>
    </row>
    <row r="62" customFormat="false" ht="15" hidden="false" customHeight="false" outlineLevel="0" collapsed="false">
      <c r="A62" s="0" t="n">
        <v>61</v>
      </c>
      <c r="B62" s="0" t="str">
        <f aca="false">IF(A62&lt;=36*25,"PRODUKSI","REJECT")</f>
        <v>PRODUKSI</v>
      </c>
      <c r="C62" s="0" t="n">
        <f aca="false">MOD(A62-1,Pemetaan!$B$3*Pemetaan!$B$4)</f>
        <v>60</v>
      </c>
      <c r="D62" s="0" t="n">
        <f aca="false">INT(C62/Pemetaan!$B$4)</f>
        <v>2</v>
      </c>
      <c r="E62" s="0" t="n">
        <f aca="false">MOD(C62,Pemetaan!$B$4)</f>
        <v>10</v>
      </c>
      <c r="F62" s="0" t="n">
        <f aca="false">IF(B62="PRODUKSI",Pemetaan!$B$5,Pemetaan!$B$6)</f>
        <v>5</v>
      </c>
      <c r="G62" s="0" t="n">
        <f aca="false">F62+2+D62</f>
        <v>9</v>
      </c>
      <c r="H62" s="0" t="n">
        <f aca="false">Pemetaan!$B$2+E62</f>
        <v>15</v>
      </c>
      <c r="I62" s="0" t="str">
        <f aca="false">INDEX(Laporan!$A$1:$AZ$300,G62,1)</f>
        <v>Water Treatment</v>
      </c>
      <c r="J62" s="0" t="str">
        <f aca="false">INDEX(Laporan!$A$1:$AZ$300,G62,2)</f>
        <v>330 ml</v>
      </c>
      <c r="K62" s="0" t="str">
        <f aca="false">INDEX(Laporan!$A$1:$AZ$300,G62,3)</f>
        <v>Shift 1</v>
      </c>
      <c r="L62" s="0" t="n">
        <f aca="false">INDEX(Laporan!$A$1:$AZ$300,G62,4)</f>
        <v>3</v>
      </c>
      <c r="M62" s="1" t="n">
        <f aca="false">DATE(Pemetaan!$B$1,VALUE(RIGHT(INDEX(Laporan!$A$1:$AZ$300,F62+1,H62),2)),VALUE(LEFT(INDEX(Laporan!$A$1:$AZ$300,F62+1,H62),2)))</f>
        <v>46097</v>
      </c>
      <c r="N62" s="0" t="n">
        <f aca="false">INDEX(Laporan!$A$1:$AZ$300,G62,H62)</f>
        <v>3068</v>
      </c>
      <c r="O62" s="0" t="n">
        <f aca="false">IF(N62="","",IFERROR(VALUE(SUBSTITUTE(SUBSTITUTE(N62," btl",""),".","")),""))</f>
        <v>3068</v>
      </c>
      <c r="P62" s="0" t="str">
        <f aca="false">IF(B62="PRODUKSI","produced","reject")</f>
        <v>produced</v>
      </c>
    </row>
    <row r="63" customFormat="false" ht="15" hidden="false" customHeight="false" outlineLevel="0" collapsed="false">
      <c r="A63" s="0" t="n">
        <v>62</v>
      </c>
      <c r="B63" s="0" t="str">
        <f aca="false">IF(A63&lt;=36*25,"PRODUKSI","REJECT")</f>
        <v>PRODUKSI</v>
      </c>
      <c r="C63" s="0" t="n">
        <f aca="false">MOD(A63-1,Pemetaan!$B$3*Pemetaan!$B$4)</f>
        <v>61</v>
      </c>
      <c r="D63" s="0" t="n">
        <f aca="false">INT(C63/Pemetaan!$B$4)</f>
        <v>2</v>
      </c>
      <c r="E63" s="0" t="n">
        <f aca="false">MOD(C63,Pemetaan!$B$4)</f>
        <v>11</v>
      </c>
      <c r="F63" s="0" t="n">
        <f aca="false">IF(B63="PRODUKSI",Pemetaan!$B$5,Pemetaan!$B$6)</f>
        <v>5</v>
      </c>
      <c r="G63" s="0" t="n">
        <f aca="false">F63+2+D63</f>
        <v>9</v>
      </c>
      <c r="H63" s="0" t="n">
        <f aca="false">Pemetaan!$B$2+E63</f>
        <v>16</v>
      </c>
      <c r="I63" s="0" t="str">
        <f aca="false">INDEX(Laporan!$A$1:$AZ$300,G63,1)</f>
        <v>Water Treatment</v>
      </c>
      <c r="J63" s="0" t="str">
        <f aca="false">INDEX(Laporan!$A$1:$AZ$300,G63,2)</f>
        <v>330 ml</v>
      </c>
      <c r="K63" s="0" t="str">
        <f aca="false">INDEX(Laporan!$A$1:$AZ$300,G63,3)</f>
        <v>Shift 1</v>
      </c>
      <c r="L63" s="0" t="n">
        <f aca="false">INDEX(Laporan!$A$1:$AZ$300,G63,4)</f>
        <v>3</v>
      </c>
      <c r="M63" s="1" t="n">
        <f aca="false">DATE(Pemetaan!$B$1,VALUE(RIGHT(INDEX(Laporan!$A$1:$AZ$300,F63+1,H63),2)),VALUE(LEFT(INDEX(Laporan!$A$1:$AZ$300,F63+1,H63),2)))</f>
        <v>46098</v>
      </c>
      <c r="N63" s="0" t="n">
        <f aca="false">INDEX(Laporan!$A$1:$AZ$300,G63,H63)</f>
        <v>3264</v>
      </c>
      <c r="O63" s="0" t="n">
        <f aca="false">IF(N63="","",IFERROR(VALUE(SUBSTITUTE(SUBSTITUTE(N63," btl",""),".","")),""))</f>
        <v>3264</v>
      </c>
      <c r="P63" s="0" t="str">
        <f aca="false">IF(B63="PRODUKSI","produced","reject")</f>
        <v>produced</v>
      </c>
    </row>
    <row r="64" customFormat="false" ht="15" hidden="false" customHeight="false" outlineLevel="0" collapsed="false">
      <c r="A64" s="0" t="n">
        <v>63</v>
      </c>
      <c r="B64" s="0" t="str">
        <f aca="false">IF(A64&lt;=36*25,"PRODUKSI","REJECT")</f>
        <v>PRODUKSI</v>
      </c>
      <c r="C64" s="0" t="n">
        <f aca="false">MOD(A64-1,Pemetaan!$B$3*Pemetaan!$B$4)</f>
        <v>62</v>
      </c>
      <c r="D64" s="0" t="n">
        <f aca="false">INT(C64/Pemetaan!$B$4)</f>
        <v>2</v>
      </c>
      <c r="E64" s="0" t="n">
        <f aca="false">MOD(C64,Pemetaan!$B$4)</f>
        <v>12</v>
      </c>
      <c r="F64" s="0" t="n">
        <f aca="false">IF(B64="PRODUKSI",Pemetaan!$B$5,Pemetaan!$B$6)</f>
        <v>5</v>
      </c>
      <c r="G64" s="0" t="n">
        <f aca="false">F64+2+D64</f>
        <v>9</v>
      </c>
      <c r="H64" s="0" t="n">
        <f aca="false">Pemetaan!$B$2+E64</f>
        <v>17</v>
      </c>
      <c r="I64" s="0" t="str">
        <f aca="false">INDEX(Laporan!$A$1:$AZ$300,G64,1)</f>
        <v>Water Treatment</v>
      </c>
      <c r="J64" s="0" t="str">
        <f aca="false">INDEX(Laporan!$A$1:$AZ$300,G64,2)</f>
        <v>330 ml</v>
      </c>
      <c r="K64" s="0" t="str">
        <f aca="false">INDEX(Laporan!$A$1:$AZ$300,G64,3)</f>
        <v>Shift 1</v>
      </c>
      <c r="L64" s="0" t="n">
        <f aca="false">INDEX(Laporan!$A$1:$AZ$300,G64,4)</f>
        <v>3</v>
      </c>
      <c r="M64" s="1" t="n">
        <f aca="false">DATE(Pemetaan!$B$1,VALUE(RIGHT(INDEX(Laporan!$A$1:$AZ$300,F64+1,H64),2)),VALUE(LEFT(INDEX(Laporan!$A$1:$AZ$300,F64+1,H64),2)))</f>
        <v>46099</v>
      </c>
      <c r="N64" s="0" t="n">
        <f aca="false">INDEX(Laporan!$A$1:$AZ$300,G64,H64)</f>
        <v>3414</v>
      </c>
      <c r="O64" s="0" t="n">
        <f aca="false">IF(N64="","",IFERROR(VALUE(SUBSTITUTE(SUBSTITUTE(N64," btl",""),".","")),""))</f>
        <v>3414</v>
      </c>
      <c r="P64" s="0" t="str">
        <f aca="false">IF(B64="PRODUKSI","produced","reject")</f>
        <v>produced</v>
      </c>
    </row>
    <row r="65" customFormat="false" ht="15" hidden="false" customHeight="false" outlineLevel="0" collapsed="false">
      <c r="A65" s="0" t="n">
        <v>64</v>
      </c>
      <c r="B65" s="0" t="str">
        <f aca="false">IF(A65&lt;=36*25,"PRODUKSI","REJECT")</f>
        <v>PRODUKSI</v>
      </c>
      <c r="C65" s="0" t="n">
        <f aca="false">MOD(A65-1,Pemetaan!$B$3*Pemetaan!$B$4)</f>
        <v>63</v>
      </c>
      <c r="D65" s="0" t="n">
        <f aca="false">INT(C65/Pemetaan!$B$4)</f>
        <v>2</v>
      </c>
      <c r="E65" s="0" t="n">
        <f aca="false">MOD(C65,Pemetaan!$B$4)</f>
        <v>13</v>
      </c>
      <c r="F65" s="0" t="n">
        <f aca="false">IF(B65="PRODUKSI",Pemetaan!$B$5,Pemetaan!$B$6)</f>
        <v>5</v>
      </c>
      <c r="G65" s="0" t="n">
        <f aca="false">F65+2+D65</f>
        <v>9</v>
      </c>
      <c r="H65" s="0" t="n">
        <f aca="false">Pemetaan!$B$2+E65</f>
        <v>18</v>
      </c>
      <c r="I65" s="0" t="str">
        <f aca="false">INDEX(Laporan!$A$1:$AZ$300,G65,1)</f>
        <v>Water Treatment</v>
      </c>
      <c r="J65" s="0" t="str">
        <f aca="false">INDEX(Laporan!$A$1:$AZ$300,G65,2)</f>
        <v>330 ml</v>
      </c>
      <c r="K65" s="0" t="str">
        <f aca="false">INDEX(Laporan!$A$1:$AZ$300,G65,3)</f>
        <v>Shift 1</v>
      </c>
      <c r="L65" s="0" t="n">
        <f aca="false">INDEX(Laporan!$A$1:$AZ$300,G65,4)</f>
        <v>3</v>
      </c>
      <c r="M65" s="1" t="n">
        <f aca="false">DATE(Pemetaan!$B$1,VALUE(RIGHT(INDEX(Laporan!$A$1:$AZ$300,F65+1,H65),2)),VALUE(LEFT(INDEX(Laporan!$A$1:$AZ$300,F65+1,H65),2)))</f>
        <v>46100</v>
      </c>
      <c r="N65" s="0" t="n">
        <f aca="false">INDEX(Laporan!$A$1:$AZ$300,G65,H65)</f>
        <v>3167</v>
      </c>
      <c r="O65" s="0" t="n">
        <f aca="false">IF(N65="","",IFERROR(VALUE(SUBSTITUTE(SUBSTITUTE(N65," btl",""),".","")),""))</f>
        <v>3167</v>
      </c>
      <c r="P65" s="0" t="str">
        <f aca="false">IF(B65="PRODUKSI","produced","reject")</f>
        <v>produced</v>
      </c>
    </row>
    <row r="66" customFormat="false" ht="15" hidden="false" customHeight="false" outlineLevel="0" collapsed="false">
      <c r="A66" s="0" t="n">
        <v>65</v>
      </c>
      <c r="B66" s="0" t="str">
        <f aca="false">IF(A66&lt;=36*25,"PRODUKSI","REJECT")</f>
        <v>PRODUKSI</v>
      </c>
      <c r="C66" s="0" t="n">
        <f aca="false">MOD(A66-1,Pemetaan!$B$3*Pemetaan!$B$4)</f>
        <v>64</v>
      </c>
      <c r="D66" s="0" t="n">
        <f aca="false">INT(C66/Pemetaan!$B$4)</f>
        <v>2</v>
      </c>
      <c r="E66" s="0" t="n">
        <f aca="false">MOD(C66,Pemetaan!$B$4)</f>
        <v>14</v>
      </c>
      <c r="F66" s="0" t="n">
        <f aca="false">IF(B66="PRODUKSI",Pemetaan!$B$5,Pemetaan!$B$6)</f>
        <v>5</v>
      </c>
      <c r="G66" s="0" t="n">
        <f aca="false">F66+2+D66</f>
        <v>9</v>
      </c>
      <c r="H66" s="0" t="n">
        <f aca="false">Pemetaan!$B$2+E66</f>
        <v>19</v>
      </c>
      <c r="I66" s="0" t="str">
        <f aca="false">INDEX(Laporan!$A$1:$AZ$300,G66,1)</f>
        <v>Water Treatment</v>
      </c>
      <c r="J66" s="0" t="str">
        <f aca="false">INDEX(Laporan!$A$1:$AZ$300,G66,2)</f>
        <v>330 ml</v>
      </c>
      <c r="K66" s="0" t="str">
        <f aca="false">INDEX(Laporan!$A$1:$AZ$300,G66,3)</f>
        <v>Shift 1</v>
      </c>
      <c r="L66" s="0" t="n">
        <f aca="false">INDEX(Laporan!$A$1:$AZ$300,G66,4)</f>
        <v>3</v>
      </c>
      <c r="M66" s="1" t="n">
        <f aca="false">DATE(Pemetaan!$B$1,VALUE(RIGHT(INDEX(Laporan!$A$1:$AZ$300,F66+1,H66),2)),VALUE(LEFT(INDEX(Laporan!$A$1:$AZ$300,F66+1,H66),2)))</f>
        <v>46101</v>
      </c>
      <c r="N66" s="0" t="n">
        <f aca="false">INDEX(Laporan!$A$1:$AZ$300,G66,H66)</f>
        <v>3203</v>
      </c>
      <c r="O66" s="0" t="n">
        <f aca="false">IF(N66="","",IFERROR(VALUE(SUBSTITUTE(SUBSTITUTE(N66," btl",""),".","")),""))</f>
        <v>3203</v>
      </c>
      <c r="P66" s="0" t="str">
        <f aca="false">IF(B66="PRODUKSI","produced","reject")</f>
        <v>produced</v>
      </c>
    </row>
    <row r="67" customFormat="false" ht="15" hidden="false" customHeight="false" outlineLevel="0" collapsed="false">
      <c r="A67" s="0" t="n">
        <v>66</v>
      </c>
      <c r="B67" s="0" t="str">
        <f aca="false">IF(A67&lt;=36*25,"PRODUKSI","REJECT")</f>
        <v>PRODUKSI</v>
      </c>
      <c r="C67" s="0" t="n">
        <f aca="false">MOD(A67-1,Pemetaan!$B$3*Pemetaan!$B$4)</f>
        <v>65</v>
      </c>
      <c r="D67" s="0" t="n">
        <f aca="false">INT(C67/Pemetaan!$B$4)</f>
        <v>2</v>
      </c>
      <c r="E67" s="0" t="n">
        <f aca="false">MOD(C67,Pemetaan!$B$4)</f>
        <v>15</v>
      </c>
      <c r="F67" s="0" t="n">
        <f aca="false">IF(B67="PRODUKSI",Pemetaan!$B$5,Pemetaan!$B$6)</f>
        <v>5</v>
      </c>
      <c r="G67" s="0" t="n">
        <f aca="false">F67+2+D67</f>
        <v>9</v>
      </c>
      <c r="H67" s="0" t="n">
        <f aca="false">Pemetaan!$B$2+E67</f>
        <v>20</v>
      </c>
      <c r="I67" s="0" t="str">
        <f aca="false">INDEX(Laporan!$A$1:$AZ$300,G67,1)</f>
        <v>Water Treatment</v>
      </c>
      <c r="J67" s="0" t="str">
        <f aca="false">INDEX(Laporan!$A$1:$AZ$300,G67,2)</f>
        <v>330 ml</v>
      </c>
      <c r="K67" s="0" t="str">
        <f aca="false">INDEX(Laporan!$A$1:$AZ$300,G67,3)</f>
        <v>Shift 1</v>
      </c>
      <c r="L67" s="0" t="n">
        <f aca="false">INDEX(Laporan!$A$1:$AZ$300,G67,4)</f>
        <v>3</v>
      </c>
      <c r="M67" s="1" t="n">
        <f aca="false">DATE(Pemetaan!$B$1,VALUE(RIGHT(INDEX(Laporan!$A$1:$AZ$300,F67+1,H67),2)),VALUE(LEFT(INDEX(Laporan!$A$1:$AZ$300,F67+1,H67),2)))</f>
        <v>46104</v>
      </c>
      <c r="N67" s="0" t="n">
        <f aca="false">INDEX(Laporan!$A$1:$AZ$300,G67,H67)</f>
        <v>2746</v>
      </c>
      <c r="O67" s="0" t="n">
        <f aca="false">IF(N67="","",IFERROR(VALUE(SUBSTITUTE(SUBSTITUTE(N67," btl",""),".","")),""))</f>
        <v>2746</v>
      </c>
      <c r="P67" s="0" t="str">
        <f aca="false">IF(B67="PRODUKSI","produced","reject")</f>
        <v>produced</v>
      </c>
    </row>
    <row r="68" customFormat="false" ht="15" hidden="false" customHeight="false" outlineLevel="0" collapsed="false">
      <c r="A68" s="0" t="n">
        <v>67</v>
      </c>
      <c r="B68" s="0" t="str">
        <f aca="false">IF(A68&lt;=36*25,"PRODUKSI","REJECT")</f>
        <v>PRODUKSI</v>
      </c>
      <c r="C68" s="0" t="n">
        <f aca="false">MOD(A68-1,Pemetaan!$B$3*Pemetaan!$B$4)</f>
        <v>66</v>
      </c>
      <c r="D68" s="0" t="n">
        <f aca="false">INT(C68/Pemetaan!$B$4)</f>
        <v>2</v>
      </c>
      <c r="E68" s="0" t="n">
        <f aca="false">MOD(C68,Pemetaan!$B$4)</f>
        <v>16</v>
      </c>
      <c r="F68" s="0" t="n">
        <f aca="false">IF(B68="PRODUKSI",Pemetaan!$B$5,Pemetaan!$B$6)</f>
        <v>5</v>
      </c>
      <c r="G68" s="0" t="n">
        <f aca="false">F68+2+D68</f>
        <v>9</v>
      </c>
      <c r="H68" s="0" t="n">
        <f aca="false">Pemetaan!$B$2+E68</f>
        <v>21</v>
      </c>
      <c r="I68" s="0" t="str">
        <f aca="false">INDEX(Laporan!$A$1:$AZ$300,G68,1)</f>
        <v>Water Treatment</v>
      </c>
      <c r="J68" s="0" t="str">
        <f aca="false">INDEX(Laporan!$A$1:$AZ$300,G68,2)</f>
        <v>330 ml</v>
      </c>
      <c r="K68" s="0" t="str">
        <f aca="false">INDEX(Laporan!$A$1:$AZ$300,G68,3)</f>
        <v>Shift 1</v>
      </c>
      <c r="L68" s="0" t="n">
        <f aca="false">INDEX(Laporan!$A$1:$AZ$300,G68,4)</f>
        <v>3</v>
      </c>
      <c r="M68" s="1" t="n">
        <f aca="false">DATE(Pemetaan!$B$1,VALUE(RIGHT(INDEX(Laporan!$A$1:$AZ$300,F68+1,H68),2)),VALUE(LEFT(INDEX(Laporan!$A$1:$AZ$300,F68+1,H68),2)))</f>
        <v>46105</v>
      </c>
      <c r="N68" s="0" t="n">
        <f aca="false">INDEX(Laporan!$A$1:$AZ$300,G68,H68)</f>
        <v>3179</v>
      </c>
      <c r="O68" s="0" t="n">
        <f aca="false">IF(N68="","",IFERROR(VALUE(SUBSTITUTE(SUBSTITUTE(N68," btl",""),".","")),""))</f>
        <v>3179</v>
      </c>
      <c r="P68" s="0" t="str">
        <f aca="false">IF(B68="PRODUKSI","produced","reject")</f>
        <v>produced</v>
      </c>
    </row>
    <row r="69" customFormat="false" ht="15" hidden="false" customHeight="false" outlineLevel="0" collapsed="false">
      <c r="A69" s="0" t="n">
        <v>68</v>
      </c>
      <c r="B69" s="0" t="str">
        <f aca="false">IF(A69&lt;=36*25,"PRODUKSI","REJECT")</f>
        <v>PRODUKSI</v>
      </c>
      <c r="C69" s="0" t="n">
        <f aca="false">MOD(A69-1,Pemetaan!$B$3*Pemetaan!$B$4)</f>
        <v>67</v>
      </c>
      <c r="D69" s="0" t="n">
        <f aca="false">INT(C69/Pemetaan!$B$4)</f>
        <v>2</v>
      </c>
      <c r="E69" s="0" t="n">
        <f aca="false">MOD(C69,Pemetaan!$B$4)</f>
        <v>17</v>
      </c>
      <c r="F69" s="0" t="n">
        <f aca="false">IF(B69="PRODUKSI",Pemetaan!$B$5,Pemetaan!$B$6)</f>
        <v>5</v>
      </c>
      <c r="G69" s="0" t="n">
        <f aca="false">F69+2+D69</f>
        <v>9</v>
      </c>
      <c r="H69" s="0" t="n">
        <f aca="false">Pemetaan!$B$2+E69</f>
        <v>22</v>
      </c>
      <c r="I69" s="0" t="str">
        <f aca="false">INDEX(Laporan!$A$1:$AZ$300,G69,1)</f>
        <v>Water Treatment</v>
      </c>
      <c r="J69" s="0" t="str">
        <f aca="false">INDEX(Laporan!$A$1:$AZ$300,G69,2)</f>
        <v>330 ml</v>
      </c>
      <c r="K69" s="0" t="str">
        <f aca="false">INDEX(Laporan!$A$1:$AZ$300,G69,3)</f>
        <v>Shift 1</v>
      </c>
      <c r="L69" s="0" t="n">
        <f aca="false">INDEX(Laporan!$A$1:$AZ$300,G69,4)</f>
        <v>3</v>
      </c>
      <c r="M69" s="1" t="n">
        <f aca="false">DATE(Pemetaan!$B$1,VALUE(RIGHT(INDEX(Laporan!$A$1:$AZ$300,F69+1,H69),2)),VALUE(LEFT(INDEX(Laporan!$A$1:$AZ$300,F69+1,H69),2)))</f>
        <v>46106</v>
      </c>
      <c r="N69" s="0" t="n">
        <f aca="false">INDEX(Laporan!$A$1:$AZ$300,G69,H69)</f>
        <v>3310</v>
      </c>
      <c r="O69" s="0" t="n">
        <f aca="false">IF(N69="","",IFERROR(VALUE(SUBSTITUTE(SUBSTITUTE(N69," btl",""),".","")),""))</f>
        <v>3310</v>
      </c>
      <c r="P69" s="0" t="str">
        <f aca="false">IF(B69="PRODUKSI","produced","reject")</f>
        <v>produced</v>
      </c>
    </row>
    <row r="70" customFormat="false" ht="15" hidden="false" customHeight="false" outlineLevel="0" collapsed="false">
      <c r="A70" s="0" t="n">
        <v>69</v>
      </c>
      <c r="B70" s="0" t="str">
        <f aca="false">IF(A70&lt;=36*25,"PRODUKSI","REJECT")</f>
        <v>PRODUKSI</v>
      </c>
      <c r="C70" s="0" t="n">
        <f aca="false">MOD(A70-1,Pemetaan!$B$3*Pemetaan!$B$4)</f>
        <v>68</v>
      </c>
      <c r="D70" s="0" t="n">
        <f aca="false">INT(C70/Pemetaan!$B$4)</f>
        <v>2</v>
      </c>
      <c r="E70" s="0" t="n">
        <f aca="false">MOD(C70,Pemetaan!$B$4)</f>
        <v>18</v>
      </c>
      <c r="F70" s="0" t="n">
        <f aca="false">IF(B70="PRODUKSI",Pemetaan!$B$5,Pemetaan!$B$6)</f>
        <v>5</v>
      </c>
      <c r="G70" s="0" t="n">
        <f aca="false">F70+2+D70</f>
        <v>9</v>
      </c>
      <c r="H70" s="0" t="n">
        <f aca="false">Pemetaan!$B$2+E70</f>
        <v>23</v>
      </c>
      <c r="I70" s="0" t="str">
        <f aca="false">INDEX(Laporan!$A$1:$AZ$300,G70,1)</f>
        <v>Water Treatment</v>
      </c>
      <c r="J70" s="0" t="str">
        <f aca="false">INDEX(Laporan!$A$1:$AZ$300,G70,2)</f>
        <v>330 ml</v>
      </c>
      <c r="K70" s="0" t="str">
        <f aca="false">INDEX(Laporan!$A$1:$AZ$300,G70,3)</f>
        <v>Shift 1</v>
      </c>
      <c r="L70" s="0" t="n">
        <f aca="false">INDEX(Laporan!$A$1:$AZ$300,G70,4)</f>
        <v>3</v>
      </c>
      <c r="M70" s="1" t="n">
        <f aca="false">DATE(Pemetaan!$B$1,VALUE(RIGHT(INDEX(Laporan!$A$1:$AZ$300,F70+1,H70),2)),VALUE(LEFT(INDEX(Laporan!$A$1:$AZ$300,F70+1,H70),2)))</f>
        <v>46107</v>
      </c>
      <c r="N70" s="0" t="n">
        <f aca="false">INDEX(Laporan!$A$1:$AZ$300,G70,H70)</f>
        <v>3719</v>
      </c>
      <c r="O70" s="0" t="n">
        <f aca="false">IF(N70="","",IFERROR(VALUE(SUBSTITUTE(SUBSTITUTE(N70," btl",""),".","")),""))</f>
        <v>3719</v>
      </c>
      <c r="P70" s="0" t="str">
        <f aca="false">IF(B70="PRODUKSI","produced","reject")</f>
        <v>produced</v>
      </c>
    </row>
    <row r="71" customFormat="false" ht="15" hidden="false" customHeight="false" outlineLevel="0" collapsed="false">
      <c r="A71" s="0" t="n">
        <v>70</v>
      </c>
      <c r="B71" s="0" t="str">
        <f aca="false">IF(A71&lt;=36*25,"PRODUKSI","REJECT")</f>
        <v>PRODUKSI</v>
      </c>
      <c r="C71" s="0" t="n">
        <f aca="false">MOD(A71-1,Pemetaan!$B$3*Pemetaan!$B$4)</f>
        <v>69</v>
      </c>
      <c r="D71" s="0" t="n">
        <f aca="false">INT(C71/Pemetaan!$B$4)</f>
        <v>2</v>
      </c>
      <c r="E71" s="0" t="n">
        <f aca="false">MOD(C71,Pemetaan!$B$4)</f>
        <v>19</v>
      </c>
      <c r="F71" s="0" t="n">
        <f aca="false">IF(B71="PRODUKSI",Pemetaan!$B$5,Pemetaan!$B$6)</f>
        <v>5</v>
      </c>
      <c r="G71" s="0" t="n">
        <f aca="false">F71+2+D71</f>
        <v>9</v>
      </c>
      <c r="H71" s="0" t="n">
        <f aca="false">Pemetaan!$B$2+E71</f>
        <v>24</v>
      </c>
      <c r="I71" s="0" t="str">
        <f aca="false">INDEX(Laporan!$A$1:$AZ$300,G71,1)</f>
        <v>Water Treatment</v>
      </c>
      <c r="J71" s="0" t="str">
        <f aca="false">INDEX(Laporan!$A$1:$AZ$300,G71,2)</f>
        <v>330 ml</v>
      </c>
      <c r="K71" s="0" t="str">
        <f aca="false">INDEX(Laporan!$A$1:$AZ$300,G71,3)</f>
        <v>Shift 1</v>
      </c>
      <c r="L71" s="0" t="n">
        <f aca="false">INDEX(Laporan!$A$1:$AZ$300,G71,4)</f>
        <v>3</v>
      </c>
      <c r="M71" s="1" t="n">
        <f aca="false">DATE(Pemetaan!$B$1,VALUE(RIGHT(INDEX(Laporan!$A$1:$AZ$300,F71+1,H71),2)),VALUE(LEFT(INDEX(Laporan!$A$1:$AZ$300,F71+1,H71),2)))</f>
        <v>46108</v>
      </c>
      <c r="N71" s="0" t="n">
        <f aca="false">INDEX(Laporan!$A$1:$AZ$300,G71,H71)</f>
        <v>3265</v>
      </c>
      <c r="O71" s="0" t="n">
        <f aca="false">IF(N71="","",IFERROR(VALUE(SUBSTITUTE(SUBSTITUTE(N71," btl",""),".","")),""))</f>
        <v>3265</v>
      </c>
      <c r="P71" s="0" t="str">
        <f aca="false">IF(B71="PRODUKSI","produced","reject")</f>
        <v>produced</v>
      </c>
    </row>
    <row r="72" customFormat="false" ht="15" hidden="false" customHeight="false" outlineLevel="0" collapsed="false">
      <c r="A72" s="0" t="n">
        <v>71</v>
      </c>
      <c r="B72" s="0" t="str">
        <f aca="false">IF(A72&lt;=36*25,"PRODUKSI","REJECT")</f>
        <v>PRODUKSI</v>
      </c>
      <c r="C72" s="0" t="n">
        <f aca="false">MOD(A72-1,Pemetaan!$B$3*Pemetaan!$B$4)</f>
        <v>70</v>
      </c>
      <c r="D72" s="0" t="n">
        <f aca="false">INT(C72/Pemetaan!$B$4)</f>
        <v>2</v>
      </c>
      <c r="E72" s="0" t="n">
        <f aca="false">MOD(C72,Pemetaan!$B$4)</f>
        <v>20</v>
      </c>
      <c r="F72" s="0" t="n">
        <f aca="false">IF(B72="PRODUKSI",Pemetaan!$B$5,Pemetaan!$B$6)</f>
        <v>5</v>
      </c>
      <c r="G72" s="0" t="n">
        <f aca="false">F72+2+D72</f>
        <v>9</v>
      </c>
      <c r="H72" s="0" t="n">
        <f aca="false">Pemetaan!$B$2+E72</f>
        <v>25</v>
      </c>
      <c r="I72" s="0" t="str">
        <f aca="false">INDEX(Laporan!$A$1:$AZ$300,G72,1)</f>
        <v>Water Treatment</v>
      </c>
      <c r="J72" s="0" t="str">
        <f aca="false">INDEX(Laporan!$A$1:$AZ$300,G72,2)</f>
        <v>330 ml</v>
      </c>
      <c r="K72" s="0" t="str">
        <f aca="false">INDEX(Laporan!$A$1:$AZ$300,G72,3)</f>
        <v>Shift 1</v>
      </c>
      <c r="L72" s="0" t="n">
        <f aca="false">INDEX(Laporan!$A$1:$AZ$300,G72,4)</f>
        <v>3</v>
      </c>
      <c r="M72" s="1" t="n">
        <f aca="false">DATE(Pemetaan!$B$1,VALUE(RIGHT(INDEX(Laporan!$A$1:$AZ$300,F72+1,H72),2)),VALUE(LEFT(INDEX(Laporan!$A$1:$AZ$300,F72+1,H72),2)))</f>
        <v>46111</v>
      </c>
      <c r="N72" s="0" t="n">
        <f aca="false">INDEX(Laporan!$A$1:$AZ$300,G72,H72)</f>
        <v>3186</v>
      </c>
      <c r="O72" s="0" t="n">
        <f aca="false">IF(N72="","",IFERROR(VALUE(SUBSTITUTE(SUBSTITUTE(N72," btl",""),".","")),""))</f>
        <v>3186</v>
      </c>
      <c r="P72" s="0" t="str">
        <f aca="false">IF(B72="PRODUKSI","produced","reject")</f>
        <v>produced</v>
      </c>
    </row>
    <row r="73" customFormat="false" ht="15" hidden="false" customHeight="false" outlineLevel="0" collapsed="false">
      <c r="A73" s="0" t="n">
        <v>72</v>
      </c>
      <c r="B73" s="0" t="str">
        <f aca="false">IF(A73&lt;=36*25,"PRODUKSI","REJECT")</f>
        <v>PRODUKSI</v>
      </c>
      <c r="C73" s="0" t="n">
        <f aca="false">MOD(A73-1,Pemetaan!$B$3*Pemetaan!$B$4)</f>
        <v>71</v>
      </c>
      <c r="D73" s="0" t="n">
        <f aca="false">INT(C73/Pemetaan!$B$4)</f>
        <v>2</v>
      </c>
      <c r="E73" s="0" t="n">
        <f aca="false">MOD(C73,Pemetaan!$B$4)</f>
        <v>21</v>
      </c>
      <c r="F73" s="0" t="n">
        <f aca="false">IF(B73="PRODUKSI",Pemetaan!$B$5,Pemetaan!$B$6)</f>
        <v>5</v>
      </c>
      <c r="G73" s="0" t="n">
        <f aca="false">F73+2+D73</f>
        <v>9</v>
      </c>
      <c r="H73" s="0" t="n">
        <f aca="false">Pemetaan!$B$2+E73</f>
        <v>26</v>
      </c>
      <c r="I73" s="0" t="str">
        <f aca="false">INDEX(Laporan!$A$1:$AZ$300,G73,1)</f>
        <v>Water Treatment</v>
      </c>
      <c r="J73" s="0" t="str">
        <f aca="false">INDEX(Laporan!$A$1:$AZ$300,G73,2)</f>
        <v>330 ml</v>
      </c>
      <c r="K73" s="0" t="str">
        <f aca="false">INDEX(Laporan!$A$1:$AZ$300,G73,3)</f>
        <v>Shift 1</v>
      </c>
      <c r="L73" s="0" t="n">
        <f aca="false">INDEX(Laporan!$A$1:$AZ$300,G73,4)</f>
        <v>3</v>
      </c>
      <c r="M73" s="1" t="n">
        <f aca="false">DATE(Pemetaan!$B$1,VALUE(RIGHT(INDEX(Laporan!$A$1:$AZ$300,F73+1,H73),2)),VALUE(LEFT(INDEX(Laporan!$A$1:$AZ$300,F73+1,H73),2)))</f>
        <v>46112</v>
      </c>
      <c r="N73" s="0" t="n">
        <f aca="false">INDEX(Laporan!$A$1:$AZ$300,G73,H73)</f>
        <v>3124</v>
      </c>
      <c r="O73" s="0" t="n">
        <f aca="false">IF(N73="","",IFERROR(VALUE(SUBSTITUTE(SUBSTITUTE(N73," btl",""),".","")),""))</f>
        <v>3124</v>
      </c>
      <c r="P73" s="0" t="str">
        <f aca="false">IF(B73="PRODUKSI","produced","reject")</f>
        <v>produced</v>
      </c>
    </row>
    <row r="74" customFormat="false" ht="15" hidden="false" customHeight="false" outlineLevel="0" collapsed="false">
      <c r="A74" s="0" t="n">
        <v>73</v>
      </c>
      <c r="B74" s="0" t="str">
        <f aca="false">IF(A74&lt;=36*25,"PRODUKSI","REJECT")</f>
        <v>PRODUKSI</v>
      </c>
      <c r="C74" s="0" t="n">
        <f aca="false">MOD(A74-1,Pemetaan!$B$3*Pemetaan!$B$4)</f>
        <v>72</v>
      </c>
      <c r="D74" s="0" t="n">
        <f aca="false">INT(C74/Pemetaan!$B$4)</f>
        <v>2</v>
      </c>
      <c r="E74" s="0" t="n">
        <f aca="false">MOD(C74,Pemetaan!$B$4)</f>
        <v>22</v>
      </c>
      <c r="F74" s="0" t="n">
        <f aca="false">IF(B74="PRODUKSI",Pemetaan!$B$5,Pemetaan!$B$6)</f>
        <v>5</v>
      </c>
      <c r="G74" s="0" t="n">
        <f aca="false">F74+2+D74</f>
        <v>9</v>
      </c>
      <c r="H74" s="0" t="n">
        <f aca="false">Pemetaan!$B$2+E74</f>
        <v>27</v>
      </c>
      <c r="I74" s="0" t="str">
        <f aca="false">INDEX(Laporan!$A$1:$AZ$300,G74,1)</f>
        <v>Water Treatment</v>
      </c>
      <c r="J74" s="0" t="str">
        <f aca="false">INDEX(Laporan!$A$1:$AZ$300,G74,2)</f>
        <v>330 ml</v>
      </c>
      <c r="K74" s="0" t="str">
        <f aca="false">INDEX(Laporan!$A$1:$AZ$300,G74,3)</f>
        <v>Shift 1</v>
      </c>
      <c r="L74" s="0" t="n">
        <f aca="false">INDEX(Laporan!$A$1:$AZ$300,G74,4)</f>
        <v>3</v>
      </c>
      <c r="M74" s="1" t="n">
        <f aca="false">DATE(Pemetaan!$B$1,VALUE(RIGHT(INDEX(Laporan!$A$1:$AZ$300,F74+1,H74),2)),VALUE(LEFT(INDEX(Laporan!$A$1:$AZ$300,F74+1,H74),2)))</f>
        <v>46113</v>
      </c>
      <c r="N74" s="0" t="n">
        <f aca="false">INDEX(Laporan!$A$1:$AZ$300,G74,H74)</f>
        <v>3230</v>
      </c>
      <c r="O74" s="0" t="n">
        <f aca="false">IF(N74="","",IFERROR(VALUE(SUBSTITUTE(SUBSTITUTE(N74," btl",""),".","")),""))</f>
        <v>3230</v>
      </c>
      <c r="P74" s="0" t="str">
        <f aca="false">IF(B74="PRODUKSI","produced","reject")</f>
        <v>produced</v>
      </c>
    </row>
    <row r="75" customFormat="false" ht="15" hidden="false" customHeight="false" outlineLevel="0" collapsed="false">
      <c r="A75" s="0" t="n">
        <v>74</v>
      </c>
      <c r="B75" s="0" t="str">
        <f aca="false">IF(A75&lt;=36*25,"PRODUKSI","REJECT")</f>
        <v>PRODUKSI</v>
      </c>
      <c r="C75" s="0" t="n">
        <f aca="false">MOD(A75-1,Pemetaan!$B$3*Pemetaan!$B$4)</f>
        <v>73</v>
      </c>
      <c r="D75" s="0" t="n">
        <f aca="false">INT(C75/Pemetaan!$B$4)</f>
        <v>2</v>
      </c>
      <c r="E75" s="0" t="n">
        <f aca="false">MOD(C75,Pemetaan!$B$4)</f>
        <v>23</v>
      </c>
      <c r="F75" s="0" t="n">
        <f aca="false">IF(B75="PRODUKSI",Pemetaan!$B$5,Pemetaan!$B$6)</f>
        <v>5</v>
      </c>
      <c r="G75" s="0" t="n">
        <f aca="false">F75+2+D75</f>
        <v>9</v>
      </c>
      <c r="H75" s="0" t="n">
        <f aca="false">Pemetaan!$B$2+E75</f>
        <v>28</v>
      </c>
      <c r="I75" s="0" t="str">
        <f aca="false">INDEX(Laporan!$A$1:$AZ$300,G75,1)</f>
        <v>Water Treatment</v>
      </c>
      <c r="J75" s="0" t="str">
        <f aca="false">INDEX(Laporan!$A$1:$AZ$300,G75,2)</f>
        <v>330 ml</v>
      </c>
      <c r="K75" s="0" t="str">
        <f aca="false">INDEX(Laporan!$A$1:$AZ$300,G75,3)</f>
        <v>Shift 1</v>
      </c>
      <c r="L75" s="0" t="n">
        <f aca="false">INDEX(Laporan!$A$1:$AZ$300,G75,4)</f>
        <v>3</v>
      </c>
      <c r="M75" s="1" t="n">
        <f aca="false">DATE(Pemetaan!$B$1,VALUE(RIGHT(INDEX(Laporan!$A$1:$AZ$300,F75+1,H75),2)),VALUE(LEFT(INDEX(Laporan!$A$1:$AZ$300,F75+1,H75),2)))</f>
        <v>46114</v>
      </c>
      <c r="N75" s="0" t="n">
        <f aca="false">INDEX(Laporan!$A$1:$AZ$300,G75,H75)</f>
        <v>2984</v>
      </c>
      <c r="O75" s="0" t="n">
        <f aca="false">IF(N75="","",IFERROR(VALUE(SUBSTITUTE(SUBSTITUTE(N75," btl",""),".","")),""))</f>
        <v>2984</v>
      </c>
      <c r="P75" s="0" t="str">
        <f aca="false">IF(B75="PRODUKSI","produced","reject")</f>
        <v>produced</v>
      </c>
    </row>
    <row r="76" customFormat="false" ht="15" hidden="false" customHeight="false" outlineLevel="0" collapsed="false">
      <c r="A76" s="0" t="n">
        <v>75</v>
      </c>
      <c r="B76" s="0" t="str">
        <f aca="false">IF(A76&lt;=36*25,"PRODUKSI","REJECT")</f>
        <v>PRODUKSI</v>
      </c>
      <c r="C76" s="0" t="n">
        <f aca="false">MOD(A76-1,Pemetaan!$B$3*Pemetaan!$B$4)</f>
        <v>74</v>
      </c>
      <c r="D76" s="0" t="n">
        <f aca="false">INT(C76/Pemetaan!$B$4)</f>
        <v>2</v>
      </c>
      <c r="E76" s="0" t="n">
        <f aca="false">MOD(C76,Pemetaan!$B$4)</f>
        <v>24</v>
      </c>
      <c r="F76" s="0" t="n">
        <f aca="false">IF(B76="PRODUKSI",Pemetaan!$B$5,Pemetaan!$B$6)</f>
        <v>5</v>
      </c>
      <c r="G76" s="0" t="n">
        <f aca="false">F76+2+D76</f>
        <v>9</v>
      </c>
      <c r="H76" s="0" t="n">
        <f aca="false">Pemetaan!$B$2+E76</f>
        <v>29</v>
      </c>
      <c r="I76" s="0" t="str">
        <f aca="false">INDEX(Laporan!$A$1:$AZ$300,G76,1)</f>
        <v>Water Treatment</v>
      </c>
      <c r="J76" s="0" t="str">
        <f aca="false">INDEX(Laporan!$A$1:$AZ$300,G76,2)</f>
        <v>330 ml</v>
      </c>
      <c r="K76" s="0" t="str">
        <f aca="false">INDEX(Laporan!$A$1:$AZ$300,G76,3)</f>
        <v>Shift 1</v>
      </c>
      <c r="L76" s="0" t="n">
        <f aca="false">INDEX(Laporan!$A$1:$AZ$300,G76,4)</f>
        <v>3</v>
      </c>
      <c r="M76" s="1" t="n">
        <f aca="false">DATE(Pemetaan!$B$1,VALUE(RIGHT(INDEX(Laporan!$A$1:$AZ$300,F76+1,H76),2)),VALUE(LEFT(INDEX(Laporan!$A$1:$AZ$300,F76+1,H76),2)))</f>
        <v>46115</v>
      </c>
      <c r="N76" s="0" t="n">
        <f aca="false">INDEX(Laporan!$A$1:$AZ$300,G76,H76)</f>
        <v>3121</v>
      </c>
      <c r="O76" s="0" t="n">
        <f aca="false">IF(N76="","",IFERROR(VALUE(SUBSTITUTE(SUBSTITUTE(N76," btl",""),".","")),""))</f>
        <v>3121</v>
      </c>
      <c r="P76" s="0" t="str">
        <f aca="false">IF(B76="PRODUKSI","produced","reject")</f>
        <v>produced</v>
      </c>
    </row>
    <row r="77" customFormat="false" ht="15" hidden="false" customHeight="false" outlineLevel="0" collapsed="false">
      <c r="A77" s="0" t="n">
        <v>76</v>
      </c>
      <c r="B77" s="0" t="str">
        <f aca="false">IF(A77&lt;=36*25,"PRODUKSI","REJECT")</f>
        <v>PRODUKSI</v>
      </c>
      <c r="C77" s="0" t="n">
        <f aca="false">MOD(A77-1,Pemetaan!$B$3*Pemetaan!$B$4)</f>
        <v>75</v>
      </c>
      <c r="D77" s="0" t="n">
        <f aca="false">INT(C77/Pemetaan!$B$4)</f>
        <v>3</v>
      </c>
      <c r="E77" s="0" t="n">
        <f aca="false">MOD(C77,Pemetaan!$B$4)</f>
        <v>0</v>
      </c>
      <c r="F77" s="0" t="n">
        <f aca="false">IF(B77="PRODUKSI",Pemetaan!$B$5,Pemetaan!$B$6)</f>
        <v>5</v>
      </c>
      <c r="G77" s="0" t="n">
        <f aca="false">F77+2+D77</f>
        <v>10</v>
      </c>
      <c r="H77" s="0" t="n">
        <f aca="false">Pemetaan!$B$2+E77</f>
        <v>5</v>
      </c>
      <c r="I77" s="0" t="str">
        <f aca="false">INDEX(Laporan!$A$1:$AZ$300,G77,1)</f>
        <v>Water Treatment</v>
      </c>
      <c r="J77" s="0" t="str">
        <f aca="false">INDEX(Laporan!$A$1:$AZ$300,G77,2)</f>
        <v>330 ml</v>
      </c>
      <c r="K77" s="0" t="str">
        <f aca="false">INDEX(Laporan!$A$1:$AZ$300,G77,3)</f>
        <v>Shift 2</v>
      </c>
      <c r="L77" s="0" t="n">
        <f aca="false">INDEX(Laporan!$A$1:$AZ$300,G77,4)</f>
        <v>1</v>
      </c>
      <c r="M77" s="1" t="n">
        <f aca="false">DATE(Pemetaan!$B$1,VALUE(RIGHT(INDEX(Laporan!$A$1:$AZ$300,F77+1,H77),2)),VALUE(LEFT(INDEX(Laporan!$A$1:$AZ$300,F77+1,H77),2)))</f>
        <v>46083</v>
      </c>
      <c r="N77" s="0" t="n">
        <f aca="false">INDEX(Laporan!$A$1:$AZ$300,G77,H77)</f>
        <v>3283</v>
      </c>
      <c r="O77" s="0" t="n">
        <f aca="false">IF(N77="","",IFERROR(VALUE(SUBSTITUTE(SUBSTITUTE(N77," btl",""),".","")),""))</f>
        <v>3283</v>
      </c>
      <c r="P77" s="0" t="str">
        <f aca="false">IF(B77="PRODUKSI","produced","reject")</f>
        <v>produced</v>
      </c>
    </row>
    <row r="78" customFormat="false" ht="15" hidden="false" customHeight="false" outlineLevel="0" collapsed="false">
      <c r="A78" s="0" t="n">
        <v>77</v>
      </c>
      <c r="B78" s="0" t="str">
        <f aca="false">IF(A78&lt;=36*25,"PRODUKSI","REJECT")</f>
        <v>PRODUKSI</v>
      </c>
      <c r="C78" s="0" t="n">
        <f aca="false">MOD(A78-1,Pemetaan!$B$3*Pemetaan!$B$4)</f>
        <v>76</v>
      </c>
      <c r="D78" s="0" t="n">
        <f aca="false">INT(C78/Pemetaan!$B$4)</f>
        <v>3</v>
      </c>
      <c r="E78" s="0" t="n">
        <f aca="false">MOD(C78,Pemetaan!$B$4)</f>
        <v>1</v>
      </c>
      <c r="F78" s="0" t="n">
        <f aca="false">IF(B78="PRODUKSI",Pemetaan!$B$5,Pemetaan!$B$6)</f>
        <v>5</v>
      </c>
      <c r="G78" s="0" t="n">
        <f aca="false">F78+2+D78</f>
        <v>10</v>
      </c>
      <c r="H78" s="0" t="n">
        <f aca="false">Pemetaan!$B$2+E78</f>
        <v>6</v>
      </c>
      <c r="I78" s="0" t="str">
        <f aca="false">INDEX(Laporan!$A$1:$AZ$300,G78,1)</f>
        <v>Water Treatment</v>
      </c>
      <c r="J78" s="0" t="str">
        <f aca="false">INDEX(Laporan!$A$1:$AZ$300,G78,2)</f>
        <v>330 ml</v>
      </c>
      <c r="K78" s="0" t="str">
        <f aca="false">INDEX(Laporan!$A$1:$AZ$300,G78,3)</f>
        <v>Shift 2</v>
      </c>
      <c r="L78" s="0" t="n">
        <f aca="false">INDEX(Laporan!$A$1:$AZ$300,G78,4)</f>
        <v>1</v>
      </c>
      <c r="M78" s="1" t="n">
        <f aca="false">DATE(Pemetaan!$B$1,VALUE(RIGHT(INDEX(Laporan!$A$1:$AZ$300,F78+1,H78),2)),VALUE(LEFT(INDEX(Laporan!$A$1:$AZ$300,F78+1,H78),2)))</f>
        <v>46084</v>
      </c>
      <c r="N78" s="0" t="n">
        <f aca="false">INDEX(Laporan!$A$1:$AZ$300,G78,H78)</f>
        <v>2851</v>
      </c>
      <c r="O78" s="0" t="n">
        <f aca="false">IF(N78="","",IFERROR(VALUE(SUBSTITUTE(SUBSTITUTE(N78," btl",""),".","")),""))</f>
        <v>2851</v>
      </c>
      <c r="P78" s="0" t="str">
        <f aca="false">IF(B78="PRODUKSI","produced","reject")</f>
        <v>produced</v>
      </c>
    </row>
    <row r="79" customFormat="false" ht="15" hidden="false" customHeight="false" outlineLevel="0" collapsed="false">
      <c r="A79" s="0" t="n">
        <v>78</v>
      </c>
      <c r="B79" s="0" t="str">
        <f aca="false">IF(A79&lt;=36*25,"PRODUKSI","REJECT")</f>
        <v>PRODUKSI</v>
      </c>
      <c r="C79" s="0" t="n">
        <f aca="false">MOD(A79-1,Pemetaan!$B$3*Pemetaan!$B$4)</f>
        <v>77</v>
      </c>
      <c r="D79" s="0" t="n">
        <f aca="false">INT(C79/Pemetaan!$B$4)</f>
        <v>3</v>
      </c>
      <c r="E79" s="0" t="n">
        <f aca="false">MOD(C79,Pemetaan!$B$4)</f>
        <v>2</v>
      </c>
      <c r="F79" s="0" t="n">
        <f aca="false">IF(B79="PRODUKSI",Pemetaan!$B$5,Pemetaan!$B$6)</f>
        <v>5</v>
      </c>
      <c r="G79" s="0" t="n">
        <f aca="false">F79+2+D79</f>
        <v>10</v>
      </c>
      <c r="H79" s="0" t="n">
        <f aca="false">Pemetaan!$B$2+E79</f>
        <v>7</v>
      </c>
      <c r="I79" s="0" t="str">
        <f aca="false">INDEX(Laporan!$A$1:$AZ$300,G79,1)</f>
        <v>Water Treatment</v>
      </c>
      <c r="J79" s="0" t="str">
        <f aca="false">INDEX(Laporan!$A$1:$AZ$300,G79,2)</f>
        <v>330 ml</v>
      </c>
      <c r="K79" s="0" t="str">
        <f aca="false">INDEX(Laporan!$A$1:$AZ$300,G79,3)</f>
        <v>Shift 2</v>
      </c>
      <c r="L79" s="0" t="n">
        <f aca="false">INDEX(Laporan!$A$1:$AZ$300,G79,4)</f>
        <v>1</v>
      </c>
      <c r="M79" s="1" t="n">
        <f aca="false">DATE(Pemetaan!$B$1,VALUE(RIGHT(INDEX(Laporan!$A$1:$AZ$300,F79+1,H79),2)),VALUE(LEFT(INDEX(Laporan!$A$1:$AZ$300,F79+1,H79),2)))</f>
        <v>46085</v>
      </c>
      <c r="N79" s="0" t="n">
        <f aca="false">INDEX(Laporan!$A$1:$AZ$300,G79,H79)</f>
        <v>3167</v>
      </c>
      <c r="O79" s="0" t="n">
        <f aca="false">IF(N79="","",IFERROR(VALUE(SUBSTITUTE(SUBSTITUTE(N79," btl",""),".","")),""))</f>
        <v>3167</v>
      </c>
      <c r="P79" s="0" t="str">
        <f aca="false">IF(B79="PRODUKSI","produced","reject")</f>
        <v>produced</v>
      </c>
    </row>
    <row r="80" customFormat="false" ht="15" hidden="false" customHeight="false" outlineLevel="0" collapsed="false">
      <c r="A80" s="0" t="n">
        <v>79</v>
      </c>
      <c r="B80" s="0" t="str">
        <f aca="false">IF(A80&lt;=36*25,"PRODUKSI","REJECT")</f>
        <v>PRODUKSI</v>
      </c>
      <c r="C80" s="0" t="n">
        <f aca="false">MOD(A80-1,Pemetaan!$B$3*Pemetaan!$B$4)</f>
        <v>78</v>
      </c>
      <c r="D80" s="0" t="n">
        <f aca="false">INT(C80/Pemetaan!$B$4)</f>
        <v>3</v>
      </c>
      <c r="E80" s="0" t="n">
        <f aca="false">MOD(C80,Pemetaan!$B$4)</f>
        <v>3</v>
      </c>
      <c r="F80" s="0" t="n">
        <f aca="false">IF(B80="PRODUKSI",Pemetaan!$B$5,Pemetaan!$B$6)</f>
        <v>5</v>
      </c>
      <c r="G80" s="0" t="n">
        <f aca="false">F80+2+D80</f>
        <v>10</v>
      </c>
      <c r="H80" s="0" t="n">
        <f aca="false">Pemetaan!$B$2+E80</f>
        <v>8</v>
      </c>
      <c r="I80" s="0" t="str">
        <f aca="false">INDEX(Laporan!$A$1:$AZ$300,G80,1)</f>
        <v>Water Treatment</v>
      </c>
      <c r="J80" s="0" t="str">
        <f aca="false">INDEX(Laporan!$A$1:$AZ$300,G80,2)</f>
        <v>330 ml</v>
      </c>
      <c r="K80" s="0" t="str">
        <f aca="false">INDEX(Laporan!$A$1:$AZ$300,G80,3)</f>
        <v>Shift 2</v>
      </c>
      <c r="L80" s="0" t="n">
        <f aca="false">INDEX(Laporan!$A$1:$AZ$300,G80,4)</f>
        <v>1</v>
      </c>
      <c r="M80" s="1" t="n">
        <f aca="false">DATE(Pemetaan!$B$1,VALUE(RIGHT(INDEX(Laporan!$A$1:$AZ$300,F80+1,H80),2)),VALUE(LEFT(INDEX(Laporan!$A$1:$AZ$300,F80+1,H80),2)))</f>
        <v>46086</v>
      </c>
      <c r="N80" s="0" t="n">
        <f aca="false">INDEX(Laporan!$A$1:$AZ$300,G80,H80)</f>
        <v>3146</v>
      </c>
      <c r="O80" s="0" t="n">
        <f aca="false">IF(N80="","",IFERROR(VALUE(SUBSTITUTE(SUBSTITUTE(N80," btl",""),".","")),""))</f>
        <v>3146</v>
      </c>
      <c r="P80" s="0" t="str">
        <f aca="false">IF(B80="PRODUKSI","produced","reject")</f>
        <v>produced</v>
      </c>
    </row>
    <row r="81" customFormat="false" ht="15" hidden="false" customHeight="false" outlineLevel="0" collapsed="false">
      <c r="A81" s="0" t="n">
        <v>80</v>
      </c>
      <c r="B81" s="0" t="str">
        <f aca="false">IF(A81&lt;=36*25,"PRODUKSI","REJECT")</f>
        <v>PRODUKSI</v>
      </c>
      <c r="C81" s="0" t="n">
        <f aca="false">MOD(A81-1,Pemetaan!$B$3*Pemetaan!$B$4)</f>
        <v>79</v>
      </c>
      <c r="D81" s="0" t="n">
        <f aca="false">INT(C81/Pemetaan!$B$4)</f>
        <v>3</v>
      </c>
      <c r="E81" s="0" t="n">
        <f aca="false">MOD(C81,Pemetaan!$B$4)</f>
        <v>4</v>
      </c>
      <c r="F81" s="0" t="n">
        <f aca="false">IF(B81="PRODUKSI",Pemetaan!$B$5,Pemetaan!$B$6)</f>
        <v>5</v>
      </c>
      <c r="G81" s="0" t="n">
        <f aca="false">F81+2+D81</f>
        <v>10</v>
      </c>
      <c r="H81" s="0" t="n">
        <f aca="false">Pemetaan!$B$2+E81</f>
        <v>9</v>
      </c>
      <c r="I81" s="0" t="str">
        <f aca="false">INDEX(Laporan!$A$1:$AZ$300,G81,1)</f>
        <v>Water Treatment</v>
      </c>
      <c r="J81" s="0" t="str">
        <f aca="false">INDEX(Laporan!$A$1:$AZ$300,G81,2)</f>
        <v>330 ml</v>
      </c>
      <c r="K81" s="0" t="str">
        <f aca="false">INDEX(Laporan!$A$1:$AZ$300,G81,3)</f>
        <v>Shift 2</v>
      </c>
      <c r="L81" s="0" t="n">
        <f aca="false">INDEX(Laporan!$A$1:$AZ$300,G81,4)</f>
        <v>1</v>
      </c>
      <c r="M81" s="1" t="n">
        <f aca="false">DATE(Pemetaan!$B$1,VALUE(RIGHT(INDEX(Laporan!$A$1:$AZ$300,F81+1,H81),2)),VALUE(LEFT(INDEX(Laporan!$A$1:$AZ$300,F81+1,H81),2)))</f>
        <v>46087</v>
      </c>
      <c r="N81" s="0" t="n">
        <f aca="false">INDEX(Laporan!$A$1:$AZ$300,G81,H81)</f>
        <v>3318</v>
      </c>
      <c r="O81" s="0" t="n">
        <f aca="false">IF(N81="","",IFERROR(VALUE(SUBSTITUTE(SUBSTITUTE(N81," btl",""),".","")),""))</f>
        <v>3318</v>
      </c>
      <c r="P81" s="0" t="str">
        <f aca="false">IF(B81="PRODUKSI","produced","reject")</f>
        <v>produced</v>
      </c>
    </row>
    <row r="82" customFormat="false" ht="15" hidden="false" customHeight="false" outlineLevel="0" collapsed="false">
      <c r="A82" s="0" t="n">
        <v>81</v>
      </c>
      <c r="B82" s="0" t="str">
        <f aca="false">IF(A82&lt;=36*25,"PRODUKSI","REJECT")</f>
        <v>PRODUKSI</v>
      </c>
      <c r="C82" s="0" t="n">
        <f aca="false">MOD(A82-1,Pemetaan!$B$3*Pemetaan!$B$4)</f>
        <v>80</v>
      </c>
      <c r="D82" s="0" t="n">
        <f aca="false">INT(C82/Pemetaan!$B$4)</f>
        <v>3</v>
      </c>
      <c r="E82" s="0" t="n">
        <f aca="false">MOD(C82,Pemetaan!$B$4)</f>
        <v>5</v>
      </c>
      <c r="F82" s="0" t="n">
        <f aca="false">IF(B82="PRODUKSI",Pemetaan!$B$5,Pemetaan!$B$6)</f>
        <v>5</v>
      </c>
      <c r="G82" s="0" t="n">
        <f aca="false">F82+2+D82</f>
        <v>10</v>
      </c>
      <c r="H82" s="0" t="n">
        <f aca="false">Pemetaan!$B$2+E82</f>
        <v>10</v>
      </c>
      <c r="I82" s="0" t="str">
        <f aca="false">INDEX(Laporan!$A$1:$AZ$300,G82,1)</f>
        <v>Water Treatment</v>
      </c>
      <c r="J82" s="0" t="str">
        <f aca="false">INDEX(Laporan!$A$1:$AZ$300,G82,2)</f>
        <v>330 ml</v>
      </c>
      <c r="K82" s="0" t="str">
        <f aca="false">INDEX(Laporan!$A$1:$AZ$300,G82,3)</f>
        <v>Shift 2</v>
      </c>
      <c r="L82" s="0" t="n">
        <f aca="false">INDEX(Laporan!$A$1:$AZ$300,G82,4)</f>
        <v>1</v>
      </c>
      <c r="M82" s="1" t="n">
        <f aca="false">DATE(Pemetaan!$B$1,VALUE(RIGHT(INDEX(Laporan!$A$1:$AZ$300,F82+1,H82),2)),VALUE(LEFT(INDEX(Laporan!$A$1:$AZ$300,F82+1,H82),2)))</f>
        <v>46090</v>
      </c>
      <c r="N82" s="0" t="n">
        <f aca="false">INDEX(Laporan!$A$1:$AZ$300,G82,H82)</f>
        <v>3423</v>
      </c>
      <c r="O82" s="0" t="n">
        <f aca="false">IF(N82="","",IFERROR(VALUE(SUBSTITUTE(SUBSTITUTE(N82," btl",""),".","")),""))</f>
        <v>3423</v>
      </c>
      <c r="P82" s="0" t="str">
        <f aca="false">IF(B82="PRODUKSI","produced","reject")</f>
        <v>produced</v>
      </c>
    </row>
    <row r="83" customFormat="false" ht="15" hidden="false" customHeight="false" outlineLevel="0" collapsed="false">
      <c r="A83" s="0" t="n">
        <v>82</v>
      </c>
      <c r="B83" s="0" t="str">
        <f aca="false">IF(A83&lt;=36*25,"PRODUKSI","REJECT")</f>
        <v>PRODUKSI</v>
      </c>
      <c r="C83" s="0" t="n">
        <f aca="false">MOD(A83-1,Pemetaan!$B$3*Pemetaan!$B$4)</f>
        <v>81</v>
      </c>
      <c r="D83" s="0" t="n">
        <f aca="false">INT(C83/Pemetaan!$B$4)</f>
        <v>3</v>
      </c>
      <c r="E83" s="0" t="n">
        <f aca="false">MOD(C83,Pemetaan!$B$4)</f>
        <v>6</v>
      </c>
      <c r="F83" s="0" t="n">
        <f aca="false">IF(B83="PRODUKSI",Pemetaan!$B$5,Pemetaan!$B$6)</f>
        <v>5</v>
      </c>
      <c r="G83" s="0" t="n">
        <f aca="false">F83+2+D83</f>
        <v>10</v>
      </c>
      <c r="H83" s="0" t="n">
        <f aca="false">Pemetaan!$B$2+E83</f>
        <v>11</v>
      </c>
      <c r="I83" s="0" t="str">
        <f aca="false">INDEX(Laporan!$A$1:$AZ$300,G83,1)</f>
        <v>Water Treatment</v>
      </c>
      <c r="J83" s="0" t="str">
        <f aca="false">INDEX(Laporan!$A$1:$AZ$300,G83,2)</f>
        <v>330 ml</v>
      </c>
      <c r="K83" s="0" t="str">
        <f aca="false">INDEX(Laporan!$A$1:$AZ$300,G83,3)</f>
        <v>Shift 2</v>
      </c>
      <c r="L83" s="0" t="n">
        <f aca="false">INDEX(Laporan!$A$1:$AZ$300,G83,4)</f>
        <v>1</v>
      </c>
      <c r="M83" s="1" t="n">
        <f aca="false">DATE(Pemetaan!$B$1,VALUE(RIGHT(INDEX(Laporan!$A$1:$AZ$300,F83+1,H83),2)),VALUE(LEFT(INDEX(Laporan!$A$1:$AZ$300,F83+1,H83),2)))</f>
        <v>46091</v>
      </c>
      <c r="N83" s="0" t="n">
        <f aca="false">INDEX(Laporan!$A$1:$AZ$300,G83,H83)</f>
        <v>3143</v>
      </c>
      <c r="O83" s="0" t="n">
        <f aca="false">IF(N83="","",IFERROR(VALUE(SUBSTITUTE(SUBSTITUTE(N83," btl",""),".","")),""))</f>
        <v>3143</v>
      </c>
      <c r="P83" s="0" t="str">
        <f aca="false">IF(B83="PRODUKSI","produced","reject")</f>
        <v>produced</v>
      </c>
    </row>
    <row r="84" customFormat="false" ht="15" hidden="false" customHeight="false" outlineLevel="0" collapsed="false">
      <c r="A84" s="0" t="n">
        <v>83</v>
      </c>
      <c r="B84" s="0" t="str">
        <f aca="false">IF(A84&lt;=36*25,"PRODUKSI","REJECT")</f>
        <v>PRODUKSI</v>
      </c>
      <c r="C84" s="0" t="n">
        <f aca="false">MOD(A84-1,Pemetaan!$B$3*Pemetaan!$B$4)</f>
        <v>82</v>
      </c>
      <c r="D84" s="0" t="n">
        <f aca="false">INT(C84/Pemetaan!$B$4)</f>
        <v>3</v>
      </c>
      <c r="E84" s="0" t="n">
        <f aca="false">MOD(C84,Pemetaan!$B$4)</f>
        <v>7</v>
      </c>
      <c r="F84" s="0" t="n">
        <f aca="false">IF(B84="PRODUKSI",Pemetaan!$B$5,Pemetaan!$B$6)</f>
        <v>5</v>
      </c>
      <c r="G84" s="0" t="n">
        <f aca="false">F84+2+D84</f>
        <v>10</v>
      </c>
      <c r="H84" s="0" t="n">
        <f aca="false">Pemetaan!$B$2+E84</f>
        <v>12</v>
      </c>
      <c r="I84" s="0" t="str">
        <f aca="false">INDEX(Laporan!$A$1:$AZ$300,G84,1)</f>
        <v>Water Treatment</v>
      </c>
      <c r="J84" s="0" t="str">
        <f aca="false">INDEX(Laporan!$A$1:$AZ$300,G84,2)</f>
        <v>330 ml</v>
      </c>
      <c r="K84" s="0" t="str">
        <f aca="false">INDEX(Laporan!$A$1:$AZ$300,G84,3)</f>
        <v>Shift 2</v>
      </c>
      <c r="L84" s="0" t="n">
        <f aca="false">INDEX(Laporan!$A$1:$AZ$300,G84,4)</f>
        <v>1</v>
      </c>
      <c r="M84" s="1" t="n">
        <f aca="false">DATE(Pemetaan!$B$1,VALUE(RIGHT(INDEX(Laporan!$A$1:$AZ$300,F84+1,H84),2)),VALUE(LEFT(INDEX(Laporan!$A$1:$AZ$300,F84+1,H84),2)))</f>
        <v>46092</v>
      </c>
      <c r="N84" s="0" t="n">
        <f aca="false">INDEX(Laporan!$A$1:$AZ$300,G84,H84)</f>
        <v>3037</v>
      </c>
      <c r="O84" s="0" t="n">
        <f aca="false">IF(N84="","",IFERROR(VALUE(SUBSTITUTE(SUBSTITUTE(N84," btl",""),".","")),""))</f>
        <v>3037</v>
      </c>
      <c r="P84" s="0" t="str">
        <f aca="false">IF(B84="PRODUKSI","produced","reject")</f>
        <v>produced</v>
      </c>
    </row>
    <row r="85" customFormat="false" ht="15" hidden="false" customHeight="false" outlineLevel="0" collapsed="false">
      <c r="A85" s="0" t="n">
        <v>84</v>
      </c>
      <c r="B85" s="0" t="str">
        <f aca="false">IF(A85&lt;=36*25,"PRODUKSI","REJECT")</f>
        <v>PRODUKSI</v>
      </c>
      <c r="C85" s="0" t="n">
        <f aca="false">MOD(A85-1,Pemetaan!$B$3*Pemetaan!$B$4)</f>
        <v>83</v>
      </c>
      <c r="D85" s="0" t="n">
        <f aca="false">INT(C85/Pemetaan!$B$4)</f>
        <v>3</v>
      </c>
      <c r="E85" s="0" t="n">
        <f aca="false">MOD(C85,Pemetaan!$B$4)</f>
        <v>8</v>
      </c>
      <c r="F85" s="0" t="n">
        <f aca="false">IF(B85="PRODUKSI",Pemetaan!$B$5,Pemetaan!$B$6)</f>
        <v>5</v>
      </c>
      <c r="G85" s="0" t="n">
        <f aca="false">F85+2+D85</f>
        <v>10</v>
      </c>
      <c r="H85" s="0" t="n">
        <f aca="false">Pemetaan!$B$2+E85</f>
        <v>13</v>
      </c>
      <c r="I85" s="0" t="str">
        <f aca="false">INDEX(Laporan!$A$1:$AZ$300,G85,1)</f>
        <v>Water Treatment</v>
      </c>
      <c r="J85" s="0" t="str">
        <f aca="false">INDEX(Laporan!$A$1:$AZ$300,G85,2)</f>
        <v>330 ml</v>
      </c>
      <c r="K85" s="0" t="str">
        <f aca="false">INDEX(Laporan!$A$1:$AZ$300,G85,3)</f>
        <v>Shift 2</v>
      </c>
      <c r="L85" s="0" t="n">
        <f aca="false">INDEX(Laporan!$A$1:$AZ$300,G85,4)</f>
        <v>1</v>
      </c>
      <c r="M85" s="1" t="n">
        <f aca="false">DATE(Pemetaan!$B$1,VALUE(RIGHT(INDEX(Laporan!$A$1:$AZ$300,F85+1,H85),2)),VALUE(LEFT(INDEX(Laporan!$A$1:$AZ$300,F85+1,H85),2)))</f>
        <v>46093</v>
      </c>
      <c r="N85" s="0" t="n">
        <f aca="false">INDEX(Laporan!$A$1:$AZ$300,G85,H85)</f>
        <v>3097</v>
      </c>
      <c r="O85" s="0" t="n">
        <f aca="false">IF(N85="","",IFERROR(VALUE(SUBSTITUTE(SUBSTITUTE(N85," btl",""),".","")),""))</f>
        <v>3097</v>
      </c>
      <c r="P85" s="0" t="str">
        <f aca="false">IF(B85="PRODUKSI","produced","reject")</f>
        <v>produced</v>
      </c>
    </row>
    <row r="86" customFormat="false" ht="15" hidden="false" customHeight="false" outlineLevel="0" collapsed="false">
      <c r="A86" s="0" t="n">
        <v>85</v>
      </c>
      <c r="B86" s="0" t="str">
        <f aca="false">IF(A86&lt;=36*25,"PRODUKSI","REJECT")</f>
        <v>PRODUKSI</v>
      </c>
      <c r="C86" s="0" t="n">
        <f aca="false">MOD(A86-1,Pemetaan!$B$3*Pemetaan!$B$4)</f>
        <v>84</v>
      </c>
      <c r="D86" s="0" t="n">
        <f aca="false">INT(C86/Pemetaan!$B$4)</f>
        <v>3</v>
      </c>
      <c r="E86" s="0" t="n">
        <f aca="false">MOD(C86,Pemetaan!$B$4)</f>
        <v>9</v>
      </c>
      <c r="F86" s="0" t="n">
        <f aca="false">IF(B86="PRODUKSI",Pemetaan!$B$5,Pemetaan!$B$6)</f>
        <v>5</v>
      </c>
      <c r="G86" s="0" t="n">
        <f aca="false">F86+2+D86</f>
        <v>10</v>
      </c>
      <c r="H86" s="0" t="n">
        <f aca="false">Pemetaan!$B$2+E86</f>
        <v>14</v>
      </c>
      <c r="I86" s="0" t="str">
        <f aca="false">INDEX(Laporan!$A$1:$AZ$300,G86,1)</f>
        <v>Water Treatment</v>
      </c>
      <c r="J86" s="0" t="str">
        <f aca="false">INDEX(Laporan!$A$1:$AZ$300,G86,2)</f>
        <v>330 ml</v>
      </c>
      <c r="K86" s="0" t="str">
        <f aca="false">INDEX(Laporan!$A$1:$AZ$300,G86,3)</f>
        <v>Shift 2</v>
      </c>
      <c r="L86" s="0" t="n">
        <f aca="false">INDEX(Laporan!$A$1:$AZ$300,G86,4)</f>
        <v>1</v>
      </c>
      <c r="M86" s="1" t="n">
        <f aca="false">DATE(Pemetaan!$B$1,VALUE(RIGHT(INDEX(Laporan!$A$1:$AZ$300,F86+1,H86),2)),VALUE(LEFT(INDEX(Laporan!$A$1:$AZ$300,F86+1,H86),2)))</f>
        <v>46094</v>
      </c>
      <c r="N86" s="0" t="n">
        <f aca="false">INDEX(Laporan!$A$1:$AZ$300,G86,H86)</f>
        <v>3585</v>
      </c>
      <c r="O86" s="0" t="n">
        <f aca="false">IF(N86="","",IFERROR(VALUE(SUBSTITUTE(SUBSTITUTE(N86," btl",""),".","")),""))</f>
        <v>3585</v>
      </c>
      <c r="P86" s="0" t="str">
        <f aca="false">IF(B86="PRODUKSI","produced","reject")</f>
        <v>produced</v>
      </c>
    </row>
    <row r="87" customFormat="false" ht="15" hidden="false" customHeight="false" outlineLevel="0" collapsed="false">
      <c r="A87" s="0" t="n">
        <v>86</v>
      </c>
      <c r="B87" s="0" t="str">
        <f aca="false">IF(A87&lt;=36*25,"PRODUKSI","REJECT")</f>
        <v>PRODUKSI</v>
      </c>
      <c r="C87" s="0" t="n">
        <f aca="false">MOD(A87-1,Pemetaan!$B$3*Pemetaan!$B$4)</f>
        <v>85</v>
      </c>
      <c r="D87" s="0" t="n">
        <f aca="false">INT(C87/Pemetaan!$B$4)</f>
        <v>3</v>
      </c>
      <c r="E87" s="0" t="n">
        <f aca="false">MOD(C87,Pemetaan!$B$4)</f>
        <v>10</v>
      </c>
      <c r="F87" s="0" t="n">
        <f aca="false">IF(B87="PRODUKSI",Pemetaan!$B$5,Pemetaan!$B$6)</f>
        <v>5</v>
      </c>
      <c r="G87" s="0" t="n">
        <f aca="false">F87+2+D87</f>
        <v>10</v>
      </c>
      <c r="H87" s="0" t="n">
        <f aca="false">Pemetaan!$B$2+E87</f>
        <v>15</v>
      </c>
      <c r="I87" s="0" t="str">
        <f aca="false">INDEX(Laporan!$A$1:$AZ$300,G87,1)</f>
        <v>Water Treatment</v>
      </c>
      <c r="J87" s="0" t="str">
        <f aca="false">INDEX(Laporan!$A$1:$AZ$300,G87,2)</f>
        <v>330 ml</v>
      </c>
      <c r="K87" s="0" t="str">
        <f aca="false">INDEX(Laporan!$A$1:$AZ$300,G87,3)</f>
        <v>Shift 2</v>
      </c>
      <c r="L87" s="0" t="n">
        <f aca="false">INDEX(Laporan!$A$1:$AZ$300,G87,4)</f>
        <v>1</v>
      </c>
      <c r="M87" s="1" t="n">
        <f aca="false">DATE(Pemetaan!$B$1,VALUE(RIGHT(INDEX(Laporan!$A$1:$AZ$300,F87+1,H87),2)),VALUE(LEFT(INDEX(Laporan!$A$1:$AZ$300,F87+1,H87),2)))</f>
        <v>46097</v>
      </c>
      <c r="N87" s="0" t="n">
        <f aca="false">INDEX(Laporan!$A$1:$AZ$300,G87,H87)</f>
        <v>2752</v>
      </c>
      <c r="O87" s="0" t="n">
        <f aca="false">IF(N87="","",IFERROR(VALUE(SUBSTITUTE(SUBSTITUTE(N87," btl",""),".","")),""))</f>
        <v>2752</v>
      </c>
      <c r="P87" s="0" t="str">
        <f aca="false">IF(B87="PRODUKSI","produced","reject")</f>
        <v>produced</v>
      </c>
    </row>
    <row r="88" customFormat="false" ht="15" hidden="false" customHeight="false" outlineLevel="0" collapsed="false">
      <c r="A88" s="0" t="n">
        <v>87</v>
      </c>
      <c r="B88" s="0" t="str">
        <f aca="false">IF(A88&lt;=36*25,"PRODUKSI","REJECT")</f>
        <v>PRODUKSI</v>
      </c>
      <c r="C88" s="0" t="n">
        <f aca="false">MOD(A88-1,Pemetaan!$B$3*Pemetaan!$B$4)</f>
        <v>86</v>
      </c>
      <c r="D88" s="0" t="n">
        <f aca="false">INT(C88/Pemetaan!$B$4)</f>
        <v>3</v>
      </c>
      <c r="E88" s="0" t="n">
        <f aca="false">MOD(C88,Pemetaan!$B$4)</f>
        <v>11</v>
      </c>
      <c r="F88" s="0" t="n">
        <f aca="false">IF(B88="PRODUKSI",Pemetaan!$B$5,Pemetaan!$B$6)</f>
        <v>5</v>
      </c>
      <c r="G88" s="0" t="n">
        <f aca="false">F88+2+D88</f>
        <v>10</v>
      </c>
      <c r="H88" s="0" t="n">
        <f aca="false">Pemetaan!$B$2+E88</f>
        <v>16</v>
      </c>
      <c r="I88" s="0" t="str">
        <f aca="false">INDEX(Laporan!$A$1:$AZ$300,G88,1)</f>
        <v>Water Treatment</v>
      </c>
      <c r="J88" s="0" t="str">
        <f aca="false">INDEX(Laporan!$A$1:$AZ$300,G88,2)</f>
        <v>330 ml</v>
      </c>
      <c r="K88" s="0" t="str">
        <f aca="false">INDEX(Laporan!$A$1:$AZ$300,G88,3)</f>
        <v>Shift 2</v>
      </c>
      <c r="L88" s="0" t="n">
        <f aca="false">INDEX(Laporan!$A$1:$AZ$300,G88,4)</f>
        <v>1</v>
      </c>
      <c r="M88" s="1" t="n">
        <f aca="false">DATE(Pemetaan!$B$1,VALUE(RIGHT(INDEX(Laporan!$A$1:$AZ$300,F88+1,H88),2)),VALUE(LEFT(INDEX(Laporan!$A$1:$AZ$300,F88+1,H88),2)))</f>
        <v>46098</v>
      </c>
      <c r="N88" s="0" t="n">
        <f aca="false">INDEX(Laporan!$A$1:$AZ$300,G88,H88)</f>
        <v>3141</v>
      </c>
      <c r="O88" s="0" t="n">
        <f aca="false">IF(N88="","",IFERROR(VALUE(SUBSTITUTE(SUBSTITUTE(N88," btl",""),".","")),""))</f>
        <v>3141</v>
      </c>
      <c r="P88" s="0" t="str">
        <f aca="false">IF(B88="PRODUKSI","produced","reject")</f>
        <v>produced</v>
      </c>
    </row>
    <row r="89" customFormat="false" ht="15" hidden="false" customHeight="false" outlineLevel="0" collapsed="false">
      <c r="A89" s="0" t="n">
        <v>88</v>
      </c>
      <c r="B89" s="0" t="str">
        <f aca="false">IF(A89&lt;=36*25,"PRODUKSI","REJECT")</f>
        <v>PRODUKSI</v>
      </c>
      <c r="C89" s="0" t="n">
        <f aca="false">MOD(A89-1,Pemetaan!$B$3*Pemetaan!$B$4)</f>
        <v>87</v>
      </c>
      <c r="D89" s="0" t="n">
        <f aca="false">INT(C89/Pemetaan!$B$4)</f>
        <v>3</v>
      </c>
      <c r="E89" s="0" t="n">
        <f aca="false">MOD(C89,Pemetaan!$B$4)</f>
        <v>12</v>
      </c>
      <c r="F89" s="0" t="n">
        <f aca="false">IF(B89="PRODUKSI",Pemetaan!$B$5,Pemetaan!$B$6)</f>
        <v>5</v>
      </c>
      <c r="G89" s="0" t="n">
        <f aca="false">F89+2+D89</f>
        <v>10</v>
      </c>
      <c r="H89" s="0" t="n">
        <f aca="false">Pemetaan!$B$2+E89</f>
        <v>17</v>
      </c>
      <c r="I89" s="0" t="str">
        <f aca="false">INDEX(Laporan!$A$1:$AZ$300,G89,1)</f>
        <v>Water Treatment</v>
      </c>
      <c r="J89" s="0" t="str">
        <f aca="false">INDEX(Laporan!$A$1:$AZ$300,G89,2)</f>
        <v>330 ml</v>
      </c>
      <c r="K89" s="0" t="str">
        <f aca="false">INDEX(Laporan!$A$1:$AZ$300,G89,3)</f>
        <v>Shift 2</v>
      </c>
      <c r="L89" s="0" t="n">
        <f aca="false">INDEX(Laporan!$A$1:$AZ$300,G89,4)</f>
        <v>1</v>
      </c>
      <c r="M89" s="1" t="n">
        <f aca="false">DATE(Pemetaan!$B$1,VALUE(RIGHT(INDEX(Laporan!$A$1:$AZ$300,F89+1,H89),2)),VALUE(LEFT(INDEX(Laporan!$A$1:$AZ$300,F89+1,H89),2)))</f>
        <v>46099</v>
      </c>
      <c r="N89" s="0" t="n">
        <f aca="false">INDEX(Laporan!$A$1:$AZ$300,G89,H89)</f>
        <v>3137</v>
      </c>
      <c r="O89" s="0" t="n">
        <f aca="false">IF(N89="","",IFERROR(VALUE(SUBSTITUTE(SUBSTITUTE(N89," btl",""),".","")),""))</f>
        <v>3137</v>
      </c>
      <c r="P89" s="0" t="str">
        <f aca="false">IF(B89="PRODUKSI","produced","reject")</f>
        <v>produced</v>
      </c>
    </row>
    <row r="90" customFormat="false" ht="15" hidden="false" customHeight="false" outlineLevel="0" collapsed="false">
      <c r="A90" s="0" t="n">
        <v>89</v>
      </c>
      <c r="B90" s="0" t="str">
        <f aca="false">IF(A90&lt;=36*25,"PRODUKSI","REJECT")</f>
        <v>PRODUKSI</v>
      </c>
      <c r="C90" s="0" t="n">
        <f aca="false">MOD(A90-1,Pemetaan!$B$3*Pemetaan!$B$4)</f>
        <v>88</v>
      </c>
      <c r="D90" s="0" t="n">
        <f aca="false">INT(C90/Pemetaan!$B$4)</f>
        <v>3</v>
      </c>
      <c r="E90" s="0" t="n">
        <f aca="false">MOD(C90,Pemetaan!$B$4)</f>
        <v>13</v>
      </c>
      <c r="F90" s="0" t="n">
        <f aca="false">IF(B90="PRODUKSI",Pemetaan!$B$5,Pemetaan!$B$6)</f>
        <v>5</v>
      </c>
      <c r="G90" s="0" t="n">
        <f aca="false">F90+2+D90</f>
        <v>10</v>
      </c>
      <c r="H90" s="0" t="n">
        <f aca="false">Pemetaan!$B$2+E90</f>
        <v>18</v>
      </c>
      <c r="I90" s="0" t="str">
        <f aca="false">INDEX(Laporan!$A$1:$AZ$300,G90,1)</f>
        <v>Water Treatment</v>
      </c>
      <c r="J90" s="0" t="str">
        <f aca="false">INDEX(Laporan!$A$1:$AZ$300,G90,2)</f>
        <v>330 ml</v>
      </c>
      <c r="K90" s="0" t="str">
        <f aca="false">INDEX(Laporan!$A$1:$AZ$300,G90,3)</f>
        <v>Shift 2</v>
      </c>
      <c r="L90" s="0" t="n">
        <f aca="false">INDEX(Laporan!$A$1:$AZ$300,G90,4)</f>
        <v>1</v>
      </c>
      <c r="M90" s="1" t="n">
        <f aca="false">DATE(Pemetaan!$B$1,VALUE(RIGHT(INDEX(Laporan!$A$1:$AZ$300,F90+1,H90),2)),VALUE(LEFT(INDEX(Laporan!$A$1:$AZ$300,F90+1,H90),2)))</f>
        <v>46100</v>
      </c>
      <c r="N90" s="0" t="n">
        <f aca="false">INDEX(Laporan!$A$1:$AZ$300,G90,H90)</f>
        <v>3050</v>
      </c>
      <c r="O90" s="0" t="n">
        <f aca="false">IF(N90="","",IFERROR(VALUE(SUBSTITUTE(SUBSTITUTE(N90," btl",""),".","")),""))</f>
        <v>3050</v>
      </c>
      <c r="P90" s="0" t="str">
        <f aca="false">IF(B90="PRODUKSI","produced","reject")</f>
        <v>produced</v>
      </c>
    </row>
    <row r="91" customFormat="false" ht="15" hidden="false" customHeight="false" outlineLevel="0" collapsed="false">
      <c r="A91" s="0" t="n">
        <v>90</v>
      </c>
      <c r="B91" s="0" t="str">
        <f aca="false">IF(A91&lt;=36*25,"PRODUKSI","REJECT")</f>
        <v>PRODUKSI</v>
      </c>
      <c r="C91" s="0" t="n">
        <f aca="false">MOD(A91-1,Pemetaan!$B$3*Pemetaan!$B$4)</f>
        <v>89</v>
      </c>
      <c r="D91" s="0" t="n">
        <f aca="false">INT(C91/Pemetaan!$B$4)</f>
        <v>3</v>
      </c>
      <c r="E91" s="0" t="n">
        <f aca="false">MOD(C91,Pemetaan!$B$4)</f>
        <v>14</v>
      </c>
      <c r="F91" s="0" t="n">
        <f aca="false">IF(B91="PRODUKSI",Pemetaan!$B$5,Pemetaan!$B$6)</f>
        <v>5</v>
      </c>
      <c r="G91" s="0" t="n">
        <f aca="false">F91+2+D91</f>
        <v>10</v>
      </c>
      <c r="H91" s="0" t="n">
        <f aca="false">Pemetaan!$B$2+E91</f>
        <v>19</v>
      </c>
      <c r="I91" s="0" t="str">
        <f aca="false">INDEX(Laporan!$A$1:$AZ$300,G91,1)</f>
        <v>Water Treatment</v>
      </c>
      <c r="J91" s="0" t="str">
        <f aca="false">INDEX(Laporan!$A$1:$AZ$300,G91,2)</f>
        <v>330 ml</v>
      </c>
      <c r="K91" s="0" t="str">
        <f aca="false">INDEX(Laporan!$A$1:$AZ$300,G91,3)</f>
        <v>Shift 2</v>
      </c>
      <c r="L91" s="0" t="n">
        <f aca="false">INDEX(Laporan!$A$1:$AZ$300,G91,4)</f>
        <v>1</v>
      </c>
      <c r="M91" s="1" t="n">
        <f aca="false">DATE(Pemetaan!$B$1,VALUE(RIGHT(INDEX(Laporan!$A$1:$AZ$300,F91+1,H91),2)),VALUE(LEFT(INDEX(Laporan!$A$1:$AZ$300,F91+1,H91),2)))</f>
        <v>46101</v>
      </c>
      <c r="N91" s="0" t="n">
        <f aca="false">INDEX(Laporan!$A$1:$AZ$300,G91,H91)</f>
        <v>3695</v>
      </c>
      <c r="O91" s="0" t="n">
        <f aca="false">IF(N91="","",IFERROR(VALUE(SUBSTITUTE(SUBSTITUTE(N91," btl",""),".","")),""))</f>
        <v>3695</v>
      </c>
      <c r="P91" s="0" t="str">
        <f aca="false">IF(B91="PRODUKSI","produced","reject")</f>
        <v>produced</v>
      </c>
    </row>
    <row r="92" customFormat="false" ht="15" hidden="false" customHeight="false" outlineLevel="0" collapsed="false">
      <c r="A92" s="0" t="n">
        <v>91</v>
      </c>
      <c r="B92" s="0" t="str">
        <f aca="false">IF(A92&lt;=36*25,"PRODUKSI","REJECT")</f>
        <v>PRODUKSI</v>
      </c>
      <c r="C92" s="0" t="n">
        <f aca="false">MOD(A92-1,Pemetaan!$B$3*Pemetaan!$B$4)</f>
        <v>90</v>
      </c>
      <c r="D92" s="0" t="n">
        <f aca="false">INT(C92/Pemetaan!$B$4)</f>
        <v>3</v>
      </c>
      <c r="E92" s="0" t="n">
        <f aca="false">MOD(C92,Pemetaan!$B$4)</f>
        <v>15</v>
      </c>
      <c r="F92" s="0" t="n">
        <f aca="false">IF(B92="PRODUKSI",Pemetaan!$B$5,Pemetaan!$B$6)</f>
        <v>5</v>
      </c>
      <c r="G92" s="0" t="n">
        <f aca="false">F92+2+D92</f>
        <v>10</v>
      </c>
      <c r="H92" s="0" t="n">
        <f aca="false">Pemetaan!$B$2+E92</f>
        <v>20</v>
      </c>
      <c r="I92" s="0" t="str">
        <f aca="false">INDEX(Laporan!$A$1:$AZ$300,G92,1)</f>
        <v>Water Treatment</v>
      </c>
      <c r="J92" s="0" t="str">
        <f aca="false">INDEX(Laporan!$A$1:$AZ$300,G92,2)</f>
        <v>330 ml</v>
      </c>
      <c r="K92" s="0" t="str">
        <f aca="false">INDEX(Laporan!$A$1:$AZ$300,G92,3)</f>
        <v>Shift 2</v>
      </c>
      <c r="L92" s="0" t="n">
        <f aca="false">INDEX(Laporan!$A$1:$AZ$300,G92,4)</f>
        <v>1</v>
      </c>
      <c r="M92" s="1" t="n">
        <f aca="false">DATE(Pemetaan!$B$1,VALUE(RIGHT(INDEX(Laporan!$A$1:$AZ$300,F92+1,H92),2)),VALUE(LEFT(INDEX(Laporan!$A$1:$AZ$300,F92+1,H92),2)))</f>
        <v>46104</v>
      </c>
      <c r="N92" s="0" t="n">
        <f aca="false">INDEX(Laporan!$A$1:$AZ$300,G92,H92)</f>
        <v>3123</v>
      </c>
      <c r="O92" s="0" t="n">
        <f aca="false">IF(N92="","",IFERROR(VALUE(SUBSTITUTE(SUBSTITUTE(N92," btl",""),".","")),""))</f>
        <v>3123</v>
      </c>
      <c r="P92" s="0" t="str">
        <f aca="false">IF(B92="PRODUKSI","produced","reject")</f>
        <v>produced</v>
      </c>
    </row>
    <row r="93" customFormat="false" ht="15" hidden="false" customHeight="false" outlineLevel="0" collapsed="false">
      <c r="A93" s="0" t="n">
        <v>92</v>
      </c>
      <c r="B93" s="0" t="str">
        <f aca="false">IF(A93&lt;=36*25,"PRODUKSI","REJECT")</f>
        <v>PRODUKSI</v>
      </c>
      <c r="C93" s="0" t="n">
        <f aca="false">MOD(A93-1,Pemetaan!$B$3*Pemetaan!$B$4)</f>
        <v>91</v>
      </c>
      <c r="D93" s="0" t="n">
        <f aca="false">INT(C93/Pemetaan!$B$4)</f>
        <v>3</v>
      </c>
      <c r="E93" s="0" t="n">
        <f aca="false">MOD(C93,Pemetaan!$B$4)</f>
        <v>16</v>
      </c>
      <c r="F93" s="0" t="n">
        <f aca="false">IF(B93="PRODUKSI",Pemetaan!$B$5,Pemetaan!$B$6)</f>
        <v>5</v>
      </c>
      <c r="G93" s="0" t="n">
        <f aca="false">F93+2+D93</f>
        <v>10</v>
      </c>
      <c r="H93" s="0" t="n">
        <f aca="false">Pemetaan!$B$2+E93</f>
        <v>21</v>
      </c>
      <c r="I93" s="0" t="str">
        <f aca="false">INDEX(Laporan!$A$1:$AZ$300,G93,1)</f>
        <v>Water Treatment</v>
      </c>
      <c r="J93" s="0" t="str">
        <f aca="false">INDEX(Laporan!$A$1:$AZ$300,G93,2)</f>
        <v>330 ml</v>
      </c>
      <c r="K93" s="0" t="str">
        <f aca="false">INDEX(Laporan!$A$1:$AZ$300,G93,3)</f>
        <v>Shift 2</v>
      </c>
      <c r="L93" s="0" t="n">
        <f aca="false">INDEX(Laporan!$A$1:$AZ$300,G93,4)</f>
        <v>1</v>
      </c>
      <c r="M93" s="1" t="n">
        <f aca="false">DATE(Pemetaan!$B$1,VALUE(RIGHT(INDEX(Laporan!$A$1:$AZ$300,F93+1,H93),2)),VALUE(LEFT(INDEX(Laporan!$A$1:$AZ$300,F93+1,H93),2)))</f>
        <v>46105</v>
      </c>
      <c r="N93" s="0" t="n">
        <f aca="false">INDEX(Laporan!$A$1:$AZ$300,G93,H93)</f>
        <v>3292</v>
      </c>
      <c r="O93" s="0" t="n">
        <f aca="false">IF(N93="","",IFERROR(VALUE(SUBSTITUTE(SUBSTITUTE(N93," btl",""),".","")),""))</f>
        <v>3292</v>
      </c>
      <c r="P93" s="0" t="str">
        <f aca="false">IF(B93="PRODUKSI","produced","reject")</f>
        <v>produced</v>
      </c>
    </row>
    <row r="94" customFormat="false" ht="15" hidden="false" customHeight="false" outlineLevel="0" collapsed="false">
      <c r="A94" s="0" t="n">
        <v>93</v>
      </c>
      <c r="B94" s="0" t="str">
        <f aca="false">IF(A94&lt;=36*25,"PRODUKSI","REJECT")</f>
        <v>PRODUKSI</v>
      </c>
      <c r="C94" s="0" t="n">
        <f aca="false">MOD(A94-1,Pemetaan!$B$3*Pemetaan!$B$4)</f>
        <v>92</v>
      </c>
      <c r="D94" s="0" t="n">
        <f aca="false">INT(C94/Pemetaan!$B$4)</f>
        <v>3</v>
      </c>
      <c r="E94" s="0" t="n">
        <f aca="false">MOD(C94,Pemetaan!$B$4)</f>
        <v>17</v>
      </c>
      <c r="F94" s="0" t="n">
        <f aca="false">IF(B94="PRODUKSI",Pemetaan!$B$5,Pemetaan!$B$6)</f>
        <v>5</v>
      </c>
      <c r="G94" s="0" t="n">
        <f aca="false">F94+2+D94</f>
        <v>10</v>
      </c>
      <c r="H94" s="0" t="n">
        <f aca="false">Pemetaan!$B$2+E94</f>
        <v>22</v>
      </c>
      <c r="I94" s="0" t="str">
        <f aca="false">INDEX(Laporan!$A$1:$AZ$300,G94,1)</f>
        <v>Water Treatment</v>
      </c>
      <c r="J94" s="0" t="str">
        <f aca="false">INDEX(Laporan!$A$1:$AZ$300,G94,2)</f>
        <v>330 ml</v>
      </c>
      <c r="K94" s="0" t="str">
        <f aca="false">INDEX(Laporan!$A$1:$AZ$300,G94,3)</f>
        <v>Shift 2</v>
      </c>
      <c r="L94" s="0" t="n">
        <f aca="false">INDEX(Laporan!$A$1:$AZ$300,G94,4)</f>
        <v>1</v>
      </c>
      <c r="M94" s="1" t="n">
        <f aca="false">DATE(Pemetaan!$B$1,VALUE(RIGHT(INDEX(Laporan!$A$1:$AZ$300,F94+1,H94),2)),VALUE(LEFT(INDEX(Laporan!$A$1:$AZ$300,F94+1,H94),2)))</f>
        <v>46106</v>
      </c>
      <c r="N94" s="0" t="n">
        <f aca="false">INDEX(Laporan!$A$1:$AZ$300,G94,H94)</f>
        <v>3042</v>
      </c>
      <c r="O94" s="0" t="n">
        <f aca="false">IF(N94="","",IFERROR(VALUE(SUBSTITUTE(SUBSTITUTE(N94," btl",""),".","")),""))</f>
        <v>3042</v>
      </c>
      <c r="P94" s="0" t="str">
        <f aca="false">IF(B94="PRODUKSI","produced","reject")</f>
        <v>produced</v>
      </c>
    </row>
    <row r="95" customFormat="false" ht="15" hidden="false" customHeight="false" outlineLevel="0" collapsed="false">
      <c r="A95" s="0" t="n">
        <v>94</v>
      </c>
      <c r="B95" s="0" t="str">
        <f aca="false">IF(A95&lt;=36*25,"PRODUKSI","REJECT")</f>
        <v>PRODUKSI</v>
      </c>
      <c r="C95" s="0" t="n">
        <f aca="false">MOD(A95-1,Pemetaan!$B$3*Pemetaan!$B$4)</f>
        <v>93</v>
      </c>
      <c r="D95" s="0" t="n">
        <f aca="false">INT(C95/Pemetaan!$B$4)</f>
        <v>3</v>
      </c>
      <c r="E95" s="0" t="n">
        <f aca="false">MOD(C95,Pemetaan!$B$4)</f>
        <v>18</v>
      </c>
      <c r="F95" s="0" t="n">
        <f aca="false">IF(B95="PRODUKSI",Pemetaan!$B$5,Pemetaan!$B$6)</f>
        <v>5</v>
      </c>
      <c r="G95" s="0" t="n">
        <f aca="false">F95+2+D95</f>
        <v>10</v>
      </c>
      <c r="H95" s="0" t="n">
        <f aca="false">Pemetaan!$B$2+E95</f>
        <v>23</v>
      </c>
      <c r="I95" s="0" t="str">
        <f aca="false">INDEX(Laporan!$A$1:$AZ$300,G95,1)</f>
        <v>Water Treatment</v>
      </c>
      <c r="J95" s="0" t="str">
        <f aca="false">INDEX(Laporan!$A$1:$AZ$300,G95,2)</f>
        <v>330 ml</v>
      </c>
      <c r="K95" s="0" t="str">
        <f aca="false">INDEX(Laporan!$A$1:$AZ$300,G95,3)</f>
        <v>Shift 2</v>
      </c>
      <c r="L95" s="0" t="n">
        <f aca="false">INDEX(Laporan!$A$1:$AZ$300,G95,4)</f>
        <v>1</v>
      </c>
      <c r="M95" s="1" t="n">
        <f aca="false">DATE(Pemetaan!$B$1,VALUE(RIGHT(INDEX(Laporan!$A$1:$AZ$300,F95+1,H95),2)),VALUE(LEFT(INDEX(Laporan!$A$1:$AZ$300,F95+1,H95),2)))</f>
        <v>46107</v>
      </c>
      <c r="N95" s="0" t="n">
        <f aca="false">INDEX(Laporan!$A$1:$AZ$300,G95,H95)</f>
        <v>3526</v>
      </c>
      <c r="O95" s="0" t="n">
        <f aca="false">IF(N95="","",IFERROR(VALUE(SUBSTITUTE(SUBSTITUTE(N95," btl",""),".","")),""))</f>
        <v>3526</v>
      </c>
      <c r="P95" s="0" t="str">
        <f aca="false">IF(B95="PRODUKSI","produced","reject")</f>
        <v>produced</v>
      </c>
    </row>
    <row r="96" customFormat="false" ht="15" hidden="false" customHeight="false" outlineLevel="0" collapsed="false">
      <c r="A96" s="0" t="n">
        <v>95</v>
      </c>
      <c r="B96" s="0" t="str">
        <f aca="false">IF(A96&lt;=36*25,"PRODUKSI","REJECT")</f>
        <v>PRODUKSI</v>
      </c>
      <c r="C96" s="0" t="n">
        <f aca="false">MOD(A96-1,Pemetaan!$B$3*Pemetaan!$B$4)</f>
        <v>94</v>
      </c>
      <c r="D96" s="0" t="n">
        <f aca="false">INT(C96/Pemetaan!$B$4)</f>
        <v>3</v>
      </c>
      <c r="E96" s="0" t="n">
        <f aca="false">MOD(C96,Pemetaan!$B$4)</f>
        <v>19</v>
      </c>
      <c r="F96" s="0" t="n">
        <f aca="false">IF(B96="PRODUKSI",Pemetaan!$B$5,Pemetaan!$B$6)</f>
        <v>5</v>
      </c>
      <c r="G96" s="0" t="n">
        <f aca="false">F96+2+D96</f>
        <v>10</v>
      </c>
      <c r="H96" s="0" t="n">
        <f aca="false">Pemetaan!$B$2+E96</f>
        <v>24</v>
      </c>
      <c r="I96" s="0" t="str">
        <f aca="false">INDEX(Laporan!$A$1:$AZ$300,G96,1)</f>
        <v>Water Treatment</v>
      </c>
      <c r="J96" s="0" t="str">
        <f aca="false">INDEX(Laporan!$A$1:$AZ$300,G96,2)</f>
        <v>330 ml</v>
      </c>
      <c r="K96" s="0" t="str">
        <f aca="false">INDEX(Laporan!$A$1:$AZ$300,G96,3)</f>
        <v>Shift 2</v>
      </c>
      <c r="L96" s="0" t="n">
        <f aca="false">INDEX(Laporan!$A$1:$AZ$300,G96,4)</f>
        <v>1</v>
      </c>
      <c r="M96" s="1" t="n">
        <f aca="false">DATE(Pemetaan!$B$1,VALUE(RIGHT(INDEX(Laporan!$A$1:$AZ$300,F96+1,H96),2)),VALUE(LEFT(INDEX(Laporan!$A$1:$AZ$300,F96+1,H96),2)))</f>
        <v>46108</v>
      </c>
      <c r="N96" s="0" t="n">
        <f aca="false">INDEX(Laporan!$A$1:$AZ$300,G96,H96)</f>
        <v>2758</v>
      </c>
      <c r="O96" s="0" t="n">
        <f aca="false">IF(N96="","",IFERROR(VALUE(SUBSTITUTE(SUBSTITUTE(N96," btl",""),".","")),""))</f>
        <v>2758</v>
      </c>
      <c r="P96" s="0" t="str">
        <f aca="false">IF(B96="PRODUKSI","produced","reject")</f>
        <v>produced</v>
      </c>
    </row>
    <row r="97" customFormat="false" ht="15" hidden="false" customHeight="false" outlineLevel="0" collapsed="false">
      <c r="A97" s="0" t="n">
        <v>96</v>
      </c>
      <c r="B97" s="0" t="str">
        <f aca="false">IF(A97&lt;=36*25,"PRODUKSI","REJECT")</f>
        <v>PRODUKSI</v>
      </c>
      <c r="C97" s="0" t="n">
        <f aca="false">MOD(A97-1,Pemetaan!$B$3*Pemetaan!$B$4)</f>
        <v>95</v>
      </c>
      <c r="D97" s="0" t="n">
        <f aca="false">INT(C97/Pemetaan!$B$4)</f>
        <v>3</v>
      </c>
      <c r="E97" s="0" t="n">
        <f aca="false">MOD(C97,Pemetaan!$B$4)</f>
        <v>20</v>
      </c>
      <c r="F97" s="0" t="n">
        <f aca="false">IF(B97="PRODUKSI",Pemetaan!$B$5,Pemetaan!$B$6)</f>
        <v>5</v>
      </c>
      <c r="G97" s="0" t="n">
        <f aca="false">F97+2+D97</f>
        <v>10</v>
      </c>
      <c r="H97" s="0" t="n">
        <f aca="false">Pemetaan!$B$2+E97</f>
        <v>25</v>
      </c>
      <c r="I97" s="0" t="str">
        <f aca="false">INDEX(Laporan!$A$1:$AZ$300,G97,1)</f>
        <v>Water Treatment</v>
      </c>
      <c r="J97" s="0" t="str">
        <f aca="false">INDEX(Laporan!$A$1:$AZ$300,G97,2)</f>
        <v>330 ml</v>
      </c>
      <c r="K97" s="0" t="str">
        <f aca="false">INDEX(Laporan!$A$1:$AZ$300,G97,3)</f>
        <v>Shift 2</v>
      </c>
      <c r="L97" s="0" t="n">
        <f aca="false">INDEX(Laporan!$A$1:$AZ$300,G97,4)</f>
        <v>1</v>
      </c>
      <c r="M97" s="1" t="n">
        <f aca="false">DATE(Pemetaan!$B$1,VALUE(RIGHT(INDEX(Laporan!$A$1:$AZ$300,F97+1,H97),2)),VALUE(LEFT(INDEX(Laporan!$A$1:$AZ$300,F97+1,H97),2)))</f>
        <v>46111</v>
      </c>
      <c r="N97" s="0" t="n">
        <f aca="false">INDEX(Laporan!$A$1:$AZ$300,G97,H97)</f>
        <v>3196</v>
      </c>
      <c r="O97" s="0" t="n">
        <f aca="false">IF(N97="","",IFERROR(VALUE(SUBSTITUTE(SUBSTITUTE(N97," btl",""),".","")),""))</f>
        <v>3196</v>
      </c>
      <c r="P97" s="0" t="str">
        <f aca="false">IF(B97="PRODUKSI","produced","reject")</f>
        <v>produced</v>
      </c>
    </row>
    <row r="98" customFormat="false" ht="15" hidden="false" customHeight="false" outlineLevel="0" collapsed="false">
      <c r="A98" s="0" t="n">
        <v>97</v>
      </c>
      <c r="B98" s="0" t="str">
        <f aca="false">IF(A98&lt;=36*25,"PRODUKSI","REJECT")</f>
        <v>PRODUKSI</v>
      </c>
      <c r="C98" s="0" t="n">
        <f aca="false">MOD(A98-1,Pemetaan!$B$3*Pemetaan!$B$4)</f>
        <v>96</v>
      </c>
      <c r="D98" s="0" t="n">
        <f aca="false">INT(C98/Pemetaan!$B$4)</f>
        <v>3</v>
      </c>
      <c r="E98" s="0" t="n">
        <f aca="false">MOD(C98,Pemetaan!$B$4)</f>
        <v>21</v>
      </c>
      <c r="F98" s="0" t="n">
        <f aca="false">IF(B98="PRODUKSI",Pemetaan!$B$5,Pemetaan!$B$6)</f>
        <v>5</v>
      </c>
      <c r="G98" s="0" t="n">
        <f aca="false">F98+2+D98</f>
        <v>10</v>
      </c>
      <c r="H98" s="0" t="n">
        <f aca="false">Pemetaan!$B$2+E98</f>
        <v>26</v>
      </c>
      <c r="I98" s="0" t="str">
        <f aca="false">INDEX(Laporan!$A$1:$AZ$300,G98,1)</f>
        <v>Water Treatment</v>
      </c>
      <c r="J98" s="0" t="str">
        <f aca="false">INDEX(Laporan!$A$1:$AZ$300,G98,2)</f>
        <v>330 ml</v>
      </c>
      <c r="K98" s="0" t="str">
        <f aca="false">INDEX(Laporan!$A$1:$AZ$300,G98,3)</f>
        <v>Shift 2</v>
      </c>
      <c r="L98" s="0" t="n">
        <f aca="false">INDEX(Laporan!$A$1:$AZ$300,G98,4)</f>
        <v>1</v>
      </c>
      <c r="M98" s="1" t="n">
        <f aca="false">DATE(Pemetaan!$B$1,VALUE(RIGHT(INDEX(Laporan!$A$1:$AZ$300,F98+1,H98),2)),VALUE(LEFT(INDEX(Laporan!$A$1:$AZ$300,F98+1,H98),2)))</f>
        <v>46112</v>
      </c>
      <c r="N98" s="0" t="n">
        <f aca="false">INDEX(Laporan!$A$1:$AZ$300,G98,H98)</f>
        <v>2818</v>
      </c>
      <c r="O98" s="0" t="n">
        <f aca="false">IF(N98="","",IFERROR(VALUE(SUBSTITUTE(SUBSTITUTE(N98," btl",""),".","")),""))</f>
        <v>2818</v>
      </c>
      <c r="P98" s="0" t="str">
        <f aca="false">IF(B98="PRODUKSI","produced","reject")</f>
        <v>produced</v>
      </c>
    </row>
    <row r="99" customFormat="false" ht="15" hidden="false" customHeight="false" outlineLevel="0" collapsed="false">
      <c r="A99" s="0" t="n">
        <v>98</v>
      </c>
      <c r="B99" s="0" t="str">
        <f aca="false">IF(A99&lt;=36*25,"PRODUKSI","REJECT")</f>
        <v>PRODUKSI</v>
      </c>
      <c r="C99" s="0" t="n">
        <f aca="false">MOD(A99-1,Pemetaan!$B$3*Pemetaan!$B$4)</f>
        <v>97</v>
      </c>
      <c r="D99" s="0" t="n">
        <f aca="false">INT(C99/Pemetaan!$B$4)</f>
        <v>3</v>
      </c>
      <c r="E99" s="0" t="n">
        <f aca="false">MOD(C99,Pemetaan!$B$4)</f>
        <v>22</v>
      </c>
      <c r="F99" s="0" t="n">
        <f aca="false">IF(B99="PRODUKSI",Pemetaan!$B$5,Pemetaan!$B$6)</f>
        <v>5</v>
      </c>
      <c r="G99" s="0" t="n">
        <f aca="false">F99+2+D99</f>
        <v>10</v>
      </c>
      <c r="H99" s="0" t="n">
        <f aca="false">Pemetaan!$B$2+E99</f>
        <v>27</v>
      </c>
      <c r="I99" s="0" t="str">
        <f aca="false">INDEX(Laporan!$A$1:$AZ$300,G99,1)</f>
        <v>Water Treatment</v>
      </c>
      <c r="J99" s="0" t="str">
        <f aca="false">INDEX(Laporan!$A$1:$AZ$300,G99,2)</f>
        <v>330 ml</v>
      </c>
      <c r="K99" s="0" t="str">
        <f aca="false">INDEX(Laporan!$A$1:$AZ$300,G99,3)</f>
        <v>Shift 2</v>
      </c>
      <c r="L99" s="0" t="n">
        <f aca="false">INDEX(Laporan!$A$1:$AZ$300,G99,4)</f>
        <v>1</v>
      </c>
      <c r="M99" s="1" t="n">
        <f aca="false">DATE(Pemetaan!$B$1,VALUE(RIGHT(INDEX(Laporan!$A$1:$AZ$300,F99+1,H99),2)),VALUE(LEFT(INDEX(Laporan!$A$1:$AZ$300,F99+1,H99),2)))</f>
        <v>46113</v>
      </c>
      <c r="N99" s="0" t="n">
        <f aca="false">INDEX(Laporan!$A$1:$AZ$300,G99,H99)</f>
        <v>3507</v>
      </c>
      <c r="O99" s="0" t="n">
        <f aca="false">IF(N99="","",IFERROR(VALUE(SUBSTITUTE(SUBSTITUTE(N99," btl",""),".","")),""))</f>
        <v>3507</v>
      </c>
      <c r="P99" s="0" t="str">
        <f aca="false">IF(B99="PRODUKSI","produced","reject")</f>
        <v>produced</v>
      </c>
    </row>
    <row r="100" customFormat="false" ht="15" hidden="false" customHeight="false" outlineLevel="0" collapsed="false">
      <c r="A100" s="0" t="n">
        <v>99</v>
      </c>
      <c r="B100" s="0" t="str">
        <f aca="false">IF(A100&lt;=36*25,"PRODUKSI","REJECT")</f>
        <v>PRODUKSI</v>
      </c>
      <c r="C100" s="0" t="n">
        <f aca="false">MOD(A100-1,Pemetaan!$B$3*Pemetaan!$B$4)</f>
        <v>98</v>
      </c>
      <c r="D100" s="0" t="n">
        <f aca="false">INT(C100/Pemetaan!$B$4)</f>
        <v>3</v>
      </c>
      <c r="E100" s="0" t="n">
        <f aca="false">MOD(C100,Pemetaan!$B$4)</f>
        <v>23</v>
      </c>
      <c r="F100" s="0" t="n">
        <f aca="false">IF(B100="PRODUKSI",Pemetaan!$B$5,Pemetaan!$B$6)</f>
        <v>5</v>
      </c>
      <c r="G100" s="0" t="n">
        <f aca="false">F100+2+D100</f>
        <v>10</v>
      </c>
      <c r="H100" s="0" t="n">
        <f aca="false">Pemetaan!$B$2+E100</f>
        <v>28</v>
      </c>
      <c r="I100" s="0" t="str">
        <f aca="false">INDEX(Laporan!$A$1:$AZ$300,G100,1)</f>
        <v>Water Treatment</v>
      </c>
      <c r="J100" s="0" t="str">
        <f aca="false">INDEX(Laporan!$A$1:$AZ$300,G100,2)</f>
        <v>330 ml</v>
      </c>
      <c r="K100" s="0" t="str">
        <f aca="false">INDEX(Laporan!$A$1:$AZ$300,G100,3)</f>
        <v>Shift 2</v>
      </c>
      <c r="L100" s="0" t="n">
        <f aca="false">INDEX(Laporan!$A$1:$AZ$300,G100,4)</f>
        <v>1</v>
      </c>
      <c r="M100" s="1" t="n">
        <f aca="false">DATE(Pemetaan!$B$1,VALUE(RIGHT(INDEX(Laporan!$A$1:$AZ$300,F100+1,H100),2)),VALUE(LEFT(INDEX(Laporan!$A$1:$AZ$300,F100+1,H100),2)))</f>
        <v>46114</v>
      </c>
      <c r="N100" s="0" t="n">
        <f aca="false">INDEX(Laporan!$A$1:$AZ$300,G100,H100)</f>
        <v>2916</v>
      </c>
      <c r="O100" s="0" t="n">
        <f aca="false">IF(N100="","",IFERROR(VALUE(SUBSTITUTE(SUBSTITUTE(N100," btl",""),".","")),""))</f>
        <v>2916</v>
      </c>
      <c r="P100" s="0" t="str">
        <f aca="false">IF(B100="PRODUKSI","produced","reject")</f>
        <v>produced</v>
      </c>
    </row>
    <row r="101" customFormat="false" ht="15" hidden="false" customHeight="false" outlineLevel="0" collapsed="false">
      <c r="A101" s="0" t="n">
        <v>100</v>
      </c>
      <c r="B101" s="0" t="str">
        <f aca="false">IF(A101&lt;=36*25,"PRODUKSI","REJECT")</f>
        <v>PRODUKSI</v>
      </c>
      <c r="C101" s="0" t="n">
        <f aca="false">MOD(A101-1,Pemetaan!$B$3*Pemetaan!$B$4)</f>
        <v>99</v>
      </c>
      <c r="D101" s="0" t="n">
        <f aca="false">INT(C101/Pemetaan!$B$4)</f>
        <v>3</v>
      </c>
      <c r="E101" s="0" t="n">
        <f aca="false">MOD(C101,Pemetaan!$B$4)</f>
        <v>24</v>
      </c>
      <c r="F101" s="0" t="n">
        <f aca="false">IF(B101="PRODUKSI",Pemetaan!$B$5,Pemetaan!$B$6)</f>
        <v>5</v>
      </c>
      <c r="G101" s="0" t="n">
        <f aca="false">F101+2+D101</f>
        <v>10</v>
      </c>
      <c r="H101" s="0" t="n">
        <f aca="false">Pemetaan!$B$2+E101</f>
        <v>29</v>
      </c>
      <c r="I101" s="0" t="str">
        <f aca="false">INDEX(Laporan!$A$1:$AZ$300,G101,1)</f>
        <v>Water Treatment</v>
      </c>
      <c r="J101" s="0" t="str">
        <f aca="false">INDEX(Laporan!$A$1:$AZ$300,G101,2)</f>
        <v>330 ml</v>
      </c>
      <c r="K101" s="0" t="str">
        <f aca="false">INDEX(Laporan!$A$1:$AZ$300,G101,3)</f>
        <v>Shift 2</v>
      </c>
      <c r="L101" s="0" t="n">
        <f aca="false">INDEX(Laporan!$A$1:$AZ$300,G101,4)</f>
        <v>1</v>
      </c>
      <c r="M101" s="1" t="n">
        <f aca="false">DATE(Pemetaan!$B$1,VALUE(RIGHT(INDEX(Laporan!$A$1:$AZ$300,F101+1,H101),2)),VALUE(LEFT(INDEX(Laporan!$A$1:$AZ$300,F101+1,H101),2)))</f>
        <v>46115</v>
      </c>
      <c r="N101" s="0" t="n">
        <f aca="false">INDEX(Laporan!$A$1:$AZ$300,G101,H101)</f>
        <v>3145</v>
      </c>
      <c r="O101" s="0" t="n">
        <f aca="false">IF(N101="","",IFERROR(VALUE(SUBSTITUTE(SUBSTITUTE(N101," btl",""),".","")),""))</f>
        <v>3145</v>
      </c>
      <c r="P101" s="0" t="str">
        <f aca="false">IF(B101="PRODUKSI","produced","reject")</f>
        <v>produced</v>
      </c>
    </row>
    <row r="102" customFormat="false" ht="15" hidden="false" customHeight="false" outlineLevel="0" collapsed="false">
      <c r="A102" s="0" t="n">
        <v>101</v>
      </c>
      <c r="B102" s="0" t="str">
        <f aca="false">IF(A102&lt;=36*25,"PRODUKSI","REJECT")</f>
        <v>PRODUKSI</v>
      </c>
      <c r="C102" s="0" t="n">
        <f aca="false">MOD(A102-1,Pemetaan!$B$3*Pemetaan!$B$4)</f>
        <v>100</v>
      </c>
      <c r="D102" s="0" t="n">
        <f aca="false">INT(C102/Pemetaan!$B$4)</f>
        <v>4</v>
      </c>
      <c r="E102" s="0" t="n">
        <f aca="false">MOD(C102,Pemetaan!$B$4)</f>
        <v>0</v>
      </c>
      <c r="F102" s="0" t="n">
        <f aca="false">IF(B102="PRODUKSI",Pemetaan!$B$5,Pemetaan!$B$6)</f>
        <v>5</v>
      </c>
      <c r="G102" s="0" t="n">
        <f aca="false">F102+2+D102</f>
        <v>11</v>
      </c>
      <c r="H102" s="0" t="n">
        <f aca="false">Pemetaan!$B$2+E102</f>
        <v>5</v>
      </c>
      <c r="I102" s="0" t="str">
        <f aca="false">INDEX(Laporan!$A$1:$AZ$300,G102,1)</f>
        <v>Water Treatment</v>
      </c>
      <c r="J102" s="0" t="str">
        <f aca="false">INDEX(Laporan!$A$1:$AZ$300,G102,2)</f>
        <v>330 ml</v>
      </c>
      <c r="K102" s="0" t="str">
        <f aca="false">INDEX(Laporan!$A$1:$AZ$300,G102,3)</f>
        <v>Shift 2</v>
      </c>
      <c r="L102" s="0" t="n">
        <f aca="false">INDEX(Laporan!$A$1:$AZ$300,G102,4)</f>
        <v>2</v>
      </c>
      <c r="M102" s="1" t="n">
        <f aca="false">DATE(Pemetaan!$B$1,VALUE(RIGHT(INDEX(Laporan!$A$1:$AZ$300,F102+1,H102),2)),VALUE(LEFT(INDEX(Laporan!$A$1:$AZ$300,F102+1,H102),2)))</f>
        <v>46083</v>
      </c>
      <c r="N102" s="0" t="n">
        <f aca="false">INDEX(Laporan!$A$1:$AZ$300,G102,H102)</f>
        <v>3017</v>
      </c>
      <c r="O102" s="0" t="n">
        <f aca="false">IF(N102="","",IFERROR(VALUE(SUBSTITUTE(SUBSTITUTE(N102," btl",""),".","")),""))</f>
        <v>3017</v>
      </c>
      <c r="P102" s="0" t="str">
        <f aca="false">IF(B102="PRODUKSI","produced","reject")</f>
        <v>produced</v>
      </c>
    </row>
    <row r="103" customFormat="false" ht="15" hidden="false" customHeight="false" outlineLevel="0" collapsed="false">
      <c r="A103" s="0" t="n">
        <v>102</v>
      </c>
      <c r="B103" s="0" t="str">
        <f aca="false">IF(A103&lt;=36*25,"PRODUKSI","REJECT")</f>
        <v>PRODUKSI</v>
      </c>
      <c r="C103" s="0" t="n">
        <f aca="false">MOD(A103-1,Pemetaan!$B$3*Pemetaan!$B$4)</f>
        <v>101</v>
      </c>
      <c r="D103" s="0" t="n">
        <f aca="false">INT(C103/Pemetaan!$B$4)</f>
        <v>4</v>
      </c>
      <c r="E103" s="0" t="n">
        <f aca="false">MOD(C103,Pemetaan!$B$4)</f>
        <v>1</v>
      </c>
      <c r="F103" s="0" t="n">
        <f aca="false">IF(B103="PRODUKSI",Pemetaan!$B$5,Pemetaan!$B$6)</f>
        <v>5</v>
      </c>
      <c r="G103" s="0" t="n">
        <f aca="false">F103+2+D103</f>
        <v>11</v>
      </c>
      <c r="H103" s="0" t="n">
        <f aca="false">Pemetaan!$B$2+E103</f>
        <v>6</v>
      </c>
      <c r="I103" s="0" t="str">
        <f aca="false">INDEX(Laporan!$A$1:$AZ$300,G103,1)</f>
        <v>Water Treatment</v>
      </c>
      <c r="J103" s="0" t="str">
        <f aca="false">INDEX(Laporan!$A$1:$AZ$300,G103,2)</f>
        <v>330 ml</v>
      </c>
      <c r="K103" s="0" t="str">
        <f aca="false">INDEX(Laporan!$A$1:$AZ$300,G103,3)</f>
        <v>Shift 2</v>
      </c>
      <c r="L103" s="0" t="n">
        <f aca="false">INDEX(Laporan!$A$1:$AZ$300,G103,4)</f>
        <v>2</v>
      </c>
      <c r="M103" s="1" t="n">
        <f aca="false">DATE(Pemetaan!$B$1,VALUE(RIGHT(INDEX(Laporan!$A$1:$AZ$300,F103+1,H103),2)),VALUE(LEFT(INDEX(Laporan!$A$1:$AZ$300,F103+1,H103),2)))</f>
        <v>46084</v>
      </c>
      <c r="N103" s="0" t="n">
        <f aca="false">INDEX(Laporan!$A$1:$AZ$300,G103,H103)</f>
        <v>3308</v>
      </c>
      <c r="O103" s="0" t="n">
        <f aca="false">IF(N103="","",IFERROR(VALUE(SUBSTITUTE(SUBSTITUTE(N103," btl",""),".","")),""))</f>
        <v>3308</v>
      </c>
      <c r="P103" s="0" t="str">
        <f aca="false">IF(B103="PRODUKSI","produced","reject")</f>
        <v>produced</v>
      </c>
    </row>
    <row r="104" customFormat="false" ht="15" hidden="false" customHeight="false" outlineLevel="0" collapsed="false">
      <c r="A104" s="0" t="n">
        <v>103</v>
      </c>
      <c r="B104" s="0" t="str">
        <f aca="false">IF(A104&lt;=36*25,"PRODUKSI","REJECT")</f>
        <v>PRODUKSI</v>
      </c>
      <c r="C104" s="0" t="n">
        <f aca="false">MOD(A104-1,Pemetaan!$B$3*Pemetaan!$B$4)</f>
        <v>102</v>
      </c>
      <c r="D104" s="0" t="n">
        <f aca="false">INT(C104/Pemetaan!$B$4)</f>
        <v>4</v>
      </c>
      <c r="E104" s="0" t="n">
        <f aca="false">MOD(C104,Pemetaan!$B$4)</f>
        <v>2</v>
      </c>
      <c r="F104" s="0" t="n">
        <f aca="false">IF(B104="PRODUKSI",Pemetaan!$B$5,Pemetaan!$B$6)</f>
        <v>5</v>
      </c>
      <c r="G104" s="0" t="n">
        <f aca="false">F104+2+D104</f>
        <v>11</v>
      </c>
      <c r="H104" s="0" t="n">
        <f aca="false">Pemetaan!$B$2+E104</f>
        <v>7</v>
      </c>
      <c r="I104" s="0" t="str">
        <f aca="false">INDEX(Laporan!$A$1:$AZ$300,G104,1)</f>
        <v>Water Treatment</v>
      </c>
      <c r="J104" s="0" t="str">
        <f aca="false">INDEX(Laporan!$A$1:$AZ$300,G104,2)</f>
        <v>330 ml</v>
      </c>
      <c r="K104" s="0" t="str">
        <f aca="false">INDEX(Laporan!$A$1:$AZ$300,G104,3)</f>
        <v>Shift 2</v>
      </c>
      <c r="L104" s="0" t="n">
        <f aca="false">INDEX(Laporan!$A$1:$AZ$300,G104,4)</f>
        <v>2</v>
      </c>
      <c r="M104" s="1" t="n">
        <f aca="false">DATE(Pemetaan!$B$1,VALUE(RIGHT(INDEX(Laporan!$A$1:$AZ$300,F104+1,H104),2)),VALUE(LEFT(INDEX(Laporan!$A$1:$AZ$300,F104+1,H104),2)))</f>
        <v>46085</v>
      </c>
      <c r="N104" s="0" t="n">
        <f aca="false">INDEX(Laporan!$A$1:$AZ$300,G104,H104)</f>
        <v>2780</v>
      </c>
      <c r="O104" s="0" t="n">
        <f aca="false">IF(N104="","",IFERROR(VALUE(SUBSTITUTE(SUBSTITUTE(N104," btl",""),".","")),""))</f>
        <v>2780</v>
      </c>
      <c r="P104" s="0" t="str">
        <f aca="false">IF(B104="PRODUKSI","produced","reject")</f>
        <v>produced</v>
      </c>
    </row>
    <row r="105" customFormat="false" ht="15" hidden="false" customHeight="false" outlineLevel="0" collapsed="false">
      <c r="A105" s="0" t="n">
        <v>104</v>
      </c>
      <c r="B105" s="0" t="str">
        <f aca="false">IF(A105&lt;=36*25,"PRODUKSI","REJECT")</f>
        <v>PRODUKSI</v>
      </c>
      <c r="C105" s="0" t="n">
        <f aca="false">MOD(A105-1,Pemetaan!$B$3*Pemetaan!$B$4)</f>
        <v>103</v>
      </c>
      <c r="D105" s="0" t="n">
        <f aca="false">INT(C105/Pemetaan!$B$4)</f>
        <v>4</v>
      </c>
      <c r="E105" s="0" t="n">
        <f aca="false">MOD(C105,Pemetaan!$B$4)</f>
        <v>3</v>
      </c>
      <c r="F105" s="0" t="n">
        <f aca="false">IF(B105="PRODUKSI",Pemetaan!$B$5,Pemetaan!$B$6)</f>
        <v>5</v>
      </c>
      <c r="G105" s="0" t="n">
        <f aca="false">F105+2+D105</f>
        <v>11</v>
      </c>
      <c r="H105" s="0" t="n">
        <f aca="false">Pemetaan!$B$2+E105</f>
        <v>8</v>
      </c>
      <c r="I105" s="0" t="str">
        <f aca="false">INDEX(Laporan!$A$1:$AZ$300,G105,1)</f>
        <v>Water Treatment</v>
      </c>
      <c r="J105" s="0" t="str">
        <f aca="false">INDEX(Laporan!$A$1:$AZ$300,G105,2)</f>
        <v>330 ml</v>
      </c>
      <c r="K105" s="0" t="str">
        <f aca="false">INDEX(Laporan!$A$1:$AZ$300,G105,3)</f>
        <v>Shift 2</v>
      </c>
      <c r="L105" s="0" t="n">
        <f aca="false">INDEX(Laporan!$A$1:$AZ$300,G105,4)</f>
        <v>2</v>
      </c>
      <c r="M105" s="1" t="n">
        <f aca="false">DATE(Pemetaan!$B$1,VALUE(RIGHT(INDEX(Laporan!$A$1:$AZ$300,F105+1,H105),2)),VALUE(LEFT(INDEX(Laporan!$A$1:$AZ$300,F105+1,H105),2)))</f>
        <v>46086</v>
      </c>
      <c r="N105" s="0" t="n">
        <f aca="false">INDEX(Laporan!$A$1:$AZ$300,G105,H105)</f>
        <v>3435</v>
      </c>
      <c r="O105" s="0" t="n">
        <f aca="false">IF(N105="","",IFERROR(VALUE(SUBSTITUTE(SUBSTITUTE(N105," btl",""),".","")),""))</f>
        <v>3435</v>
      </c>
      <c r="P105" s="0" t="str">
        <f aca="false">IF(B105="PRODUKSI","produced","reject")</f>
        <v>produced</v>
      </c>
    </row>
    <row r="106" customFormat="false" ht="15" hidden="false" customHeight="false" outlineLevel="0" collapsed="false">
      <c r="A106" s="0" t="n">
        <v>105</v>
      </c>
      <c r="B106" s="0" t="str">
        <f aca="false">IF(A106&lt;=36*25,"PRODUKSI","REJECT")</f>
        <v>PRODUKSI</v>
      </c>
      <c r="C106" s="0" t="n">
        <f aca="false">MOD(A106-1,Pemetaan!$B$3*Pemetaan!$B$4)</f>
        <v>104</v>
      </c>
      <c r="D106" s="0" t="n">
        <f aca="false">INT(C106/Pemetaan!$B$4)</f>
        <v>4</v>
      </c>
      <c r="E106" s="0" t="n">
        <f aca="false">MOD(C106,Pemetaan!$B$4)</f>
        <v>4</v>
      </c>
      <c r="F106" s="0" t="n">
        <f aca="false">IF(B106="PRODUKSI",Pemetaan!$B$5,Pemetaan!$B$6)</f>
        <v>5</v>
      </c>
      <c r="G106" s="0" t="n">
        <f aca="false">F106+2+D106</f>
        <v>11</v>
      </c>
      <c r="H106" s="0" t="n">
        <f aca="false">Pemetaan!$B$2+E106</f>
        <v>9</v>
      </c>
      <c r="I106" s="0" t="str">
        <f aca="false">INDEX(Laporan!$A$1:$AZ$300,G106,1)</f>
        <v>Water Treatment</v>
      </c>
      <c r="J106" s="0" t="str">
        <f aca="false">INDEX(Laporan!$A$1:$AZ$300,G106,2)</f>
        <v>330 ml</v>
      </c>
      <c r="K106" s="0" t="str">
        <f aca="false">INDEX(Laporan!$A$1:$AZ$300,G106,3)</f>
        <v>Shift 2</v>
      </c>
      <c r="L106" s="0" t="n">
        <f aca="false">INDEX(Laporan!$A$1:$AZ$300,G106,4)</f>
        <v>2</v>
      </c>
      <c r="M106" s="1" t="n">
        <f aca="false">DATE(Pemetaan!$B$1,VALUE(RIGHT(INDEX(Laporan!$A$1:$AZ$300,F106+1,H106),2)),VALUE(LEFT(INDEX(Laporan!$A$1:$AZ$300,F106+1,H106),2)))</f>
        <v>46087</v>
      </c>
      <c r="N106" s="0" t="n">
        <f aca="false">INDEX(Laporan!$A$1:$AZ$300,G106,H106)</f>
        <v>3166</v>
      </c>
      <c r="O106" s="0" t="n">
        <f aca="false">IF(N106="","",IFERROR(VALUE(SUBSTITUTE(SUBSTITUTE(N106," btl",""),".","")),""))</f>
        <v>3166</v>
      </c>
      <c r="P106" s="0" t="str">
        <f aca="false">IF(B106="PRODUKSI","produced","reject")</f>
        <v>produced</v>
      </c>
    </row>
    <row r="107" customFormat="false" ht="15" hidden="false" customHeight="false" outlineLevel="0" collapsed="false">
      <c r="A107" s="0" t="n">
        <v>106</v>
      </c>
      <c r="B107" s="0" t="str">
        <f aca="false">IF(A107&lt;=36*25,"PRODUKSI","REJECT")</f>
        <v>PRODUKSI</v>
      </c>
      <c r="C107" s="0" t="n">
        <f aca="false">MOD(A107-1,Pemetaan!$B$3*Pemetaan!$B$4)</f>
        <v>105</v>
      </c>
      <c r="D107" s="0" t="n">
        <f aca="false">INT(C107/Pemetaan!$B$4)</f>
        <v>4</v>
      </c>
      <c r="E107" s="0" t="n">
        <f aca="false">MOD(C107,Pemetaan!$B$4)</f>
        <v>5</v>
      </c>
      <c r="F107" s="0" t="n">
        <f aca="false">IF(B107="PRODUKSI",Pemetaan!$B$5,Pemetaan!$B$6)</f>
        <v>5</v>
      </c>
      <c r="G107" s="0" t="n">
        <f aca="false">F107+2+D107</f>
        <v>11</v>
      </c>
      <c r="H107" s="0" t="n">
        <f aca="false">Pemetaan!$B$2+E107</f>
        <v>10</v>
      </c>
      <c r="I107" s="0" t="str">
        <f aca="false">INDEX(Laporan!$A$1:$AZ$300,G107,1)</f>
        <v>Water Treatment</v>
      </c>
      <c r="J107" s="0" t="str">
        <f aca="false">INDEX(Laporan!$A$1:$AZ$300,G107,2)</f>
        <v>330 ml</v>
      </c>
      <c r="K107" s="0" t="str">
        <f aca="false">INDEX(Laporan!$A$1:$AZ$300,G107,3)</f>
        <v>Shift 2</v>
      </c>
      <c r="L107" s="0" t="n">
        <f aca="false">INDEX(Laporan!$A$1:$AZ$300,G107,4)</f>
        <v>2</v>
      </c>
      <c r="M107" s="1" t="n">
        <f aca="false">DATE(Pemetaan!$B$1,VALUE(RIGHT(INDEX(Laporan!$A$1:$AZ$300,F107+1,H107),2)),VALUE(LEFT(INDEX(Laporan!$A$1:$AZ$300,F107+1,H107),2)))</f>
        <v>46090</v>
      </c>
      <c r="N107" s="0" t="n">
        <f aca="false">INDEX(Laporan!$A$1:$AZ$300,G107,H107)</f>
        <v>3107</v>
      </c>
      <c r="O107" s="0" t="n">
        <f aca="false">IF(N107="","",IFERROR(VALUE(SUBSTITUTE(SUBSTITUTE(N107," btl",""),".","")),""))</f>
        <v>3107</v>
      </c>
      <c r="P107" s="0" t="str">
        <f aca="false">IF(B107="PRODUKSI","produced","reject")</f>
        <v>produced</v>
      </c>
    </row>
    <row r="108" customFormat="false" ht="15" hidden="false" customHeight="false" outlineLevel="0" collapsed="false">
      <c r="A108" s="0" t="n">
        <v>107</v>
      </c>
      <c r="B108" s="0" t="str">
        <f aca="false">IF(A108&lt;=36*25,"PRODUKSI","REJECT")</f>
        <v>PRODUKSI</v>
      </c>
      <c r="C108" s="0" t="n">
        <f aca="false">MOD(A108-1,Pemetaan!$B$3*Pemetaan!$B$4)</f>
        <v>106</v>
      </c>
      <c r="D108" s="0" t="n">
        <f aca="false">INT(C108/Pemetaan!$B$4)</f>
        <v>4</v>
      </c>
      <c r="E108" s="0" t="n">
        <f aca="false">MOD(C108,Pemetaan!$B$4)</f>
        <v>6</v>
      </c>
      <c r="F108" s="0" t="n">
        <f aca="false">IF(B108="PRODUKSI",Pemetaan!$B$5,Pemetaan!$B$6)</f>
        <v>5</v>
      </c>
      <c r="G108" s="0" t="n">
        <f aca="false">F108+2+D108</f>
        <v>11</v>
      </c>
      <c r="H108" s="0" t="n">
        <f aca="false">Pemetaan!$B$2+E108</f>
        <v>11</v>
      </c>
      <c r="I108" s="0" t="str">
        <f aca="false">INDEX(Laporan!$A$1:$AZ$300,G108,1)</f>
        <v>Water Treatment</v>
      </c>
      <c r="J108" s="0" t="str">
        <f aca="false">INDEX(Laporan!$A$1:$AZ$300,G108,2)</f>
        <v>330 ml</v>
      </c>
      <c r="K108" s="0" t="str">
        <f aca="false">INDEX(Laporan!$A$1:$AZ$300,G108,3)</f>
        <v>Shift 2</v>
      </c>
      <c r="L108" s="0" t="n">
        <f aca="false">INDEX(Laporan!$A$1:$AZ$300,G108,4)</f>
        <v>2</v>
      </c>
      <c r="M108" s="1" t="n">
        <f aca="false">DATE(Pemetaan!$B$1,VALUE(RIGHT(INDEX(Laporan!$A$1:$AZ$300,F108+1,H108),2)),VALUE(LEFT(INDEX(Laporan!$A$1:$AZ$300,F108+1,H108),2)))</f>
        <v>46091</v>
      </c>
      <c r="N108" s="0" t="n">
        <f aca="false">INDEX(Laporan!$A$1:$AZ$300,G108,H108)</f>
        <v>3180</v>
      </c>
      <c r="O108" s="0" t="n">
        <f aca="false">IF(N108="","",IFERROR(VALUE(SUBSTITUTE(SUBSTITUTE(N108," btl",""),".","")),""))</f>
        <v>3180</v>
      </c>
      <c r="P108" s="0" t="str">
        <f aca="false">IF(B108="PRODUKSI","produced","reject")</f>
        <v>produced</v>
      </c>
    </row>
    <row r="109" customFormat="false" ht="15" hidden="false" customHeight="false" outlineLevel="0" collapsed="false">
      <c r="A109" s="0" t="n">
        <v>108</v>
      </c>
      <c r="B109" s="0" t="str">
        <f aca="false">IF(A109&lt;=36*25,"PRODUKSI","REJECT")</f>
        <v>PRODUKSI</v>
      </c>
      <c r="C109" s="0" t="n">
        <f aca="false">MOD(A109-1,Pemetaan!$B$3*Pemetaan!$B$4)</f>
        <v>107</v>
      </c>
      <c r="D109" s="0" t="n">
        <f aca="false">INT(C109/Pemetaan!$B$4)</f>
        <v>4</v>
      </c>
      <c r="E109" s="0" t="n">
        <f aca="false">MOD(C109,Pemetaan!$B$4)</f>
        <v>7</v>
      </c>
      <c r="F109" s="0" t="n">
        <f aca="false">IF(B109="PRODUKSI",Pemetaan!$B$5,Pemetaan!$B$6)</f>
        <v>5</v>
      </c>
      <c r="G109" s="0" t="n">
        <f aca="false">F109+2+D109</f>
        <v>11</v>
      </c>
      <c r="H109" s="0" t="n">
        <f aca="false">Pemetaan!$B$2+E109</f>
        <v>12</v>
      </c>
      <c r="I109" s="0" t="str">
        <f aca="false">INDEX(Laporan!$A$1:$AZ$300,G109,1)</f>
        <v>Water Treatment</v>
      </c>
      <c r="J109" s="0" t="str">
        <f aca="false">INDEX(Laporan!$A$1:$AZ$300,G109,2)</f>
        <v>330 ml</v>
      </c>
      <c r="K109" s="0" t="str">
        <f aca="false">INDEX(Laporan!$A$1:$AZ$300,G109,3)</f>
        <v>Shift 2</v>
      </c>
      <c r="L109" s="0" t="n">
        <f aca="false">INDEX(Laporan!$A$1:$AZ$300,G109,4)</f>
        <v>2</v>
      </c>
      <c r="M109" s="1" t="n">
        <f aca="false">DATE(Pemetaan!$B$1,VALUE(RIGHT(INDEX(Laporan!$A$1:$AZ$300,F109+1,H109),2)),VALUE(LEFT(INDEX(Laporan!$A$1:$AZ$300,F109+1,H109),2)))</f>
        <v>46092</v>
      </c>
      <c r="N109" s="0" t="n">
        <f aca="false">INDEX(Laporan!$A$1:$AZ$300,G109,H109)</f>
        <v>3365</v>
      </c>
      <c r="O109" s="0" t="n">
        <f aca="false">IF(N109="","",IFERROR(VALUE(SUBSTITUTE(SUBSTITUTE(N109," btl",""),".","")),""))</f>
        <v>3365</v>
      </c>
      <c r="P109" s="0" t="str">
        <f aca="false">IF(B109="PRODUKSI","produced","reject")</f>
        <v>produced</v>
      </c>
    </row>
    <row r="110" customFormat="false" ht="15" hidden="false" customHeight="false" outlineLevel="0" collapsed="false">
      <c r="A110" s="0" t="n">
        <v>109</v>
      </c>
      <c r="B110" s="0" t="str">
        <f aca="false">IF(A110&lt;=36*25,"PRODUKSI","REJECT")</f>
        <v>PRODUKSI</v>
      </c>
      <c r="C110" s="0" t="n">
        <f aca="false">MOD(A110-1,Pemetaan!$B$3*Pemetaan!$B$4)</f>
        <v>108</v>
      </c>
      <c r="D110" s="0" t="n">
        <f aca="false">INT(C110/Pemetaan!$B$4)</f>
        <v>4</v>
      </c>
      <c r="E110" s="0" t="n">
        <f aca="false">MOD(C110,Pemetaan!$B$4)</f>
        <v>8</v>
      </c>
      <c r="F110" s="0" t="n">
        <f aca="false">IF(B110="PRODUKSI",Pemetaan!$B$5,Pemetaan!$B$6)</f>
        <v>5</v>
      </c>
      <c r="G110" s="0" t="n">
        <f aca="false">F110+2+D110</f>
        <v>11</v>
      </c>
      <c r="H110" s="0" t="n">
        <f aca="false">Pemetaan!$B$2+E110</f>
        <v>13</v>
      </c>
      <c r="I110" s="0" t="str">
        <f aca="false">INDEX(Laporan!$A$1:$AZ$300,G110,1)</f>
        <v>Water Treatment</v>
      </c>
      <c r="J110" s="0" t="str">
        <f aca="false">INDEX(Laporan!$A$1:$AZ$300,G110,2)</f>
        <v>330 ml</v>
      </c>
      <c r="K110" s="0" t="str">
        <f aca="false">INDEX(Laporan!$A$1:$AZ$300,G110,3)</f>
        <v>Shift 2</v>
      </c>
      <c r="L110" s="0" t="n">
        <f aca="false">INDEX(Laporan!$A$1:$AZ$300,G110,4)</f>
        <v>2</v>
      </c>
      <c r="M110" s="1" t="n">
        <f aca="false">DATE(Pemetaan!$B$1,VALUE(RIGHT(INDEX(Laporan!$A$1:$AZ$300,F110+1,H110),2)),VALUE(LEFT(INDEX(Laporan!$A$1:$AZ$300,F110+1,H110),2)))</f>
        <v>46093</v>
      </c>
      <c r="N110" s="0" t="n">
        <f aca="false">INDEX(Laporan!$A$1:$AZ$300,G110,H110)</f>
        <v>3512</v>
      </c>
      <c r="O110" s="0" t="n">
        <f aca="false">IF(N110="","",IFERROR(VALUE(SUBSTITUTE(SUBSTITUTE(N110," btl",""),".","")),""))</f>
        <v>3512</v>
      </c>
      <c r="P110" s="0" t="str">
        <f aca="false">IF(B110="PRODUKSI","produced","reject")</f>
        <v>produced</v>
      </c>
    </row>
    <row r="111" customFormat="false" ht="15" hidden="false" customHeight="false" outlineLevel="0" collapsed="false">
      <c r="A111" s="0" t="n">
        <v>110</v>
      </c>
      <c r="B111" s="0" t="str">
        <f aca="false">IF(A111&lt;=36*25,"PRODUKSI","REJECT")</f>
        <v>PRODUKSI</v>
      </c>
      <c r="C111" s="0" t="n">
        <f aca="false">MOD(A111-1,Pemetaan!$B$3*Pemetaan!$B$4)</f>
        <v>109</v>
      </c>
      <c r="D111" s="0" t="n">
        <f aca="false">INT(C111/Pemetaan!$B$4)</f>
        <v>4</v>
      </c>
      <c r="E111" s="0" t="n">
        <f aca="false">MOD(C111,Pemetaan!$B$4)</f>
        <v>9</v>
      </c>
      <c r="F111" s="0" t="n">
        <f aca="false">IF(B111="PRODUKSI",Pemetaan!$B$5,Pemetaan!$B$6)</f>
        <v>5</v>
      </c>
      <c r="G111" s="0" t="n">
        <f aca="false">F111+2+D111</f>
        <v>11</v>
      </c>
      <c r="H111" s="0" t="n">
        <f aca="false">Pemetaan!$B$2+E111</f>
        <v>14</v>
      </c>
      <c r="I111" s="0" t="str">
        <f aca="false">INDEX(Laporan!$A$1:$AZ$300,G111,1)</f>
        <v>Water Treatment</v>
      </c>
      <c r="J111" s="0" t="str">
        <f aca="false">INDEX(Laporan!$A$1:$AZ$300,G111,2)</f>
        <v>330 ml</v>
      </c>
      <c r="K111" s="0" t="str">
        <f aca="false">INDEX(Laporan!$A$1:$AZ$300,G111,3)</f>
        <v>Shift 2</v>
      </c>
      <c r="L111" s="0" t="n">
        <f aca="false">INDEX(Laporan!$A$1:$AZ$300,G111,4)</f>
        <v>2</v>
      </c>
      <c r="M111" s="1" t="n">
        <f aca="false">DATE(Pemetaan!$B$1,VALUE(RIGHT(INDEX(Laporan!$A$1:$AZ$300,F111+1,H111),2)),VALUE(LEFT(INDEX(Laporan!$A$1:$AZ$300,F111+1,H111),2)))</f>
        <v>46094</v>
      </c>
      <c r="N111" s="0" t="n">
        <f aca="false">INDEX(Laporan!$A$1:$AZ$300,G111,H111)</f>
        <v>2963</v>
      </c>
      <c r="O111" s="0" t="n">
        <f aca="false">IF(N111="","",IFERROR(VALUE(SUBSTITUTE(SUBSTITUTE(N111," btl",""),".","")),""))</f>
        <v>2963</v>
      </c>
      <c r="P111" s="0" t="str">
        <f aca="false">IF(B111="PRODUKSI","produced","reject")</f>
        <v>produced</v>
      </c>
    </row>
    <row r="112" customFormat="false" ht="15" hidden="false" customHeight="false" outlineLevel="0" collapsed="false">
      <c r="A112" s="0" t="n">
        <v>111</v>
      </c>
      <c r="B112" s="0" t="str">
        <f aca="false">IF(A112&lt;=36*25,"PRODUKSI","REJECT")</f>
        <v>PRODUKSI</v>
      </c>
      <c r="C112" s="0" t="n">
        <f aca="false">MOD(A112-1,Pemetaan!$B$3*Pemetaan!$B$4)</f>
        <v>110</v>
      </c>
      <c r="D112" s="0" t="n">
        <f aca="false">INT(C112/Pemetaan!$B$4)</f>
        <v>4</v>
      </c>
      <c r="E112" s="0" t="n">
        <f aca="false">MOD(C112,Pemetaan!$B$4)</f>
        <v>10</v>
      </c>
      <c r="F112" s="0" t="n">
        <f aca="false">IF(B112="PRODUKSI",Pemetaan!$B$5,Pemetaan!$B$6)</f>
        <v>5</v>
      </c>
      <c r="G112" s="0" t="n">
        <f aca="false">F112+2+D112</f>
        <v>11</v>
      </c>
      <c r="H112" s="0" t="n">
        <f aca="false">Pemetaan!$B$2+E112</f>
        <v>15</v>
      </c>
      <c r="I112" s="0" t="str">
        <f aca="false">INDEX(Laporan!$A$1:$AZ$300,G112,1)</f>
        <v>Water Treatment</v>
      </c>
      <c r="J112" s="0" t="str">
        <f aca="false">INDEX(Laporan!$A$1:$AZ$300,G112,2)</f>
        <v>330 ml</v>
      </c>
      <c r="K112" s="0" t="str">
        <f aca="false">INDEX(Laporan!$A$1:$AZ$300,G112,3)</f>
        <v>Shift 2</v>
      </c>
      <c r="L112" s="0" t="n">
        <f aca="false">INDEX(Laporan!$A$1:$AZ$300,G112,4)</f>
        <v>2</v>
      </c>
      <c r="M112" s="1" t="n">
        <f aca="false">DATE(Pemetaan!$B$1,VALUE(RIGHT(INDEX(Laporan!$A$1:$AZ$300,F112+1,H112),2)),VALUE(LEFT(INDEX(Laporan!$A$1:$AZ$300,F112+1,H112),2)))</f>
        <v>46097</v>
      </c>
      <c r="N112" s="0" t="n">
        <f aca="false">INDEX(Laporan!$A$1:$AZ$300,G112,H112)</f>
        <v>3205</v>
      </c>
      <c r="O112" s="0" t="n">
        <f aca="false">IF(N112="","",IFERROR(VALUE(SUBSTITUTE(SUBSTITUTE(N112," btl",""),".","")),""))</f>
        <v>3205</v>
      </c>
      <c r="P112" s="0" t="str">
        <f aca="false">IF(B112="PRODUKSI","produced","reject")</f>
        <v>produced</v>
      </c>
    </row>
    <row r="113" customFormat="false" ht="15" hidden="false" customHeight="false" outlineLevel="0" collapsed="false">
      <c r="A113" s="0" t="n">
        <v>112</v>
      </c>
      <c r="B113" s="0" t="str">
        <f aca="false">IF(A113&lt;=36*25,"PRODUKSI","REJECT")</f>
        <v>PRODUKSI</v>
      </c>
      <c r="C113" s="0" t="n">
        <f aca="false">MOD(A113-1,Pemetaan!$B$3*Pemetaan!$B$4)</f>
        <v>111</v>
      </c>
      <c r="D113" s="0" t="n">
        <f aca="false">INT(C113/Pemetaan!$B$4)</f>
        <v>4</v>
      </c>
      <c r="E113" s="0" t="n">
        <f aca="false">MOD(C113,Pemetaan!$B$4)</f>
        <v>11</v>
      </c>
      <c r="F113" s="0" t="n">
        <f aca="false">IF(B113="PRODUKSI",Pemetaan!$B$5,Pemetaan!$B$6)</f>
        <v>5</v>
      </c>
      <c r="G113" s="0" t="n">
        <f aca="false">F113+2+D113</f>
        <v>11</v>
      </c>
      <c r="H113" s="0" t="n">
        <f aca="false">Pemetaan!$B$2+E113</f>
        <v>16</v>
      </c>
      <c r="I113" s="0" t="str">
        <f aca="false">INDEX(Laporan!$A$1:$AZ$300,G113,1)</f>
        <v>Water Treatment</v>
      </c>
      <c r="J113" s="0" t="str">
        <f aca="false">INDEX(Laporan!$A$1:$AZ$300,G113,2)</f>
        <v>330 ml</v>
      </c>
      <c r="K113" s="0" t="str">
        <f aca="false">INDEX(Laporan!$A$1:$AZ$300,G113,3)</f>
        <v>Shift 2</v>
      </c>
      <c r="L113" s="0" t="n">
        <f aca="false">INDEX(Laporan!$A$1:$AZ$300,G113,4)</f>
        <v>2</v>
      </c>
      <c r="M113" s="1" t="n">
        <f aca="false">DATE(Pemetaan!$B$1,VALUE(RIGHT(INDEX(Laporan!$A$1:$AZ$300,F113+1,H113),2)),VALUE(LEFT(INDEX(Laporan!$A$1:$AZ$300,F113+1,H113),2)))</f>
        <v>46098</v>
      </c>
      <c r="N113" s="0" t="n">
        <f aca="false">INDEX(Laporan!$A$1:$AZ$300,G113,H113)</f>
        <v>3048</v>
      </c>
      <c r="O113" s="0" t="n">
        <f aca="false">IF(N113="","",IFERROR(VALUE(SUBSTITUTE(SUBSTITUTE(N113," btl",""),".","")),""))</f>
        <v>3048</v>
      </c>
      <c r="P113" s="0" t="str">
        <f aca="false">IF(B113="PRODUKSI","produced","reject")</f>
        <v>produced</v>
      </c>
    </row>
    <row r="114" customFormat="false" ht="15" hidden="false" customHeight="false" outlineLevel="0" collapsed="false">
      <c r="A114" s="0" t="n">
        <v>113</v>
      </c>
      <c r="B114" s="0" t="str">
        <f aca="false">IF(A114&lt;=36*25,"PRODUKSI","REJECT")</f>
        <v>PRODUKSI</v>
      </c>
      <c r="C114" s="0" t="n">
        <f aca="false">MOD(A114-1,Pemetaan!$B$3*Pemetaan!$B$4)</f>
        <v>112</v>
      </c>
      <c r="D114" s="0" t="n">
        <f aca="false">INT(C114/Pemetaan!$B$4)</f>
        <v>4</v>
      </c>
      <c r="E114" s="0" t="n">
        <f aca="false">MOD(C114,Pemetaan!$B$4)</f>
        <v>12</v>
      </c>
      <c r="F114" s="0" t="n">
        <f aca="false">IF(B114="PRODUKSI",Pemetaan!$B$5,Pemetaan!$B$6)</f>
        <v>5</v>
      </c>
      <c r="G114" s="0" t="n">
        <f aca="false">F114+2+D114</f>
        <v>11</v>
      </c>
      <c r="H114" s="0" t="n">
        <f aca="false">Pemetaan!$B$2+E114</f>
        <v>17</v>
      </c>
      <c r="I114" s="0" t="str">
        <f aca="false">INDEX(Laporan!$A$1:$AZ$300,G114,1)</f>
        <v>Water Treatment</v>
      </c>
      <c r="J114" s="0" t="str">
        <f aca="false">INDEX(Laporan!$A$1:$AZ$300,G114,2)</f>
        <v>330 ml</v>
      </c>
      <c r="K114" s="0" t="str">
        <f aca="false">INDEX(Laporan!$A$1:$AZ$300,G114,3)</f>
        <v>Shift 2</v>
      </c>
      <c r="L114" s="0" t="n">
        <f aca="false">INDEX(Laporan!$A$1:$AZ$300,G114,4)</f>
        <v>2</v>
      </c>
      <c r="M114" s="1" t="n">
        <f aca="false">DATE(Pemetaan!$B$1,VALUE(RIGHT(INDEX(Laporan!$A$1:$AZ$300,F114+1,H114),2)),VALUE(LEFT(INDEX(Laporan!$A$1:$AZ$300,F114+1,H114),2)))</f>
        <v>46099</v>
      </c>
      <c r="N114" s="0" t="n">
        <f aca="false">INDEX(Laporan!$A$1:$AZ$300,G114,H114)</f>
        <v>2965</v>
      </c>
      <c r="O114" s="0" t="n">
        <f aca="false">IF(N114="","",IFERROR(VALUE(SUBSTITUTE(SUBSTITUTE(N114," btl",""),".","")),""))</f>
        <v>2965</v>
      </c>
      <c r="P114" s="0" t="str">
        <f aca="false">IF(B114="PRODUKSI","produced","reject")</f>
        <v>produced</v>
      </c>
    </row>
    <row r="115" customFormat="false" ht="15" hidden="false" customHeight="false" outlineLevel="0" collapsed="false">
      <c r="A115" s="0" t="n">
        <v>114</v>
      </c>
      <c r="B115" s="0" t="str">
        <f aca="false">IF(A115&lt;=36*25,"PRODUKSI","REJECT")</f>
        <v>PRODUKSI</v>
      </c>
      <c r="C115" s="0" t="n">
        <f aca="false">MOD(A115-1,Pemetaan!$B$3*Pemetaan!$B$4)</f>
        <v>113</v>
      </c>
      <c r="D115" s="0" t="n">
        <f aca="false">INT(C115/Pemetaan!$B$4)</f>
        <v>4</v>
      </c>
      <c r="E115" s="0" t="n">
        <f aca="false">MOD(C115,Pemetaan!$B$4)</f>
        <v>13</v>
      </c>
      <c r="F115" s="0" t="n">
        <f aca="false">IF(B115="PRODUKSI",Pemetaan!$B$5,Pemetaan!$B$6)</f>
        <v>5</v>
      </c>
      <c r="G115" s="0" t="n">
        <f aca="false">F115+2+D115</f>
        <v>11</v>
      </c>
      <c r="H115" s="0" t="n">
        <f aca="false">Pemetaan!$B$2+E115</f>
        <v>18</v>
      </c>
      <c r="I115" s="0" t="str">
        <f aca="false">INDEX(Laporan!$A$1:$AZ$300,G115,1)</f>
        <v>Water Treatment</v>
      </c>
      <c r="J115" s="0" t="str">
        <f aca="false">INDEX(Laporan!$A$1:$AZ$300,G115,2)</f>
        <v>330 ml</v>
      </c>
      <c r="K115" s="0" t="str">
        <f aca="false">INDEX(Laporan!$A$1:$AZ$300,G115,3)</f>
        <v>Shift 2</v>
      </c>
      <c r="L115" s="0" t="n">
        <f aca="false">INDEX(Laporan!$A$1:$AZ$300,G115,4)</f>
        <v>2</v>
      </c>
      <c r="M115" s="1" t="n">
        <f aca="false">DATE(Pemetaan!$B$1,VALUE(RIGHT(INDEX(Laporan!$A$1:$AZ$300,F115+1,H115),2)),VALUE(LEFT(INDEX(Laporan!$A$1:$AZ$300,F115+1,H115),2)))</f>
        <v>46100</v>
      </c>
      <c r="N115" s="0" t="n">
        <f aca="false">INDEX(Laporan!$A$1:$AZ$300,G115,H115)</f>
        <v>3161</v>
      </c>
      <c r="O115" s="0" t="n">
        <f aca="false">IF(N115="","",IFERROR(VALUE(SUBSTITUTE(SUBSTITUTE(N115," btl",""),".","")),""))</f>
        <v>3161</v>
      </c>
      <c r="P115" s="0" t="str">
        <f aca="false">IF(B115="PRODUKSI","produced","reject")</f>
        <v>produced</v>
      </c>
    </row>
    <row r="116" customFormat="false" ht="15" hidden="false" customHeight="false" outlineLevel="0" collapsed="false">
      <c r="A116" s="0" t="n">
        <v>115</v>
      </c>
      <c r="B116" s="0" t="str">
        <f aca="false">IF(A116&lt;=36*25,"PRODUKSI","REJECT")</f>
        <v>PRODUKSI</v>
      </c>
      <c r="C116" s="0" t="n">
        <f aca="false">MOD(A116-1,Pemetaan!$B$3*Pemetaan!$B$4)</f>
        <v>114</v>
      </c>
      <c r="D116" s="0" t="n">
        <f aca="false">INT(C116/Pemetaan!$B$4)</f>
        <v>4</v>
      </c>
      <c r="E116" s="0" t="n">
        <f aca="false">MOD(C116,Pemetaan!$B$4)</f>
        <v>14</v>
      </c>
      <c r="F116" s="0" t="n">
        <f aca="false">IF(B116="PRODUKSI",Pemetaan!$B$5,Pemetaan!$B$6)</f>
        <v>5</v>
      </c>
      <c r="G116" s="0" t="n">
        <f aca="false">F116+2+D116</f>
        <v>11</v>
      </c>
      <c r="H116" s="0" t="n">
        <f aca="false">Pemetaan!$B$2+E116</f>
        <v>19</v>
      </c>
      <c r="I116" s="0" t="str">
        <f aca="false">INDEX(Laporan!$A$1:$AZ$300,G116,1)</f>
        <v>Water Treatment</v>
      </c>
      <c r="J116" s="0" t="str">
        <f aca="false">INDEX(Laporan!$A$1:$AZ$300,G116,2)</f>
        <v>330 ml</v>
      </c>
      <c r="K116" s="0" t="str">
        <f aca="false">INDEX(Laporan!$A$1:$AZ$300,G116,3)</f>
        <v>Shift 2</v>
      </c>
      <c r="L116" s="0" t="n">
        <f aca="false">INDEX(Laporan!$A$1:$AZ$300,G116,4)</f>
        <v>2</v>
      </c>
      <c r="M116" s="1" t="n">
        <f aca="false">DATE(Pemetaan!$B$1,VALUE(RIGHT(INDEX(Laporan!$A$1:$AZ$300,F116+1,H116),2)),VALUE(LEFT(INDEX(Laporan!$A$1:$AZ$300,F116+1,H116),2)))</f>
        <v>46101</v>
      </c>
      <c r="N116" s="0" t="n">
        <f aca="false">INDEX(Laporan!$A$1:$AZ$300,G116,H116)</f>
        <v>3231</v>
      </c>
      <c r="O116" s="0" t="n">
        <f aca="false">IF(N116="","",IFERROR(VALUE(SUBSTITUTE(SUBSTITUTE(N116," btl",""),".","")),""))</f>
        <v>3231</v>
      </c>
      <c r="P116" s="0" t="str">
        <f aca="false">IF(B116="PRODUKSI","produced","reject")</f>
        <v>produced</v>
      </c>
    </row>
    <row r="117" customFormat="false" ht="15" hidden="false" customHeight="false" outlineLevel="0" collapsed="false">
      <c r="A117" s="0" t="n">
        <v>116</v>
      </c>
      <c r="B117" s="0" t="str">
        <f aca="false">IF(A117&lt;=36*25,"PRODUKSI","REJECT")</f>
        <v>PRODUKSI</v>
      </c>
      <c r="C117" s="0" t="n">
        <f aca="false">MOD(A117-1,Pemetaan!$B$3*Pemetaan!$B$4)</f>
        <v>115</v>
      </c>
      <c r="D117" s="0" t="n">
        <f aca="false">INT(C117/Pemetaan!$B$4)</f>
        <v>4</v>
      </c>
      <c r="E117" s="0" t="n">
        <f aca="false">MOD(C117,Pemetaan!$B$4)</f>
        <v>15</v>
      </c>
      <c r="F117" s="0" t="n">
        <f aca="false">IF(B117="PRODUKSI",Pemetaan!$B$5,Pemetaan!$B$6)</f>
        <v>5</v>
      </c>
      <c r="G117" s="0" t="n">
        <f aca="false">F117+2+D117</f>
        <v>11</v>
      </c>
      <c r="H117" s="0" t="n">
        <f aca="false">Pemetaan!$B$2+E117</f>
        <v>20</v>
      </c>
      <c r="I117" s="0" t="str">
        <f aca="false">INDEX(Laporan!$A$1:$AZ$300,G117,1)</f>
        <v>Water Treatment</v>
      </c>
      <c r="J117" s="0" t="str">
        <f aca="false">INDEX(Laporan!$A$1:$AZ$300,G117,2)</f>
        <v>330 ml</v>
      </c>
      <c r="K117" s="0" t="str">
        <f aca="false">INDEX(Laporan!$A$1:$AZ$300,G117,3)</f>
        <v>Shift 2</v>
      </c>
      <c r="L117" s="0" t="n">
        <f aca="false">INDEX(Laporan!$A$1:$AZ$300,G117,4)</f>
        <v>2</v>
      </c>
      <c r="M117" s="1" t="n">
        <f aca="false">DATE(Pemetaan!$B$1,VALUE(RIGHT(INDEX(Laporan!$A$1:$AZ$300,F117+1,H117),2)),VALUE(LEFT(INDEX(Laporan!$A$1:$AZ$300,F117+1,H117),2)))</f>
        <v>46104</v>
      </c>
      <c r="N117" s="0" t="n">
        <f aca="false">INDEX(Laporan!$A$1:$AZ$300,G117,H117)</f>
        <v>2949</v>
      </c>
      <c r="O117" s="0" t="n">
        <f aca="false">IF(N117="","",IFERROR(VALUE(SUBSTITUTE(SUBSTITUTE(N117," btl",""),".","")),""))</f>
        <v>2949</v>
      </c>
      <c r="P117" s="0" t="str">
        <f aca="false">IF(B117="PRODUKSI","produced","reject")</f>
        <v>produced</v>
      </c>
    </row>
    <row r="118" customFormat="false" ht="15" hidden="false" customHeight="false" outlineLevel="0" collapsed="false">
      <c r="A118" s="0" t="n">
        <v>117</v>
      </c>
      <c r="B118" s="0" t="str">
        <f aca="false">IF(A118&lt;=36*25,"PRODUKSI","REJECT")</f>
        <v>PRODUKSI</v>
      </c>
      <c r="C118" s="0" t="n">
        <f aca="false">MOD(A118-1,Pemetaan!$B$3*Pemetaan!$B$4)</f>
        <v>116</v>
      </c>
      <c r="D118" s="0" t="n">
        <f aca="false">INT(C118/Pemetaan!$B$4)</f>
        <v>4</v>
      </c>
      <c r="E118" s="0" t="n">
        <f aca="false">MOD(C118,Pemetaan!$B$4)</f>
        <v>16</v>
      </c>
      <c r="F118" s="0" t="n">
        <f aca="false">IF(B118="PRODUKSI",Pemetaan!$B$5,Pemetaan!$B$6)</f>
        <v>5</v>
      </c>
      <c r="G118" s="0" t="n">
        <f aca="false">F118+2+D118</f>
        <v>11</v>
      </c>
      <c r="H118" s="0" t="n">
        <f aca="false">Pemetaan!$B$2+E118</f>
        <v>21</v>
      </c>
      <c r="I118" s="0" t="str">
        <f aca="false">INDEX(Laporan!$A$1:$AZ$300,G118,1)</f>
        <v>Water Treatment</v>
      </c>
      <c r="J118" s="0" t="str">
        <f aca="false">INDEX(Laporan!$A$1:$AZ$300,G118,2)</f>
        <v>330 ml</v>
      </c>
      <c r="K118" s="0" t="str">
        <f aca="false">INDEX(Laporan!$A$1:$AZ$300,G118,3)</f>
        <v>Shift 2</v>
      </c>
      <c r="L118" s="0" t="n">
        <f aca="false">INDEX(Laporan!$A$1:$AZ$300,G118,4)</f>
        <v>2</v>
      </c>
      <c r="M118" s="1" t="n">
        <f aca="false">DATE(Pemetaan!$B$1,VALUE(RIGHT(INDEX(Laporan!$A$1:$AZ$300,F118+1,H118),2)),VALUE(LEFT(INDEX(Laporan!$A$1:$AZ$300,F118+1,H118),2)))</f>
        <v>46105</v>
      </c>
      <c r="N118" s="0" t="n">
        <f aca="false">INDEX(Laporan!$A$1:$AZ$300,G118,H118)</f>
        <v>3153</v>
      </c>
      <c r="O118" s="0" t="n">
        <f aca="false">IF(N118="","",IFERROR(VALUE(SUBSTITUTE(SUBSTITUTE(N118," btl",""),".","")),""))</f>
        <v>3153</v>
      </c>
      <c r="P118" s="0" t="str">
        <f aca="false">IF(B118="PRODUKSI","produced","reject")</f>
        <v>produced</v>
      </c>
    </row>
    <row r="119" customFormat="false" ht="15" hidden="false" customHeight="false" outlineLevel="0" collapsed="false">
      <c r="A119" s="0" t="n">
        <v>118</v>
      </c>
      <c r="B119" s="0" t="str">
        <f aca="false">IF(A119&lt;=36*25,"PRODUKSI","REJECT")</f>
        <v>PRODUKSI</v>
      </c>
      <c r="C119" s="0" t="n">
        <f aca="false">MOD(A119-1,Pemetaan!$B$3*Pemetaan!$B$4)</f>
        <v>117</v>
      </c>
      <c r="D119" s="0" t="n">
        <f aca="false">INT(C119/Pemetaan!$B$4)</f>
        <v>4</v>
      </c>
      <c r="E119" s="0" t="n">
        <f aca="false">MOD(C119,Pemetaan!$B$4)</f>
        <v>17</v>
      </c>
      <c r="F119" s="0" t="n">
        <f aca="false">IF(B119="PRODUKSI",Pemetaan!$B$5,Pemetaan!$B$6)</f>
        <v>5</v>
      </c>
      <c r="G119" s="0" t="n">
        <f aca="false">F119+2+D119</f>
        <v>11</v>
      </c>
      <c r="H119" s="0" t="n">
        <f aca="false">Pemetaan!$B$2+E119</f>
        <v>22</v>
      </c>
      <c r="I119" s="0" t="str">
        <f aca="false">INDEX(Laporan!$A$1:$AZ$300,G119,1)</f>
        <v>Water Treatment</v>
      </c>
      <c r="J119" s="0" t="str">
        <f aca="false">INDEX(Laporan!$A$1:$AZ$300,G119,2)</f>
        <v>330 ml</v>
      </c>
      <c r="K119" s="0" t="str">
        <f aca="false">INDEX(Laporan!$A$1:$AZ$300,G119,3)</f>
        <v>Shift 2</v>
      </c>
      <c r="L119" s="0" t="n">
        <f aca="false">INDEX(Laporan!$A$1:$AZ$300,G119,4)</f>
        <v>2</v>
      </c>
      <c r="M119" s="1" t="n">
        <f aca="false">DATE(Pemetaan!$B$1,VALUE(RIGHT(INDEX(Laporan!$A$1:$AZ$300,F119+1,H119),2)),VALUE(LEFT(INDEX(Laporan!$A$1:$AZ$300,F119+1,H119),2)))</f>
        <v>46106</v>
      </c>
      <c r="N119" s="0" t="n">
        <f aca="false">INDEX(Laporan!$A$1:$AZ$300,G119,H119)</f>
        <v>3022</v>
      </c>
      <c r="O119" s="0" t="n">
        <f aca="false">IF(N119="","",IFERROR(VALUE(SUBSTITUTE(SUBSTITUTE(N119," btl",""),".","")),""))</f>
        <v>3022</v>
      </c>
      <c r="P119" s="0" t="str">
        <f aca="false">IF(B119="PRODUKSI","produced","reject")</f>
        <v>produced</v>
      </c>
    </row>
    <row r="120" customFormat="false" ht="15" hidden="false" customHeight="false" outlineLevel="0" collapsed="false">
      <c r="A120" s="0" t="n">
        <v>119</v>
      </c>
      <c r="B120" s="0" t="str">
        <f aca="false">IF(A120&lt;=36*25,"PRODUKSI","REJECT")</f>
        <v>PRODUKSI</v>
      </c>
      <c r="C120" s="0" t="n">
        <f aca="false">MOD(A120-1,Pemetaan!$B$3*Pemetaan!$B$4)</f>
        <v>118</v>
      </c>
      <c r="D120" s="0" t="n">
        <f aca="false">INT(C120/Pemetaan!$B$4)</f>
        <v>4</v>
      </c>
      <c r="E120" s="0" t="n">
        <f aca="false">MOD(C120,Pemetaan!$B$4)</f>
        <v>18</v>
      </c>
      <c r="F120" s="0" t="n">
        <f aca="false">IF(B120="PRODUKSI",Pemetaan!$B$5,Pemetaan!$B$6)</f>
        <v>5</v>
      </c>
      <c r="G120" s="0" t="n">
        <f aca="false">F120+2+D120</f>
        <v>11</v>
      </c>
      <c r="H120" s="0" t="n">
        <f aca="false">Pemetaan!$B$2+E120</f>
        <v>23</v>
      </c>
      <c r="I120" s="0" t="str">
        <f aca="false">INDEX(Laporan!$A$1:$AZ$300,G120,1)</f>
        <v>Water Treatment</v>
      </c>
      <c r="J120" s="0" t="str">
        <f aca="false">INDEX(Laporan!$A$1:$AZ$300,G120,2)</f>
        <v>330 ml</v>
      </c>
      <c r="K120" s="0" t="str">
        <f aca="false">INDEX(Laporan!$A$1:$AZ$300,G120,3)</f>
        <v>Shift 2</v>
      </c>
      <c r="L120" s="0" t="n">
        <f aca="false">INDEX(Laporan!$A$1:$AZ$300,G120,4)</f>
        <v>2</v>
      </c>
      <c r="M120" s="1" t="n">
        <f aca="false">DATE(Pemetaan!$B$1,VALUE(RIGHT(INDEX(Laporan!$A$1:$AZ$300,F120+1,H120),2)),VALUE(LEFT(INDEX(Laporan!$A$1:$AZ$300,F120+1,H120),2)))</f>
        <v>46107</v>
      </c>
      <c r="N120" s="0" t="n">
        <f aca="false">INDEX(Laporan!$A$1:$AZ$300,G120,H120)</f>
        <v>3264</v>
      </c>
      <c r="O120" s="0" t="n">
        <f aca="false">IF(N120="","",IFERROR(VALUE(SUBSTITUTE(SUBSTITUTE(N120," btl",""),".","")),""))</f>
        <v>3264</v>
      </c>
      <c r="P120" s="0" t="str">
        <f aca="false">IF(B120="PRODUKSI","produced","reject")</f>
        <v>produced</v>
      </c>
    </row>
    <row r="121" customFormat="false" ht="15" hidden="false" customHeight="false" outlineLevel="0" collapsed="false">
      <c r="A121" s="0" t="n">
        <v>120</v>
      </c>
      <c r="B121" s="0" t="str">
        <f aca="false">IF(A121&lt;=36*25,"PRODUKSI","REJECT")</f>
        <v>PRODUKSI</v>
      </c>
      <c r="C121" s="0" t="n">
        <f aca="false">MOD(A121-1,Pemetaan!$B$3*Pemetaan!$B$4)</f>
        <v>119</v>
      </c>
      <c r="D121" s="0" t="n">
        <f aca="false">INT(C121/Pemetaan!$B$4)</f>
        <v>4</v>
      </c>
      <c r="E121" s="0" t="n">
        <f aca="false">MOD(C121,Pemetaan!$B$4)</f>
        <v>19</v>
      </c>
      <c r="F121" s="0" t="n">
        <f aca="false">IF(B121="PRODUKSI",Pemetaan!$B$5,Pemetaan!$B$6)</f>
        <v>5</v>
      </c>
      <c r="G121" s="0" t="n">
        <f aca="false">F121+2+D121</f>
        <v>11</v>
      </c>
      <c r="H121" s="0" t="n">
        <f aca="false">Pemetaan!$B$2+E121</f>
        <v>24</v>
      </c>
      <c r="I121" s="0" t="str">
        <f aca="false">INDEX(Laporan!$A$1:$AZ$300,G121,1)</f>
        <v>Water Treatment</v>
      </c>
      <c r="J121" s="0" t="str">
        <f aca="false">INDEX(Laporan!$A$1:$AZ$300,G121,2)</f>
        <v>330 ml</v>
      </c>
      <c r="K121" s="0" t="str">
        <f aca="false">INDEX(Laporan!$A$1:$AZ$300,G121,3)</f>
        <v>Shift 2</v>
      </c>
      <c r="L121" s="0" t="n">
        <f aca="false">INDEX(Laporan!$A$1:$AZ$300,G121,4)</f>
        <v>2</v>
      </c>
      <c r="M121" s="1" t="n">
        <f aca="false">DATE(Pemetaan!$B$1,VALUE(RIGHT(INDEX(Laporan!$A$1:$AZ$300,F121+1,H121),2)),VALUE(LEFT(INDEX(Laporan!$A$1:$AZ$300,F121+1,H121),2)))</f>
        <v>46108</v>
      </c>
      <c r="N121" s="0" t="n">
        <f aca="false">INDEX(Laporan!$A$1:$AZ$300,G121,H121)</f>
        <v>3205</v>
      </c>
      <c r="O121" s="0" t="n">
        <f aca="false">IF(N121="","",IFERROR(VALUE(SUBSTITUTE(SUBSTITUTE(N121," btl",""),".","")),""))</f>
        <v>3205</v>
      </c>
      <c r="P121" s="0" t="str">
        <f aca="false">IF(B121="PRODUKSI","produced","reject")</f>
        <v>produced</v>
      </c>
    </row>
    <row r="122" customFormat="false" ht="15" hidden="false" customHeight="false" outlineLevel="0" collapsed="false">
      <c r="A122" s="0" t="n">
        <v>121</v>
      </c>
      <c r="B122" s="0" t="str">
        <f aca="false">IF(A122&lt;=36*25,"PRODUKSI","REJECT")</f>
        <v>PRODUKSI</v>
      </c>
      <c r="C122" s="0" t="n">
        <f aca="false">MOD(A122-1,Pemetaan!$B$3*Pemetaan!$B$4)</f>
        <v>120</v>
      </c>
      <c r="D122" s="0" t="n">
        <f aca="false">INT(C122/Pemetaan!$B$4)</f>
        <v>4</v>
      </c>
      <c r="E122" s="0" t="n">
        <f aca="false">MOD(C122,Pemetaan!$B$4)</f>
        <v>20</v>
      </c>
      <c r="F122" s="0" t="n">
        <f aca="false">IF(B122="PRODUKSI",Pemetaan!$B$5,Pemetaan!$B$6)</f>
        <v>5</v>
      </c>
      <c r="G122" s="0" t="n">
        <f aca="false">F122+2+D122</f>
        <v>11</v>
      </c>
      <c r="H122" s="0" t="n">
        <f aca="false">Pemetaan!$B$2+E122</f>
        <v>25</v>
      </c>
      <c r="I122" s="0" t="str">
        <f aca="false">INDEX(Laporan!$A$1:$AZ$300,G122,1)</f>
        <v>Water Treatment</v>
      </c>
      <c r="J122" s="0" t="str">
        <f aca="false">INDEX(Laporan!$A$1:$AZ$300,G122,2)</f>
        <v>330 ml</v>
      </c>
      <c r="K122" s="0" t="str">
        <f aca="false">INDEX(Laporan!$A$1:$AZ$300,G122,3)</f>
        <v>Shift 2</v>
      </c>
      <c r="L122" s="0" t="n">
        <f aca="false">INDEX(Laporan!$A$1:$AZ$300,G122,4)</f>
        <v>2</v>
      </c>
      <c r="M122" s="1" t="n">
        <f aca="false">DATE(Pemetaan!$B$1,VALUE(RIGHT(INDEX(Laporan!$A$1:$AZ$300,F122+1,H122),2)),VALUE(LEFT(INDEX(Laporan!$A$1:$AZ$300,F122+1,H122),2)))</f>
        <v>46111</v>
      </c>
      <c r="N122" s="0" t="n">
        <f aca="false">INDEX(Laporan!$A$1:$AZ$300,G122,H122)</f>
        <v>3405</v>
      </c>
      <c r="O122" s="0" t="n">
        <f aca="false">IF(N122="","",IFERROR(VALUE(SUBSTITUTE(SUBSTITUTE(N122," btl",""),".","")),""))</f>
        <v>3405</v>
      </c>
      <c r="P122" s="0" t="str">
        <f aca="false">IF(B122="PRODUKSI","produced","reject")</f>
        <v>produced</v>
      </c>
    </row>
    <row r="123" customFormat="false" ht="15" hidden="false" customHeight="false" outlineLevel="0" collapsed="false">
      <c r="A123" s="0" t="n">
        <v>122</v>
      </c>
      <c r="B123" s="0" t="str">
        <f aca="false">IF(A123&lt;=36*25,"PRODUKSI","REJECT")</f>
        <v>PRODUKSI</v>
      </c>
      <c r="C123" s="0" t="n">
        <f aca="false">MOD(A123-1,Pemetaan!$B$3*Pemetaan!$B$4)</f>
        <v>121</v>
      </c>
      <c r="D123" s="0" t="n">
        <f aca="false">INT(C123/Pemetaan!$B$4)</f>
        <v>4</v>
      </c>
      <c r="E123" s="0" t="n">
        <f aca="false">MOD(C123,Pemetaan!$B$4)</f>
        <v>21</v>
      </c>
      <c r="F123" s="0" t="n">
        <f aca="false">IF(B123="PRODUKSI",Pemetaan!$B$5,Pemetaan!$B$6)</f>
        <v>5</v>
      </c>
      <c r="G123" s="0" t="n">
        <f aca="false">F123+2+D123</f>
        <v>11</v>
      </c>
      <c r="H123" s="0" t="n">
        <f aca="false">Pemetaan!$B$2+E123</f>
        <v>26</v>
      </c>
      <c r="I123" s="0" t="str">
        <f aca="false">INDEX(Laporan!$A$1:$AZ$300,G123,1)</f>
        <v>Water Treatment</v>
      </c>
      <c r="J123" s="0" t="str">
        <f aca="false">INDEX(Laporan!$A$1:$AZ$300,G123,2)</f>
        <v>330 ml</v>
      </c>
      <c r="K123" s="0" t="str">
        <f aca="false">INDEX(Laporan!$A$1:$AZ$300,G123,3)</f>
        <v>Shift 2</v>
      </c>
      <c r="L123" s="0" t="n">
        <f aca="false">INDEX(Laporan!$A$1:$AZ$300,G123,4)</f>
        <v>2</v>
      </c>
      <c r="M123" s="1" t="n">
        <f aca="false">DATE(Pemetaan!$B$1,VALUE(RIGHT(INDEX(Laporan!$A$1:$AZ$300,F123+1,H123),2)),VALUE(LEFT(INDEX(Laporan!$A$1:$AZ$300,F123+1,H123),2)))</f>
        <v>46112</v>
      </c>
      <c r="N123" s="0" t="n">
        <f aca="false">INDEX(Laporan!$A$1:$AZ$300,G123,H123)</f>
        <v>3027</v>
      </c>
      <c r="O123" s="0" t="n">
        <f aca="false">IF(N123="","",IFERROR(VALUE(SUBSTITUTE(SUBSTITUTE(N123," btl",""),".","")),""))</f>
        <v>3027</v>
      </c>
      <c r="P123" s="0" t="str">
        <f aca="false">IF(B123="PRODUKSI","produced","reject")</f>
        <v>produced</v>
      </c>
    </row>
    <row r="124" customFormat="false" ht="15" hidden="false" customHeight="false" outlineLevel="0" collapsed="false">
      <c r="A124" s="0" t="n">
        <v>123</v>
      </c>
      <c r="B124" s="0" t="str">
        <f aca="false">IF(A124&lt;=36*25,"PRODUKSI","REJECT")</f>
        <v>PRODUKSI</v>
      </c>
      <c r="C124" s="0" t="n">
        <f aca="false">MOD(A124-1,Pemetaan!$B$3*Pemetaan!$B$4)</f>
        <v>122</v>
      </c>
      <c r="D124" s="0" t="n">
        <f aca="false">INT(C124/Pemetaan!$B$4)</f>
        <v>4</v>
      </c>
      <c r="E124" s="0" t="n">
        <f aca="false">MOD(C124,Pemetaan!$B$4)</f>
        <v>22</v>
      </c>
      <c r="F124" s="0" t="n">
        <f aca="false">IF(B124="PRODUKSI",Pemetaan!$B$5,Pemetaan!$B$6)</f>
        <v>5</v>
      </c>
      <c r="G124" s="0" t="n">
        <f aca="false">F124+2+D124</f>
        <v>11</v>
      </c>
      <c r="H124" s="0" t="n">
        <f aca="false">Pemetaan!$B$2+E124</f>
        <v>27</v>
      </c>
      <c r="I124" s="0" t="str">
        <f aca="false">INDEX(Laporan!$A$1:$AZ$300,G124,1)</f>
        <v>Water Treatment</v>
      </c>
      <c r="J124" s="0" t="str">
        <f aca="false">INDEX(Laporan!$A$1:$AZ$300,G124,2)</f>
        <v>330 ml</v>
      </c>
      <c r="K124" s="0" t="str">
        <f aca="false">INDEX(Laporan!$A$1:$AZ$300,G124,3)</f>
        <v>Shift 2</v>
      </c>
      <c r="L124" s="0" t="n">
        <f aca="false">INDEX(Laporan!$A$1:$AZ$300,G124,4)</f>
        <v>2</v>
      </c>
      <c r="M124" s="1" t="n">
        <f aca="false">DATE(Pemetaan!$B$1,VALUE(RIGHT(INDEX(Laporan!$A$1:$AZ$300,F124+1,H124),2)),VALUE(LEFT(INDEX(Laporan!$A$1:$AZ$300,F124+1,H124),2)))</f>
        <v>46113</v>
      </c>
      <c r="N124" s="0" t="n">
        <f aca="false">INDEX(Laporan!$A$1:$AZ$300,G124,H124)</f>
        <v>3380</v>
      </c>
      <c r="O124" s="0" t="n">
        <f aca="false">IF(N124="","",IFERROR(VALUE(SUBSTITUTE(SUBSTITUTE(N124," btl",""),".","")),""))</f>
        <v>3380</v>
      </c>
      <c r="P124" s="0" t="str">
        <f aca="false">IF(B124="PRODUKSI","produced","reject")</f>
        <v>produced</v>
      </c>
    </row>
    <row r="125" customFormat="false" ht="15" hidden="false" customHeight="false" outlineLevel="0" collapsed="false">
      <c r="A125" s="0" t="n">
        <v>124</v>
      </c>
      <c r="B125" s="0" t="str">
        <f aca="false">IF(A125&lt;=36*25,"PRODUKSI","REJECT")</f>
        <v>PRODUKSI</v>
      </c>
      <c r="C125" s="0" t="n">
        <f aca="false">MOD(A125-1,Pemetaan!$B$3*Pemetaan!$B$4)</f>
        <v>123</v>
      </c>
      <c r="D125" s="0" t="n">
        <f aca="false">INT(C125/Pemetaan!$B$4)</f>
        <v>4</v>
      </c>
      <c r="E125" s="0" t="n">
        <f aca="false">MOD(C125,Pemetaan!$B$4)</f>
        <v>23</v>
      </c>
      <c r="F125" s="0" t="n">
        <f aca="false">IF(B125="PRODUKSI",Pemetaan!$B$5,Pemetaan!$B$6)</f>
        <v>5</v>
      </c>
      <c r="G125" s="0" t="n">
        <f aca="false">F125+2+D125</f>
        <v>11</v>
      </c>
      <c r="H125" s="0" t="n">
        <f aca="false">Pemetaan!$B$2+E125</f>
        <v>28</v>
      </c>
      <c r="I125" s="0" t="str">
        <f aca="false">INDEX(Laporan!$A$1:$AZ$300,G125,1)</f>
        <v>Water Treatment</v>
      </c>
      <c r="J125" s="0" t="str">
        <f aca="false">INDEX(Laporan!$A$1:$AZ$300,G125,2)</f>
        <v>330 ml</v>
      </c>
      <c r="K125" s="0" t="str">
        <f aca="false">INDEX(Laporan!$A$1:$AZ$300,G125,3)</f>
        <v>Shift 2</v>
      </c>
      <c r="L125" s="0" t="n">
        <f aca="false">INDEX(Laporan!$A$1:$AZ$300,G125,4)</f>
        <v>2</v>
      </c>
      <c r="M125" s="1" t="n">
        <f aca="false">DATE(Pemetaan!$B$1,VALUE(RIGHT(INDEX(Laporan!$A$1:$AZ$300,F125+1,H125),2)),VALUE(LEFT(INDEX(Laporan!$A$1:$AZ$300,F125+1,H125),2)))</f>
        <v>46114</v>
      </c>
      <c r="N125" s="0" t="n">
        <f aca="false">INDEX(Laporan!$A$1:$AZ$300,G125,H125)</f>
        <v>3063</v>
      </c>
      <c r="O125" s="0" t="n">
        <f aca="false">IF(N125="","",IFERROR(VALUE(SUBSTITUTE(SUBSTITUTE(N125," btl",""),".","")),""))</f>
        <v>3063</v>
      </c>
      <c r="P125" s="0" t="str">
        <f aca="false">IF(B125="PRODUKSI","produced","reject")</f>
        <v>produced</v>
      </c>
    </row>
    <row r="126" customFormat="false" ht="15" hidden="false" customHeight="false" outlineLevel="0" collapsed="false">
      <c r="A126" s="0" t="n">
        <v>125</v>
      </c>
      <c r="B126" s="0" t="str">
        <f aca="false">IF(A126&lt;=36*25,"PRODUKSI","REJECT")</f>
        <v>PRODUKSI</v>
      </c>
      <c r="C126" s="0" t="n">
        <f aca="false">MOD(A126-1,Pemetaan!$B$3*Pemetaan!$B$4)</f>
        <v>124</v>
      </c>
      <c r="D126" s="0" t="n">
        <f aca="false">INT(C126/Pemetaan!$B$4)</f>
        <v>4</v>
      </c>
      <c r="E126" s="0" t="n">
        <f aca="false">MOD(C126,Pemetaan!$B$4)</f>
        <v>24</v>
      </c>
      <c r="F126" s="0" t="n">
        <f aca="false">IF(B126="PRODUKSI",Pemetaan!$B$5,Pemetaan!$B$6)</f>
        <v>5</v>
      </c>
      <c r="G126" s="0" t="n">
        <f aca="false">F126+2+D126</f>
        <v>11</v>
      </c>
      <c r="H126" s="0" t="n">
        <f aca="false">Pemetaan!$B$2+E126</f>
        <v>29</v>
      </c>
      <c r="I126" s="0" t="str">
        <f aca="false">INDEX(Laporan!$A$1:$AZ$300,G126,1)</f>
        <v>Water Treatment</v>
      </c>
      <c r="J126" s="0" t="str">
        <f aca="false">INDEX(Laporan!$A$1:$AZ$300,G126,2)</f>
        <v>330 ml</v>
      </c>
      <c r="K126" s="0" t="str">
        <f aca="false">INDEX(Laporan!$A$1:$AZ$300,G126,3)</f>
        <v>Shift 2</v>
      </c>
      <c r="L126" s="0" t="n">
        <f aca="false">INDEX(Laporan!$A$1:$AZ$300,G126,4)</f>
        <v>2</v>
      </c>
      <c r="M126" s="1" t="n">
        <f aca="false">DATE(Pemetaan!$B$1,VALUE(RIGHT(INDEX(Laporan!$A$1:$AZ$300,F126+1,H126),2)),VALUE(LEFT(INDEX(Laporan!$A$1:$AZ$300,F126+1,H126),2)))</f>
        <v>46115</v>
      </c>
      <c r="N126" s="0" t="n">
        <f aca="false">INDEX(Laporan!$A$1:$AZ$300,G126,H126)</f>
        <v>3168</v>
      </c>
      <c r="O126" s="0" t="n">
        <f aca="false">IF(N126="","",IFERROR(VALUE(SUBSTITUTE(SUBSTITUTE(N126," btl",""),".","")),""))</f>
        <v>3168</v>
      </c>
      <c r="P126" s="0" t="str">
        <f aca="false">IF(B126="PRODUKSI","produced","reject")</f>
        <v>produced</v>
      </c>
    </row>
    <row r="127" customFormat="false" ht="15" hidden="false" customHeight="false" outlineLevel="0" collapsed="false">
      <c r="A127" s="0" t="n">
        <v>126</v>
      </c>
      <c r="B127" s="0" t="str">
        <f aca="false">IF(A127&lt;=36*25,"PRODUKSI","REJECT")</f>
        <v>PRODUKSI</v>
      </c>
      <c r="C127" s="0" t="n">
        <f aca="false">MOD(A127-1,Pemetaan!$B$3*Pemetaan!$B$4)</f>
        <v>125</v>
      </c>
      <c r="D127" s="0" t="n">
        <f aca="false">INT(C127/Pemetaan!$B$4)</f>
        <v>5</v>
      </c>
      <c r="E127" s="0" t="n">
        <f aca="false">MOD(C127,Pemetaan!$B$4)</f>
        <v>0</v>
      </c>
      <c r="F127" s="0" t="n">
        <f aca="false">IF(B127="PRODUKSI",Pemetaan!$B$5,Pemetaan!$B$6)</f>
        <v>5</v>
      </c>
      <c r="G127" s="0" t="n">
        <f aca="false">F127+2+D127</f>
        <v>12</v>
      </c>
      <c r="H127" s="0" t="n">
        <f aca="false">Pemetaan!$B$2+E127</f>
        <v>5</v>
      </c>
      <c r="I127" s="0" t="str">
        <f aca="false">INDEX(Laporan!$A$1:$AZ$300,G127,1)</f>
        <v>Water Treatment</v>
      </c>
      <c r="J127" s="0" t="str">
        <f aca="false">INDEX(Laporan!$A$1:$AZ$300,G127,2)</f>
        <v>330 ml</v>
      </c>
      <c r="K127" s="0" t="str">
        <f aca="false">INDEX(Laporan!$A$1:$AZ$300,G127,3)</f>
        <v>Shift 2</v>
      </c>
      <c r="L127" s="0" t="n">
        <f aca="false">INDEX(Laporan!$A$1:$AZ$300,G127,4)</f>
        <v>3</v>
      </c>
      <c r="M127" s="1" t="n">
        <f aca="false">DATE(Pemetaan!$B$1,VALUE(RIGHT(INDEX(Laporan!$A$1:$AZ$300,F127+1,H127),2)),VALUE(LEFT(INDEX(Laporan!$A$1:$AZ$300,F127+1,H127),2)))</f>
        <v>46083</v>
      </c>
      <c r="N127" s="0" t="n">
        <f aca="false">INDEX(Laporan!$A$1:$AZ$300,G127,H127)</f>
        <v>2860</v>
      </c>
      <c r="O127" s="0" t="n">
        <f aca="false">IF(N127="","",IFERROR(VALUE(SUBSTITUTE(SUBSTITUTE(N127," btl",""),".","")),""))</f>
        <v>2860</v>
      </c>
      <c r="P127" s="0" t="str">
        <f aca="false">IF(B127="PRODUKSI","produced","reject")</f>
        <v>produced</v>
      </c>
    </row>
    <row r="128" customFormat="false" ht="15" hidden="false" customHeight="false" outlineLevel="0" collapsed="false">
      <c r="A128" s="0" t="n">
        <v>127</v>
      </c>
      <c r="B128" s="0" t="str">
        <f aca="false">IF(A128&lt;=36*25,"PRODUKSI","REJECT")</f>
        <v>PRODUKSI</v>
      </c>
      <c r="C128" s="0" t="n">
        <f aca="false">MOD(A128-1,Pemetaan!$B$3*Pemetaan!$B$4)</f>
        <v>126</v>
      </c>
      <c r="D128" s="0" t="n">
        <f aca="false">INT(C128/Pemetaan!$B$4)</f>
        <v>5</v>
      </c>
      <c r="E128" s="0" t="n">
        <f aca="false">MOD(C128,Pemetaan!$B$4)</f>
        <v>1</v>
      </c>
      <c r="F128" s="0" t="n">
        <f aca="false">IF(B128="PRODUKSI",Pemetaan!$B$5,Pemetaan!$B$6)</f>
        <v>5</v>
      </c>
      <c r="G128" s="0" t="n">
        <f aca="false">F128+2+D128</f>
        <v>12</v>
      </c>
      <c r="H128" s="0" t="n">
        <f aca="false">Pemetaan!$B$2+E128</f>
        <v>6</v>
      </c>
      <c r="I128" s="0" t="str">
        <f aca="false">INDEX(Laporan!$A$1:$AZ$300,G128,1)</f>
        <v>Water Treatment</v>
      </c>
      <c r="J128" s="0" t="str">
        <f aca="false">INDEX(Laporan!$A$1:$AZ$300,G128,2)</f>
        <v>330 ml</v>
      </c>
      <c r="K128" s="0" t="str">
        <f aca="false">INDEX(Laporan!$A$1:$AZ$300,G128,3)</f>
        <v>Shift 2</v>
      </c>
      <c r="L128" s="0" t="n">
        <f aca="false">INDEX(Laporan!$A$1:$AZ$300,G128,4)</f>
        <v>3</v>
      </c>
      <c r="M128" s="1" t="n">
        <f aca="false">DATE(Pemetaan!$B$1,VALUE(RIGHT(INDEX(Laporan!$A$1:$AZ$300,F128+1,H128),2)),VALUE(LEFT(INDEX(Laporan!$A$1:$AZ$300,F128+1,H128),2)))</f>
        <v>46084</v>
      </c>
      <c r="N128" s="0" t="n">
        <f aca="false">INDEX(Laporan!$A$1:$AZ$300,G128,H128)</f>
        <v>3031</v>
      </c>
      <c r="O128" s="0" t="n">
        <f aca="false">IF(N128="","",IFERROR(VALUE(SUBSTITUTE(SUBSTITUTE(N128," btl",""),".","")),""))</f>
        <v>3031</v>
      </c>
      <c r="P128" s="0" t="str">
        <f aca="false">IF(B128="PRODUKSI","produced","reject")</f>
        <v>produced</v>
      </c>
    </row>
    <row r="129" customFormat="false" ht="15" hidden="false" customHeight="false" outlineLevel="0" collapsed="false">
      <c r="A129" s="0" t="n">
        <v>128</v>
      </c>
      <c r="B129" s="0" t="str">
        <f aca="false">IF(A129&lt;=36*25,"PRODUKSI","REJECT")</f>
        <v>PRODUKSI</v>
      </c>
      <c r="C129" s="0" t="n">
        <f aca="false">MOD(A129-1,Pemetaan!$B$3*Pemetaan!$B$4)</f>
        <v>127</v>
      </c>
      <c r="D129" s="0" t="n">
        <f aca="false">INT(C129/Pemetaan!$B$4)</f>
        <v>5</v>
      </c>
      <c r="E129" s="0" t="n">
        <f aca="false">MOD(C129,Pemetaan!$B$4)</f>
        <v>2</v>
      </c>
      <c r="F129" s="0" t="n">
        <f aca="false">IF(B129="PRODUKSI",Pemetaan!$B$5,Pemetaan!$B$6)</f>
        <v>5</v>
      </c>
      <c r="G129" s="0" t="n">
        <f aca="false">F129+2+D129</f>
        <v>12</v>
      </c>
      <c r="H129" s="0" t="n">
        <f aca="false">Pemetaan!$B$2+E129</f>
        <v>7</v>
      </c>
      <c r="I129" s="0" t="str">
        <f aca="false">INDEX(Laporan!$A$1:$AZ$300,G129,1)</f>
        <v>Water Treatment</v>
      </c>
      <c r="J129" s="0" t="str">
        <f aca="false">INDEX(Laporan!$A$1:$AZ$300,G129,2)</f>
        <v>330 ml</v>
      </c>
      <c r="K129" s="0" t="str">
        <f aca="false">INDEX(Laporan!$A$1:$AZ$300,G129,3)</f>
        <v>Shift 2</v>
      </c>
      <c r="L129" s="0" t="n">
        <f aca="false">INDEX(Laporan!$A$1:$AZ$300,G129,4)</f>
        <v>3</v>
      </c>
      <c r="M129" s="1" t="n">
        <f aca="false">DATE(Pemetaan!$B$1,VALUE(RIGHT(INDEX(Laporan!$A$1:$AZ$300,F129+1,H129),2)),VALUE(LEFT(INDEX(Laporan!$A$1:$AZ$300,F129+1,H129),2)))</f>
        <v>46085</v>
      </c>
      <c r="N129" s="0" t="n">
        <f aca="false">INDEX(Laporan!$A$1:$AZ$300,G129,H129)</f>
        <v>3191</v>
      </c>
      <c r="O129" s="0" t="n">
        <f aca="false">IF(N129="","",IFERROR(VALUE(SUBSTITUTE(SUBSTITUTE(N129," btl",""),".","")),""))</f>
        <v>3191</v>
      </c>
      <c r="P129" s="0" t="str">
        <f aca="false">IF(B129="PRODUKSI","produced","reject")</f>
        <v>produced</v>
      </c>
    </row>
    <row r="130" customFormat="false" ht="15" hidden="false" customHeight="false" outlineLevel="0" collapsed="false">
      <c r="A130" s="0" t="n">
        <v>129</v>
      </c>
      <c r="B130" s="0" t="str">
        <f aca="false">IF(A130&lt;=36*25,"PRODUKSI","REJECT")</f>
        <v>PRODUKSI</v>
      </c>
      <c r="C130" s="0" t="n">
        <f aca="false">MOD(A130-1,Pemetaan!$B$3*Pemetaan!$B$4)</f>
        <v>128</v>
      </c>
      <c r="D130" s="0" t="n">
        <f aca="false">INT(C130/Pemetaan!$B$4)</f>
        <v>5</v>
      </c>
      <c r="E130" s="0" t="n">
        <f aca="false">MOD(C130,Pemetaan!$B$4)</f>
        <v>3</v>
      </c>
      <c r="F130" s="0" t="n">
        <f aca="false">IF(B130="PRODUKSI",Pemetaan!$B$5,Pemetaan!$B$6)</f>
        <v>5</v>
      </c>
      <c r="G130" s="0" t="n">
        <f aca="false">F130+2+D130</f>
        <v>12</v>
      </c>
      <c r="H130" s="0" t="n">
        <f aca="false">Pemetaan!$B$2+E130</f>
        <v>8</v>
      </c>
      <c r="I130" s="0" t="str">
        <f aca="false">INDEX(Laporan!$A$1:$AZ$300,G130,1)</f>
        <v>Water Treatment</v>
      </c>
      <c r="J130" s="0" t="str">
        <f aca="false">INDEX(Laporan!$A$1:$AZ$300,G130,2)</f>
        <v>330 ml</v>
      </c>
      <c r="K130" s="0" t="str">
        <f aca="false">INDEX(Laporan!$A$1:$AZ$300,G130,3)</f>
        <v>Shift 2</v>
      </c>
      <c r="L130" s="0" t="n">
        <f aca="false">INDEX(Laporan!$A$1:$AZ$300,G130,4)</f>
        <v>3</v>
      </c>
      <c r="M130" s="1" t="n">
        <f aca="false">DATE(Pemetaan!$B$1,VALUE(RIGHT(INDEX(Laporan!$A$1:$AZ$300,F130+1,H130),2)),VALUE(LEFT(INDEX(Laporan!$A$1:$AZ$300,F130+1,H130),2)))</f>
        <v>46086</v>
      </c>
      <c r="N130" s="0" t="n">
        <f aca="false">INDEX(Laporan!$A$1:$AZ$300,G130,H130)</f>
        <v>3194</v>
      </c>
      <c r="O130" s="0" t="n">
        <f aca="false">IF(N130="","",IFERROR(VALUE(SUBSTITUTE(SUBSTITUTE(N130," btl",""),".","")),""))</f>
        <v>3194</v>
      </c>
      <c r="P130" s="0" t="str">
        <f aca="false">IF(B130="PRODUKSI","produced","reject")</f>
        <v>produced</v>
      </c>
    </row>
    <row r="131" customFormat="false" ht="15" hidden="false" customHeight="false" outlineLevel="0" collapsed="false">
      <c r="A131" s="0" t="n">
        <v>130</v>
      </c>
      <c r="B131" s="0" t="str">
        <f aca="false">IF(A131&lt;=36*25,"PRODUKSI","REJECT")</f>
        <v>PRODUKSI</v>
      </c>
      <c r="C131" s="0" t="n">
        <f aca="false">MOD(A131-1,Pemetaan!$B$3*Pemetaan!$B$4)</f>
        <v>129</v>
      </c>
      <c r="D131" s="0" t="n">
        <f aca="false">INT(C131/Pemetaan!$B$4)</f>
        <v>5</v>
      </c>
      <c r="E131" s="0" t="n">
        <f aca="false">MOD(C131,Pemetaan!$B$4)</f>
        <v>4</v>
      </c>
      <c r="F131" s="0" t="n">
        <f aca="false">IF(B131="PRODUKSI",Pemetaan!$B$5,Pemetaan!$B$6)</f>
        <v>5</v>
      </c>
      <c r="G131" s="0" t="n">
        <f aca="false">F131+2+D131</f>
        <v>12</v>
      </c>
      <c r="H131" s="0" t="n">
        <f aca="false">Pemetaan!$B$2+E131</f>
        <v>9</v>
      </c>
      <c r="I131" s="0" t="str">
        <f aca="false">INDEX(Laporan!$A$1:$AZ$300,G131,1)</f>
        <v>Water Treatment</v>
      </c>
      <c r="J131" s="0" t="str">
        <f aca="false">INDEX(Laporan!$A$1:$AZ$300,G131,2)</f>
        <v>330 ml</v>
      </c>
      <c r="K131" s="0" t="str">
        <f aca="false">INDEX(Laporan!$A$1:$AZ$300,G131,3)</f>
        <v>Shift 2</v>
      </c>
      <c r="L131" s="0" t="n">
        <f aca="false">INDEX(Laporan!$A$1:$AZ$300,G131,4)</f>
        <v>3</v>
      </c>
      <c r="M131" s="1" t="n">
        <f aca="false">DATE(Pemetaan!$B$1,VALUE(RIGHT(INDEX(Laporan!$A$1:$AZ$300,F131+1,H131),2)),VALUE(LEFT(INDEX(Laporan!$A$1:$AZ$300,F131+1,H131),2)))</f>
        <v>46087</v>
      </c>
      <c r="N131" s="0" t="n">
        <f aca="false">INDEX(Laporan!$A$1:$AZ$300,G131,H131)</f>
        <v>3560</v>
      </c>
      <c r="O131" s="0" t="n">
        <f aca="false">IF(N131="","",IFERROR(VALUE(SUBSTITUTE(SUBSTITUTE(N131," btl",""),".","")),""))</f>
        <v>3560</v>
      </c>
      <c r="P131" s="0" t="str">
        <f aca="false">IF(B131="PRODUKSI","produced","reject")</f>
        <v>produced</v>
      </c>
    </row>
    <row r="132" customFormat="false" ht="15" hidden="false" customHeight="false" outlineLevel="0" collapsed="false">
      <c r="A132" s="0" t="n">
        <v>131</v>
      </c>
      <c r="B132" s="0" t="str">
        <f aca="false">IF(A132&lt;=36*25,"PRODUKSI","REJECT")</f>
        <v>PRODUKSI</v>
      </c>
      <c r="C132" s="0" t="n">
        <f aca="false">MOD(A132-1,Pemetaan!$B$3*Pemetaan!$B$4)</f>
        <v>130</v>
      </c>
      <c r="D132" s="0" t="n">
        <f aca="false">INT(C132/Pemetaan!$B$4)</f>
        <v>5</v>
      </c>
      <c r="E132" s="0" t="n">
        <f aca="false">MOD(C132,Pemetaan!$B$4)</f>
        <v>5</v>
      </c>
      <c r="F132" s="0" t="n">
        <f aca="false">IF(B132="PRODUKSI",Pemetaan!$B$5,Pemetaan!$B$6)</f>
        <v>5</v>
      </c>
      <c r="G132" s="0" t="n">
        <f aca="false">F132+2+D132</f>
        <v>12</v>
      </c>
      <c r="H132" s="0" t="n">
        <f aca="false">Pemetaan!$B$2+E132</f>
        <v>10</v>
      </c>
      <c r="I132" s="0" t="str">
        <f aca="false">INDEX(Laporan!$A$1:$AZ$300,G132,1)</f>
        <v>Water Treatment</v>
      </c>
      <c r="J132" s="0" t="str">
        <f aca="false">INDEX(Laporan!$A$1:$AZ$300,G132,2)</f>
        <v>330 ml</v>
      </c>
      <c r="K132" s="0" t="str">
        <f aca="false">INDEX(Laporan!$A$1:$AZ$300,G132,3)</f>
        <v>Shift 2</v>
      </c>
      <c r="L132" s="0" t="n">
        <f aca="false">INDEX(Laporan!$A$1:$AZ$300,G132,4)</f>
        <v>3</v>
      </c>
      <c r="M132" s="1" t="n">
        <f aca="false">DATE(Pemetaan!$B$1,VALUE(RIGHT(INDEX(Laporan!$A$1:$AZ$300,F132+1,H132),2)),VALUE(LEFT(INDEX(Laporan!$A$1:$AZ$300,F132+1,H132),2)))</f>
        <v>46090</v>
      </c>
      <c r="N132" s="0" t="n">
        <f aca="false">INDEX(Laporan!$A$1:$AZ$300,G132,H132)</f>
        <v>3116</v>
      </c>
      <c r="O132" s="0" t="n">
        <f aca="false">IF(N132="","",IFERROR(VALUE(SUBSTITUTE(SUBSTITUTE(N132," btl",""),".","")),""))</f>
        <v>3116</v>
      </c>
      <c r="P132" s="0" t="str">
        <f aca="false">IF(B132="PRODUKSI","produced","reject")</f>
        <v>produced</v>
      </c>
    </row>
    <row r="133" customFormat="false" ht="15" hidden="false" customHeight="false" outlineLevel="0" collapsed="false">
      <c r="A133" s="0" t="n">
        <v>132</v>
      </c>
      <c r="B133" s="0" t="str">
        <f aca="false">IF(A133&lt;=36*25,"PRODUKSI","REJECT")</f>
        <v>PRODUKSI</v>
      </c>
      <c r="C133" s="0" t="n">
        <f aca="false">MOD(A133-1,Pemetaan!$B$3*Pemetaan!$B$4)</f>
        <v>131</v>
      </c>
      <c r="D133" s="0" t="n">
        <f aca="false">INT(C133/Pemetaan!$B$4)</f>
        <v>5</v>
      </c>
      <c r="E133" s="0" t="n">
        <f aca="false">MOD(C133,Pemetaan!$B$4)</f>
        <v>6</v>
      </c>
      <c r="F133" s="0" t="n">
        <f aca="false">IF(B133="PRODUKSI",Pemetaan!$B$5,Pemetaan!$B$6)</f>
        <v>5</v>
      </c>
      <c r="G133" s="0" t="n">
        <f aca="false">F133+2+D133</f>
        <v>12</v>
      </c>
      <c r="H133" s="0" t="n">
        <f aca="false">Pemetaan!$B$2+E133</f>
        <v>11</v>
      </c>
      <c r="I133" s="0" t="str">
        <f aca="false">INDEX(Laporan!$A$1:$AZ$300,G133,1)</f>
        <v>Water Treatment</v>
      </c>
      <c r="J133" s="0" t="str">
        <f aca="false">INDEX(Laporan!$A$1:$AZ$300,G133,2)</f>
        <v>330 ml</v>
      </c>
      <c r="K133" s="0" t="str">
        <f aca="false">INDEX(Laporan!$A$1:$AZ$300,G133,3)</f>
        <v>Shift 2</v>
      </c>
      <c r="L133" s="0" t="n">
        <f aca="false">INDEX(Laporan!$A$1:$AZ$300,G133,4)</f>
        <v>3</v>
      </c>
      <c r="M133" s="1" t="n">
        <f aca="false">DATE(Pemetaan!$B$1,VALUE(RIGHT(INDEX(Laporan!$A$1:$AZ$300,F133+1,H133),2)),VALUE(LEFT(INDEX(Laporan!$A$1:$AZ$300,F133+1,H133),2)))</f>
        <v>46091</v>
      </c>
      <c r="N133" s="0" t="n">
        <f aca="false">INDEX(Laporan!$A$1:$AZ$300,G133,H133)</f>
        <v>3348</v>
      </c>
      <c r="O133" s="0" t="n">
        <f aca="false">IF(N133="","",IFERROR(VALUE(SUBSTITUTE(SUBSTITUTE(N133," btl",""),".","")),""))</f>
        <v>3348</v>
      </c>
      <c r="P133" s="0" t="str">
        <f aca="false">IF(B133="PRODUKSI","produced","reject")</f>
        <v>produced</v>
      </c>
    </row>
    <row r="134" customFormat="false" ht="15" hidden="false" customHeight="false" outlineLevel="0" collapsed="false">
      <c r="A134" s="0" t="n">
        <v>133</v>
      </c>
      <c r="B134" s="0" t="str">
        <f aca="false">IF(A134&lt;=36*25,"PRODUKSI","REJECT")</f>
        <v>PRODUKSI</v>
      </c>
      <c r="C134" s="0" t="n">
        <f aca="false">MOD(A134-1,Pemetaan!$B$3*Pemetaan!$B$4)</f>
        <v>132</v>
      </c>
      <c r="D134" s="0" t="n">
        <f aca="false">INT(C134/Pemetaan!$B$4)</f>
        <v>5</v>
      </c>
      <c r="E134" s="0" t="n">
        <f aca="false">MOD(C134,Pemetaan!$B$4)</f>
        <v>7</v>
      </c>
      <c r="F134" s="0" t="n">
        <f aca="false">IF(B134="PRODUKSI",Pemetaan!$B$5,Pemetaan!$B$6)</f>
        <v>5</v>
      </c>
      <c r="G134" s="0" t="n">
        <f aca="false">F134+2+D134</f>
        <v>12</v>
      </c>
      <c r="H134" s="0" t="n">
        <f aca="false">Pemetaan!$B$2+E134</f>
        <v>12</v>
      </c>
      <c r="I134" s="0" t="str">
        <f aca="false">INDEX(Laporan!$A$1:$AZ$300,G134,1)</f>
        <v>Water Treatment</v>
      </c>
      <c r="J134" s="0" t="str">
        <f aca="false">INDEX(Laporan!$A$1:$AZ$300,G134,2)</f>
        <v>330 ml</v>
      </c>
      <c r="K134" s="0" t="str">
        <f aca="false">INDEX(Laporan!$A$1:$AZ$300,G134,3)</f>
        <v>Shift 2</v>
      </c>
      <c r="L134" s="0" t="n">
        <f aca="false">INDEX(Laporan!$A$1:$AZ$300,G134,4)</f>
        <v>3</v>
      </c>
      <c r="M134" s="1" t="n">
        <f aca="false">DATE(Pemetaan!$B$1,VALUE(RIGHT(INDEX(Laporan!$A$1:$AZ$300,F134+1,H134),2)),VALUE(LEFT(INDEX(Laporan!$A$1:$AZ$300,F134+1,H134),2)))</f>
        <v>46092</v>
      </c>
      <c r="N134" s="0" t="n">
        <f aca="false">INDEX(Laporan!$A$1:$AZ$300,G134,H134)</f>
        <v>3039</v>
      </c>
      <c r="O134" s="0" t="n">
        <f aca="false">IF(N134="","",IFERROR(VALUE(SUBSTITUTE(SUBSTITUTE(N134," btl",""),".","")),""))</f>
        <v>3039</v>
      </c>
      <c r="P134" s="0" t="str">
        <f aca="false">IF(B134="PRODUKSI","produced","reject")</f>
        <v>produced</v>
      </c>
    </row>
    <row r="135" customFormat="false" ht="15" hidden="false" customHeight="false" outlineLevel="0" collapsed="false">
      <c r="A135" s="0" t="n">
        <v>134</v>
      </c>
      <c r="B135" s="0" t="str">
        <f aca="false">IF(A135&lt;=36*25,"PRODUKSI","REJECT")</f>
        <v>PRODUKSI</v>
      </c>
      <c r="C135" s="0" t="n">
        <f aca="false">MOD(A135-1,Pemetaan!$B$3*Pemetaan!$B$4)</f>
        <v>133</v>
      </c>
      <c r="D135" s="0" t="n">
        <f aca="false">INT(C135/Pemetaan!$B$4)</f>
        <v>5</v>
      </c>
      <c r="E135" s="0" t="n">
        <f aca="false">MOD(C135,Pemetaan!$B$4)</f>
        <v>8</v>
      </c>
      <c r="F135" s="0" t="n">
        <f aca="false">IF(B135="PRODUKSI",Pemetaan!$B$5,Pemetaan!$B$6)</f>
        <v>5</v>
      </c>
      <c r="G135" s="0" t="n">
        <f aca="false">F135+2+D135</f>
        <v>12</v>
      </c>
      <c r="H135" s="0" t="n">
        <f aca="false">Pemetaan!$B$2+E135</f>
        <v>13</v>
      </c>
      <c r="I135" s="0" t="str">
        <f aca="false">INDEX(Laporan!$A$1:$AZ$300,G135,1)</f>
        <v>Water Treatment</v>
      </c>
      <c r="J135" s="0" t="str">
        <f aca="false">INDEX(Laporan!$A$1:$AZ$300,G135,2)</f>
        <v>330 ml</v>
      </c>
      <c r="K135" s="0" t="str">
        <f aca="false">INDEX(Laporan!$A$1:$AZ$300,G135,3)</f>
        <v>Shift 2</v>
      </c>
      <c r="L135" s="0" t="n">
        <f aca="false">INDEX(Laporan!$A$1:$AZ$300,G135,4)</f>
        <v>3</v>
      </c>
      <c r="M135" s="1" t="n">
        <f aca="false">DATE(Pemetaan!$B$1,VALUE(RIGHT(INDEX(Laporan!$A$1:$AZ$300,F135+1,H135),2)),VALUE(LEFT(INDEX(Laporan!$A$1:$AZ$300,F135+1,H135),2)))</f>
        <v>46093</v>
      </c>
      <c r="N135" s="0" t="n">
        <f aca="false">INDEX(Laporan!$A$1:$AZ$300,G135,H135)</f>
        <v>3047</v>
      </c>
      <c r="O135" s="0" t="n">
        <f aca="false">IF(N135="","",IFERROR(VALUE(SUBSTITUTE(SUBSTITUTE(N135," btl",""),".","")),""))</f>
        <v>3047</v>
      </c>
      <c r="P135" s="0" t="str">
        <f aca="false">IF(B135="PRODUKSI","produced","reject")</f>
        <v>produced</v>
      </c>
    </row>
    <row r="136" customFormat="false" ht="15" hidden="false" customHeight="false" outlineLevel="0" collapsed="false">
      <c r="A136" s="0" t="n">
        <v>135</v>
      </c>
      <c r="B136" s="0" t="str">
        <f aca="false">IF(A136&lt;=36*25,"PRODUKSI","REJECT")</f>
        <v>PRODUKSI</v>
      </c>
      <c r="C136" s="0" t="n">
        <f aca="false">MOD(A136-1,Pemetaan!$B$3*Pemetaan!$B$4)</f>
        <v>134</v>
      </c>
      <c r="D136" s="0" t="n">
        <f aca="false">INT(C136/Pemetaan!$B$4)</f>
        <v>5</v>
      </c>
      <c r="E136" s="0" t="n">
        <f aca="false">MOD(C136,Pemetaan!$B$4)</f>
        <v>9</v>
      </c>
      <c r="F136" s="0" t="n">
        <f aca="false">IF(B136="PRODUKSI",Pemetaan!$B$5,Pemetaan!$B$6)</f>
        <v>5</v>
      </c>
      <c r="G136" s="0" t="n">
        <f aca="false">F136+2+D136</f>
        <v>12</v>
      </c>
      <c r="H136" s="0" t="n">
        <f aca="false">Pemetaan!$B$2+E136</f>
        <v>14</v>
      </c>
      <c r="I136" s="0" t="str">
        <f aca="false">INDEX(Laporan!$A$1:$AZ$300,G136,1)</f>
        <v>Water Treatment</v>
      </c>
      <c r="J136" s="0" t="str">
        <f aca="false">INDEX(Laporan!$A$1:$AZ$300,G136,2)</f>
        <v>330 ml</v>
      </c>
      <c r="K136" s="0" t="str">
        <f aca="false">INDEX(Laporan!$A$1:$AZ$300,G136,3)</f>
        <v>Shift 2</v>
      </c>
      <c r="L136" s="0" t="n">
        <f aca="false">INDEX(Laporan!$A$1:$AZ$300,G136,4)</f>
        <v>3</v>
      </c>
      <c r="M136" s="1" t="n">
        <f aca="false">DATE(Pemetaan!$B$1,VALUE(RIGHT(INDEX(Laporan!$A$1:$AZ$300,F136+1,H136),2)),VALUE(LEFT(INDEX(Laporan!$A$1:$AZ$300,F136+1,H136),2)))</f>
        <v>46094</v>
      </c>
      <c r="N136" s="0" t="n">
        <f aca="false">INDEX(Laporan!$A$1:$AZ$300,G136,H136)</f>
        <v>3196</v>
      </c>
      <c r="O136" s="0" t="n">
        <f aca="false">IF(N136="","",IFERROR(VALUE(SUBSTITUTE(SUBSTITUTE(N136," btl",""),".","")),""))</f>
        <v>3196</v>
      </c>
      <c r="P136" s="0" t="str">
        <f aca="false">IF(B136="PRODUKSI","produced","reject")</f>
        <v>produced</v>
      </c>
    </row>
    <row r="137" customFormat="false" ht="15" hidden="false" customHeight="false" outlineLevel="0" collapsed="false">
      <c r="A137" s="0" t="n">
        <v>136</v>
      </c>
      <c r="B137" s="0" t="str">
        <f aca="false">IF(A137&lt;=36*25,"PRODUKSI","REJECT")</f>
        <v>PRODUKSI</v>
      </c>
      <c r="C137" s="0" t="n">
        <f aca="false">MOD(A137-1,Pemetaan!$B$3*Pemetaan!$B$4)</f>
        <v>135</v>
      </c>
      <c r="D137" s="0" t="n">
        <f aca="false">INT(C137/Pemetaan!$B$4)</f>
        <v>5</v>
      </c>
      <c r="E137" s="0" t="n">
        <f aca="false">MOD(C137,Pemetaan!$B$4)</f>
        <v>10</v>
      </c>
      <c r="F137" s="0" t="n">
        <f aca="false">IF(B137="PRODUKSI",Pemetaan!$B$5,Pemetaan!$B$6)</f>
        <v>5</v>
      </c>
      <c r="G137" s="0" t="n">
        <f aca="false">F137+2+D137</f>
        <v>12</v>
      </c>
      <c r="H137" s="0" t="n">
        <f aca="false">Pemetaan!$B$2+E137</f>
        <v>15</v>
      </c>
      <c r="I137" s="0" t="str">
        <f aca="false">INDEX(Laporan!$A$1:$AZ$300,G137,1)</f>
        <v>Water Treatment</v>
      </c>
      <c r="J137" s="0" t="str">
        <f aca="false">INDEX(Laporan!$A$1:$AZ$300,G137,2)</f>
        <v>330 ml</v>
      </c>
      <c r="K137" s="0" t="str">
        <f aca="false">INDEX(Laporan!$A$1:$AZ$300,G137,3)</f>
        <v>Shift 2</v>
      </c>
      <c r="L137" s="0" t="n">
        <f aca="false">INDEX(Laporan!$A$1:$AZ$300,G137,4)</f>
        <v>3</v>
      </c>
      <c r="M137" s="1" t="n">
        <f aca="false">DATE(Pemetaan!$B$1,VALUE(RIGHT(INDEX(Laporan!$A$1:$AZ$300,F137+1,H137),2)),VALUE(LEFT(INDEX(Laporan!$A$1:$AZ$300,F137+1,H137),2)))</f>
        <v>46097</v>
      </c>
      <c r="N137" s="0" t="str">
        <f aca="false">INDEX(Laporan!$A$1:$AZ$300,G137,H137)</f>
        <v>-</v>
      </c>
      <c r="O137" s="0" t="str">
        <f aca="false">IF(N137="","",IFERROR(VALUE(SUBSTITUTE(SUBSTITUTE(N137," btl",""),".","")),""))</f>
        <v/>
      </c>
      <c r="P137" s="0" t="str">
        <f aca="false">IF(B137="PRODUKSI","produced","reject")</f>
        <v>produced</v>
      </c>
    </row>
    <row r="138" customFormat="false" ht="15" hidden="false" customHeight="false" outlineLevel="0" collapsed="false">
      <c r="A138" s="0" t="n">
        <v>137</v>
      </c>
      <c r="B138" s="0" t="str">
        <f aca="false">IF(A138&lt;=36*25,"PRODUKSI","REJECT")</f>
        <v>PRODUKSI</v>
      </c>
      <c r="C138" s="0" t="n">
        <f aca="false">MOD(A138-1,Pemetaan!$B$3*Pemetaan!$B$4)</f>
        <v>136</v>
      </c>
      <c r="D138" s="0" t="n">
        <f aca="false">INT(C138/Pemetaan!$B$4)</f>
        <v>5</v>
      </c>
      <c r="E138" s="0" t="n">
        <f aca="false">MOD(C138,Pemetaan!$B$4)</f>
        <v>11</v>
      </c>
      <c r="F138" s="0" t="n">
        <f aca="false">IF(B138="PRODUKSI",Pemetaan!$B$5,Pemetaan!$B$6)</f>
        <v>5</v>
      </c>
      <c r="G138" s="0" t="n">
        <f aca="false">F138+2+D138</f>
        <v>12</v>
      </c>
      <c r="H138" s="0" t="n">
        <f aca="false">Pemetaan!$B$2+E138</f>
        <v>16</v>
      </c>
      <c r="I138" s="0" t="str">
        <f aca="false">INDEX(Laporan!$A$1:$AZ$300,G138,1)</f>
        <v>Water Treatment</v>
      </c>
      <c r="J138" s="0" t="str">
        <f aca="false">INDEX(Laporan!$A$1:$AZ$300,G138,2)</f>
        <v>330 ml</v>
      </c>
      <c r="K138" s="0" t="str">
        <f aca="false">INDEX(Laporan!$A$1:$AZ$300,G138,3)</f>
        <v>Shift 2</v>
      </c>
      <c r="L138" s="0" t="n">
        <f aca="false">INDEX(Laporan!$A$1:$AZ$300,G138,4)</f>
        <v>3</v>
      </c>
      <c r="M138" s="1" t="n">
        <f aca="false">DATE(Pemetaan!$B$1,VALUE(RIGHT(INDEX(Laporan!$A$1:$AZ$300,F138+1,H138),2)),VALUE(LEFT(INDEX(Laporan!$A$1:$AZ$300,F138+1,H138),2)))</f>
        <v>46098</v>
      </c>
      <c r="N138" s="0" t="n">
        <f aca="false">INDEX(Laporan!$A$1:$AZ$300,G138,H138)</f>
        <v>3674</v>
      </c>
      <c r="O138" s="0" t="n">
        <f aca="false">IF(N138="","",IFERROR(VALUE(SUBSTITUTE(SUBSTITUTE(N138," btl",""),".","")),""))</f>
        <v>3674</v>
      </c>
      <c r="P138" s="0" t="str">
        <f aca="false">IF(B138="PRODUKSI","produced","reject")</f>
        <v>produced</v>
      </c>
    </row>
    <row r="139" customFormat="false" ht="15" hidden="false" customHeight="false" outlineLevel="0" collapsed="false">
      <c r="A139" s="0" t="n">
        <v>138</v>
      </c>
      <c r="B139" s="0" t="str">
        <f aca="false">IF(A139&lt;=36*25,"PRODUKSI","REJECT")</f>
        <v>PRODUKSI</v>
      </c>
      <c r="C139" s="0" t="n">
        <f aca="false">MOD(A139-1,Pemetaan!$B$3*Pemetaan!$B$4)</f>
        <v>137</v>
      </c>
      <c r="D139" s="0" t="n">
        <f aca="false">INT(C139/Pemetaan!$B$4)</f>
        <v>5</v>
      </c>
      <c r="E139" s="0" t="n">
        <f aca="false">MOD(C139,Pemetaan!$B$4)</f>
        <v>12</v>
      </c>
      <c r="F139" s="0" t="n">
        <f aca="false">IF(B139="PRODUKSI",Pemetaan!$B$5,Pemetaan!$B$6)</f>
        <v>5</v>
      </c>
      <c r="G139" s="0" t="n">
        <f aca="false">F139+2+D139</f>
        <v>12</v>
      </c>
      <c r="H139" s="0" t="n">
        <f aca="false">Pemetaan!$B$2+E139</f>
        <v>17</v>
      </c>
      <c r="I139" s="0" t="str">
        <f aca="false">INDEX(Laporan!$A$1:$AZ$300,G139,1)</f>
        <v>Water Treatment</v>
      </c>
      <c r="J139" s="0" t="str">
        <f aca="false">INDEX(Laporan!$A$1:$AZ$300,G139,2)</f>
        <v>330 ml</v>
      </c>
      <c r="K139" s="0" t="str">
        <f aca="false">INDEX(Laporan!$A$1:$AZ$300,G139,3)</f>
        <v>Shift 2</v>
      </c>
      <c r="L139" s="0" t="n">
        <f aca="false">INDEX(Laporan!$A$1:$AZ$300,G139,4)</f>
        <v>3</v>
      </c>
      <c r="M139" s="1" t="n">
        <f aca="false">DATE(Pemetaan!$B$1,VALUE(RIGHT(INDEX(Laporan!$A$1:$AZ$300,F139+1,H139),2)),VALUE(LEFT(INDEX(Laporan!$A$1:$AZ$300,F139+1,H139),2)))</f>
        <v>46099</v>
      </c>
      <c r="N139" s="0" t="n">
        <f aca="false">INDEX(Laporan!$A$1:$AZ$300,G139,H139)</f>
        <v>3484</v>
      </c>
      <c r="O139" s="0" t="n">
        <f aca="false">IF(N139="","",IFERROR(VALUE(SUBSTITUTE(SUBSTITUTE(N139," btl",""),".","")),""))</f>
        <v>3484</v>
      </c>
      <c r="P139" s="0" t="str">
        <f aca="false">IF(B139="PRODUKSI","produced","reject")</f>
        <v>produced</v>
      </c>
    </row>
    <row r="140" customFormat="false" ht="15" hidden="false" customHeight="false" outlineLevel="0" collapsed="false">
      <c r="A140" s="0" t="n">
        <v>139</v>
      </c>
      <c r="B140" s="0" t="str">
        <f aca="false">IF(A140&lt;=36*25,"PRODUKSI","REJECT")</f>
        <v>PRODUKSI</v>
      </c>
      <c r="C140" s="0" t="n">
        <f aca="false">MOD(A140-1,Pemetaan!$B$3*Pemetaan!$B$4)</f>
        <v>138</v>
      </c>
      <c r="D140" s="0" t="n">
        <f aca="false">INT(C140/Pemetaan!$B$4)</f>
        <v>5</v>
      </c>
      <c r="E140" s="0" t="n">
        <f aca="false">MOD(C140,Pemetaan!$B$4)</f>
        <v>13</v>
      </c>
      <c r="F140" s="0" t="n">
        <f aca="false">IF(B140="PRODUKSI",Pemetaan!$B$5,Pemetaan!$B$6)</f>
        <v>5</v>
      </c>
      <c r="G140" s="0" t="n">
        <f aca="false">F140+2+D140</f>
        <v>12</v>
      </c>
      <c r="H140" s="0" t="n">
        <f aca="false">Pemetaan!$B$2+E140</f>
        <v>18</v>
      </c>
      <c r="I140" s="0" t="str">
        <f aca="false">INDEX(Laporan!$A$1:$AZ$300,G140,1)</f>
        <v>Water Treatment</v>
      </c>
      <c r="J140" s="0" t="str">
        <f aca="false">INDEX(Laporan!$A$1:$AZ$300,G140,2)</f>
        <v>330 ml</v>
      </c>
      <c r="K140" s="0" t="str">
        <f aca="false">INDEX(Laporan!$A$1:$AZ$300,G140,3)</f>
        <v>Shift 2</v>
      </c>
      <c r="L140" s="0" t="n">
        <f aca="false">INDEX(Laporan!$A$1:$AZ$300,G140,4)</f>
        <v>3</v>
      </c>
      <c r="M140" s="1" t="n">
        <f aca="false">DATE(Pemetaan!$B$1,VALUE(RIGHT(INDEX(Laporan!$A$1:$AZ$300,F140+1,H140),2)),VALUE(LEFT(INDEX(Laporan!$A$1:$AZ$300,F140+1,H140),2)))</f>
        <v>46100</v>
      </c>
      <c r="N140" s="0" t="n">
        <f aca="false">INDEX(Laporan!$A$1:$AZ$300,G140,H140)</f>
        <v>3446</v>
      </c>
      <c r="O140" s="0" t="n">
        <f aca="false">IF(N140="","",IFERROR(VALUE(SUBSTITUTE(SUBSTITUTE(N140," btl",""),".","")),""))</f>
        <v>3446</v>
      </c>
      <c r="P140" s="0" t="str">
        <f aca="false">IF(B140="PRODUKSI","produced","reject")</f>
        <v>produced</v>
      </c>
    </row>
    <row r="141" customFormat="false" ht="15" hidden="false" customHeight="false" outlineLevel="0" collapsed="false">
      <c r="A141" s="0" t="n">
        <v>140</v>
      </c>
      <c r="B141" s="0" t="str">
        <f aca="false">IF(A141&lt;=36*25,"PRODUKSI","REJECT")</f>
        <v>PRODUKSI</v>
      </c>
      <c r="C141" s="0" t="n">
        <f aca="false">MOD(A141-1,Pemetaan!$B$3*Pemetaan!$B$4)</f>
        <v>139</v>
      </c>
      <c r="D141" s="0" t="n">
        <f aca="false">INT(C141/Pemetaan!$B$4)</f>
        <v>5</v>
      </c>
      <c r="E141" s="0" t="n">
        <f aca="false">MOD(C141,Pemetaan!$B$4)</f>
        <v>14</v>
      </c>
      <c r="F141" s="0" t="n">
        <f aca="false">IF(B141="PRODUKSI",Pemetaan!$B$5,Pemetaan!$B$6)</f>
        <v>5</v>
      </c>
      <c r="G141" s="0" t="n">
        <f aca="false">F141+2+D141</f>
        <v>12</v>
      </c>
      <c r="H141" s="0" t="n">
        <f aca="false">Pemetaan!$B$2+E141</f>
        <v>19</v>
      </c>
      <c r="I141" s="0" t="str">
        <f aca="false">INDEX(Laporan!$A$1:$AZ$300,G141,1)</f>
        <v>Water Treatment</v>
      </c>
      <c r="J141" s="0" t="str">
        <f aca="false">INDEX(Laporan!$A$1:$AZ$300,G141,2)</f>
        <v>330 ml</v>
      </c>
      <c r="K141" s="0" t="str">
        <f aca="false">INDEX(Laporan!$A$1:$AZ$300,G141,3)</f>
        <v>Shift 2</v>
      </c>
      <c r="L141" s="0" t="n">
        <f aca="false">INDEX(Laporan!$A$1:$AZ$300,G141,4)</f>
        <v>3</v>
      </c>
      <c r="M141" s="1" t="n">
        <f aca="false">DATE(Pemetaan!$B$1,VALUE(RIGHT(INDEX(Laporan!$A$1:$AZ$300,F141+1,H141),2)),VALUE(LEFT(INDEX(Laporan!$A$1:$AZ$300,F141+1,H141),2)))</f>
        <v>46101</v>
      </c>
      <c r="N141" s="0" t="n">
        <f aca="false">INDEX(Laporan!$A$1:$AZ$300,G141,H141)</f>
        <v>3155</v>
      </c>
      <c r="O141" s="0" t="n">
        <f aca="false">IF(N141="","",IFERROR(VALUE(SUBSTITUTE(SUBSTITUTE(N141," btl",""),".","")),""))</f>
        <v>3155</v>
      </c>
      <c r="P141" s="0" t="str">
        <f aca="false">IF(B141="PRODUKSI","produced","reject")</f>
        <v>produced</v>
      </c>
    </row>
    <row r="142" customFormat="false" ht="15" hidden="false" customHeight="false" outlineLevel="0" collapsed="false">
      <c r="A142" s="0" t="n">
        <v>141</v>
      </c>
      <c r="B142" s="0" t="str">
        <f aca="false">IF(A142&lt;=36*25,"PRODUKSI","REJECT")</f>
        <v>PRODUKSI</v>
      </c>
      <c r="C142" s="0" t="n">
        <f aca="false">MOD(A142-1,Pemetaan!$B$3*Pemetaan!$B$4)</f>
        <v>140</v>
      </c>
      <c r="D142" s="0" t="n">
        <f aca="false">INT(C142/Pemetaan!$B$4)</f>
        <v>5</v>
      </c>
      <c r="E142" s="0" t="n">
        <f aca="false">MOD(C142,Pemetaan!$B$4)</f>
        <v>15</v>
      </c>
      <c r="F142" s="0" t="n">
        <f aca="false">IF(B142="PRODUKSI",Pemetaan!$B$5,Pemetaan!$B$6)</f>
        <v>5</v>
      </c>
      <c r="G142" s="0" t="n">
        <f aca="false">F142+2+D142</f>
        <v>12</v>
      </c>
      <c r="H142" s="0" t="n">
        <f aca="false">Pemetaan!$B$2+E142</f>
        <v>20</v>
      </c>
      <c r="I142" s="0" t="str">
        <f aca="false">INDEX(Laporan!$A$1:$AZ$300,G142,1)</f>
        <v>Water Treatment</v>
      </c>
      <c r="J142" s="0" t="str">
        <f aca="false">INDEX(Laporan!$A$1:$AZ$300,G142,2)</f>
        <v>330 ml</v>
      </c>
      <c r="K142" s="0" t="str">
        <f aca="false">INDEX(Laporan!$A$1:$AZ$300,G142,3)</f>
        <v>Shift 2</v>
      </c>
      <c r="L142" s="0" t="n">
        <f aca="false">INDEX(Laporan!$A$1:$AZ$300,G142,4)</f>
        <v>3</v>
      </c>
      <c r="M142" s="1" t="n">
        <f aca="false">DATE(Pemetaan!$B$1,VALUE(RIGHT(INDEX(Laporan!$A$1:$AZ$300,F142+1,H142),2)),VALUE(LEFT(INDEX(Laporan!$A$1:$AZ$300,F142+1,H142),2)))</f>
        <v>46104</v>
      </c>
      <c r="N142" s="0" t="n">
        <f aca="false">INDEX(Laporan!$A$1:$AZ$300,G142,H142)</f>
        <v>3586</v>
      </c>
      <c r="O142" s="0" t="n">
        <f aca="false">IF(N142="","",IFERROR(VALUE(SUBSTITUTE(SUBSTITUTE(N142," btl",""),".","")),""))</f>
        <v>3586</v>
      </c>
      <c r="P142" s="0" t="str">
        <f aca="false">IF(B142="PRODUKSI","produced","reject")</f>
        <v>produced</v>
      </c>
    </row>
    <row r="143" customFormat="false" ht="15" hidden="false" customHeight="false" outlineLevel="0" collapsed="false">
      <c r="A143" s="0" t="n">
        <v>142</v>
      </c>
      <c r="B143" s="0" t="str">
        <f aca="false">IF(A143&lt;=36*25,"PRODUKSI","REJECT")</f>
        <v>PRODUKSI</v>
      </c>
      <c r="C143" s="0" t="n">
        <f aca="false">MOD(A143-1,Pemetaan!$B$3*Pemetaan!$B$4)</f>
        <v>141</v>
      </c>
      <c r="D143" s="0" t="n">
        <f aca="false">INT(C143/Pemetaan!$B$4)</f>
        <v>5</v>
      </c>
      <c r="E143" s="0" t="n">
        <f aca="false">MOD(C143,Pemetaan!$B$4)</f>
        <v>16</v>
      </c>
      <c r="F143" s="0" t="n">
        <f aca="false">IF(B143="PRODUKSI",Pemetaan!$B$5,Pemetaan!$B$6)</f>
        <v>5</v>
      </c>
      <c r="G143" s="0" t="n">
        <f aca="false">F143+2+D143</f>
        <v>12</v>
      </c>
      <c r="H143" s="0" t="n">
        <f aca="false">Pemetaan!$B$2+E143</f>
        <v>21</v>
      </c>
      <c r="I143" s="0" t="str">
        <f aca="false">INDEX(Laporan!$A$1:$AZ$300,G143,1)</f>
        <v>Water Treatment</v>
      </c>
      <c r="J143" s="0" t="str">
        <f aca="false">INDEX(Laporan!$A$1:$AZ$300,G143,2)</f>
        <v>330 ml</v>
      </c>
      <c r="K143" s="0" t="str">
        <f aca="false">INDEX(Laporan!$A$1:$AZ$300,G143,3)</f>
        <v>Shift 2</v>
      </c>
      <c r="L143" s="0" t="n">
        <f aca="false">INDEX(Laporan!$A$1:$AZ$300,G143,4)</f>
        <v>3</v>
      </c>
      <c r="M143" s="1" t="n">
        <f aca="false">DATE(Pemetaan!$B$1,VALUE(RIGHT(INDEX(Laporan!$A$1:$AZ$300,F143+1,H143),2)),VALUE(LEFT(INDEX(Laporan!$A$1:$AZ$300,F143+1,H143),2)))</f>
        <v>46105</v>
      </c>
      <c r="N143" s="0" t="n">
        <f aca="false">INDEX(Laporan!$A$1:$AZ$300,G143,H143)</f>
        <v>3074</v>
      </c>
      <c r="O143" s="0" t="n">
        <f aca="false">IF(N143="","",IFERROR(VALUE(SUBSTITUTE(SUBSTITUTE(N143," btl",""),".","")),""))</f>
        <v>3074</v>
      </c>
      <c r="P143" s="0" t="str">
        <f aca="false">IF(B143="PRODUKSI","produced","reject")</f>
        <v>produced</v>
      </c>
    </row>
    <row r="144" customFormat="false" ht="15" hidden="false" customHeight="false" outlineLevel="0" collapsed="false">
      <c r="A144" s="0" t="n">
        <v>143</v>
      </c>
      <c r="B144" s="0" t="str">
        <f aca="false">IF(A144&lt;=36*25,"PRODUKSI","REJECT")</f>
        <v>PRODUKSI</v>
      </c>
      <c r="C144" s="0" t="n">
        <f aca="false">MOD(A144-1,Pemetaan!$B$3*Pemetaan!$B$4)</f>
        <v>142</v>
      </c>
      <c r="D144" s="0" t="n">
        <f aca="false">INT(C144/Pemetaan!$B$4)</f>
        <v>5</v>
      </c>
      <c r="E144" s="0" t="n">
        <f aca="false">MOD(C144,Pemetaan!$B$4)</f>
        <v>17</v>
      </c>
      <c r="F144" s="0" t="n">
        <f aca="false">IF(B144="PRODUKSI",Pemetaan!$B$5,Pemetaan!$B$6)</f>
        <v>5</v>
      </c>
      <c r="G144" s="0" t="n">
        <f aca="false">F144+2+D144</f>
        <v>12</v>
      </c>
      <c r="H144" s="0" t="n">
        <f aca="false">Pemetaan!$B$2+E144</f>
        <v>22</v>
      </c>
      <c r="I144" s="0" t="str">
        <f aca="false">INDEX(Laporan!$A$1:$AZ$300,G144,1)</f>
        <v>Water Treatment</v>
      </c>
      <c r="J144" s="0" t="str">
        <f aca="false">INDEX(Laporan!$A$1:$AZ$300,G144,2)</f>
        <v>330 ml</v>
      </c>
      <c r="K144" s="0" t="str">
        <f aca="false">INDEX(Laporan!$A$1:$AZ$300,G144,3)</f>
        <v>Shift 2</v>
      </c>
      <c r="L144" s="0" t="n">
        <f aca="false">INDEX(Laporan!$A$1:$AZ$300,G144,4)</f>
        <v>3</v>
      </c>
      <c r="M144" s="1" t="n">
        <f aca="false">DATE(Pemetaan!$B$1,VALUE(RIGHT(INDEX(Laporan!$A$1:$AZ$300,F144+1,H144),2)),VALUE(LEFT(INDEX(Laporan!$A$1:$AZ$300,F144+1,H144),2)))</f>
        <v>46106</v>
      </c>
      <c r="N144" s="0" t="n">
        <f aca="false">INDEX(Laporan!$A$1:$AZ$300,G144,H144)</f>
        <v>3422</v>
      </c>
      <c r="O144" s="0" t="n">
        <f aca="false">IF(N144="","",IFERROR(VALUE(SUBSTITUTE(SUBSTITUTE(N144," btl",""),".","")),""))</f>
        <v>3422</v>
      </c>
      <c r="P144" s="0" t="str">
        <f aca="false">IF(B144="PRODUKSI","produced","reject")</f>
        <v>produced</v>
      </c>
    </row>
    <row r="145" customFormat="false" ht="15" hidden="false" customHeight="false" outlineLevel="0" collapsed="false">
      <c r="A145" s="0" t="n">
        <v>144</v>
      </c>
      <c r="B145" s="0" t="str">
        <f aca="false">IF(A145&lt;=36*25,"PRODUKSI","REJECT")</f>
        <v>PRODUKSI</v>
      </c>
      <c r="C145" s="0" t="n">
        <f aca="false">MOD(A145-1,Pemetaan!$B$3*Pemetaan!$B$4)</f>
        <v>143</v>
      </c>
      <c r="D145" s="0" t="n">
        <f aca="false">INT(C145/Pemetaan!$B$4)</f>
        <v>5</v>
      </c>
      <c r="E145" s="0" t="n">
        <f aca="false">MOD(C145,Pemetaan!$B$4)</f>
        <v>18</v>
      </c>
      <c r="F145" s="0" t="n">
        <f aca="false">IF(B145="PRODUKSI",Pemetaan!$B$5,Pemetaan!$B$6)</f>
        <v>5</v>
      </c>
      <c r="G145" s="0" t="n">
        <f aca="false">F145+2+D145</f>
        <v>12</v>
      </c>
      <c r="H145" s="0" t="n">
        <f aca="false">Pemetaan!$B$2+E145</f>
        <v>23</v>
      </c>
      <c r="I145" s="0" t="str">
        <f aca="false">INDEX(Laporan!$A$1:$AZ$300,G145,1)</f>
        <v>Water Treatment</v>
      </c>
      <c r="J145" s="0" t="str">
        <f aca="false">INDEX(Laporan!$A$1:$AZ$300,G145,2)</f>
        <v>330 ml</v>
      </c>
      <c r="K145" s="0" t="str">
        <f aca="false">INDEX(Laporan!$A$1:$AZ$300,G145,3)</f>
        <v>Shift 2</v>
      </c>
      <c r="L145" s="0" t="n">
        <f aca="false">INDEX(Laporan!$A$1:$AZ$300,G145,4)</f>
        <v>3</v>
      </c>
      <c r="M145" s="1" t="n">
        <f aca="false">DATE(Pemetaan!$B$1,VALUE(RIGHT(INDEX(Laporan!$A$1:$AZ$300,F145+1,H145),2)),VALUE(LEFT(INDEX(Laporan!$A$1:$AZ$300,F145+1,H145),2)))</f>
        <v>46107</v>
      </c>
      <c r="N145" s="0" t="n">
        <f aca="false">INDEX(Laporan!$A$1:$AZ$300,G145,H145)</f>
        <v>3176</v>
      </c>
      <c r="O145" s="0" t="n">
        <f aca="false">IF(N145="","",IFERROR(VALUE(SUBSTITUTE(SUBSTITUTE(N145," btl",""),".","")),""))</f>
        <v>3176</v>
      </c>
      <c r="P145" s="0" t="str">
        <f aca="false">IF(B145="PRODUKSI","produced","reject")</f>
        <v>produced</v>
      </c>
    </row>
    <row r="146" customFormat="false" ht="15" hidden="false" customHeight="false" outlineLevel="0" collapsed="false">
      <c r="A146" s="0" t="n">
        <v>145</v>
      </c>
      <c r="B146" s="0" t="str">
        <f aca="false">IF(A146&lt;=36*25,"PRODUKSI","REJECT")</f>
        <v>PRODUKSI</v>
      </c>
      <c r="C146" s="0" t="n">
        <f aca="false">MOD(A146-1,Pemetaan!$B$3*Pemetaan!$B$4)</f>
        <v>144</v>
      </c>
      <c r="D146" s="0" t="n">
        <f aca="false">INT(C146/Pemetaan!$B$4)</f>
        <v>5</v>
      </c>
      <c r="E146" s="0" t="n">
        <f aca="false">MOD(C146,Pemetaan!$B$4)</f>
        <v>19</v>
      </c>
      <c r="F146" s="0" t="n">
        <f aca="false">IF(B146="PRODUKSI",Pemetaan!$B$5,Pemetaan!$B$6)</f>
        <v>5</v>
      </c>
      <c r="G146" s="0" t="n">
        <f aca="false">F146+2+D146</f>
        <v>12</v>
      </c>
      <c r="H146" s="0" t="n">
        <f aca="false">Pemetaan!$B$2+E146</f>
        <v>24</v>
      </c>
      <c r="I146" s="0" t="str">
        <f aca="false">INDEX(Laporan!$A$1:$AZ$300,G146,1)</f>
        <v>Water Treatment</v>
      </c>
      <c r="J146" s="0" t="str">
        <f aca="false">INDEX(Laporan!$A$1:$AZ$300,G146,2)</f>
        <v>330 ml</v>
      </c>
      <c r="K146" s="0" t="str">
        <f aca="false">INDEX(Laporan!$A$1:$AZ$300,G146,3)</f>
        <v>Shift 2</v>
      </c>
      <c r="L146" s="0" t="n">
        <f aca="false">INDEX(Laporan!$A$1:$AZ$300,G146,4)</f>
        <v>3</v>
      </c>
      <c r="M146" s="1" t="n">
        <f aca="false">DATE(Pemetaan!$B$1,VALUE(RIGHT(INDEX(Laporan!$A$1:$AZ$300,F146+1,H146),2)),VALUE(LEFT(INDEX(Laporan!$A$1:$AZ$300,F146+1,H146),2)))</f>
        <v>46108</v>
      </c>
      <c r="N146" s="0" t="n">
        <f aca="false">INDEX(Laporan!$A$1:$AZ$300,G146,H146)</f>
        <v>3615</v>
      </c>
      <c r="O146" s="0" t="n">
        <f aca="false">IF(N146="","",IFERROR(VALUE(SUBSTITUTE(SUBSTITUTE(N146," btl",""),".","")),""))</f>
        <v>3615</v>
      </c>
      <c r="P146" s="0" t="str">
        <f aca="false">IF(B146="PRODUKSI","produced","reject")</f>
        <v>produced</v>
      </c>
    </row>
    <row r="147" customFormat="false" ht="15" hidden="false" customHeight="false" outlineLevel="0" collapsed="false">
      <c r="A147" s="0" t="n">
        <v>146</v>
      </c>
      <c r="B147" s="0" t="str">
        <f aca="false">IF(A147&lt;=36*25,"PRODUKSI","REJECT")</f>
        <v>PRODUKSI</v>
      </c>
      <c r="C147" s="0" t="n">
        <f aca="false">MOD(A147-1,Pemetaan!$B$3*Pemetaan!$B$4)</f>
        <v>145</v>
      </c>
      <c r="D147" s="0" t="n">
        <f aca="false">INT(C147/Pemetaan!$B$4)</f>
        <v>5</v>
      </c>
      <c r="E147" s="0" t="n">
        <f aca="false">MOD(C147,Pemetaan!$B$4)</f>
        <v>20</v>
      </c>
      <c r="F147" s="0" t="n">
        <f aca="false">IF(B147="PRODUKSI",Pemetaan!$B$5,Pemetaan!$B$6)</f>
        <v>5</v>
      </c>
      <c r="G147" s="0" t="n">
        <f aca="false">F147+2+D147</f>
        <v>12</v>
      </c>
      <c r="H147" s="0" t="n">
        <f aca="false">Pemetaan!$B$2+E147</f>
        <v>25</v>
      </c>
      <c r="I147" s="0" t="str">
        <f aca="false">INDEX(Laporan!$A$1:$AZ$300,G147,1)</f>
        <v>Water Treatment</v>
      </c>
      <c r="J147" s="0" t="str">
        <f aca="false">INDEX(Laporan!$A$1:$AZ$300,G147,2)</f>
        <v>330 ml</v>
      </c>
      <c r="K147" s="0" t="str">
        <f aca="false">INDEX(Laporan!$A$1:$AZ$300,G147,3)</f>
        <v>Shift 2</v>
      </c>
      <c r="L147" s="0" t="n">
        <f aca="false">INDEX(Laporan!$A$1:$AZ$300,G147,4)</f>
        <v>3</v>
      </c>
      <c r="M147" s="1" t="n">
        <f aca="false">DATE(Pemetaan!$B$1,VALUE(RIGHT(INDEX(Laporan!$A$1:$AZ$300,F147+1,H147),2)),VALUE(LEFT(INDEX(Laporan!$A$1:$AZ$300,F147+1,H147),2)))</f>
        <v>46111</v>
      </c>
      <c r="N147" s="0" t="n">
        <f aca="false">INDEX(Laporan!$A$1:$AZ$300,G147,H147)</f>
        <v>3257</v>
      </c>
      <c r="O147" s="0" t="n">
        <f aca="false">IF(N147="","",IFERROR(VALUE(SUBSTITUTE(SUBSTITUTE(N147," btl",""),".","")),""))</f>
        <v>3257</v>
      </c>
      <c r="P147" s="0" t="str">
        <f aca="false">IF(B147="PRODUKSI","produced","reject")</f>
        <v>produced</v>
      </c>
    </row>
    <row r="148" customFormat="false" ht="15" hidden="false" customHeight="false" outlineLevel="0" collapsed="false">
      <c r="A148" s="0" t="n">
        <v>147</v>
      </c>
      <c r="B148" s="0" t="str">
        <f aca="false">IF(A148&lt;=36*25,"PRODUKSI","REJECT")</f>
        <v>PRODUKSI</v>
      </c>
      <c r="C148" s="0" t="n">
        <f aca="false">MOD(A148-1,Pemetaan!$B$3*Pemetaan!$B$4)</f>
        <v>146</v>
      </c>
      <c r="D148" s="0" t="n">
        <f aca="false">INT(C148/Pemetaan!$B$4)</f>
        <v>5</v>
      </c>
      <c r="E148" s="0" t="n">
        <f aca="false">MOD(C148,Pemetaan!$B$4)</f>
        <v>21</v>
      </c>
      <c r="F148" s="0" t="n">
        <f aca="false">IF(B148="PRODUKSI",Pemetaan!$B$5,Pemetaan!$B$6)</f>
        <v>5</v>
      </c>
      <c r="G148" s="0" t="n">
        <f aca="false">F148+2+D148</f>
        <v>12</v>
      </c>
      <c r="H148" s="0" t="n">
        <f aca="false">Pemetaan!$B$2+E148</f>
        <v>26</v>
      </c>
      <c r="I148" s="0" t="str">
        <f aca="false">INDEX(Laporan!$A$1:$AZ$300,G148,1)</f>
        <v>Water Treatment</v>
      </c>
      <c r="J148" s="0" t="str">
        <f aca="false">INDEX(Laporan!$A$1:$AZ$300,G148,2)</f>
        <v>330 ml</v>
      </c>
      <c r="K148" s="0" t="str">
        <f aca="false">INDEX(Laporan!$A$1:$AZ$300,G148,3)</f>
        <v>Shift 2</v>
      </c>
      <c r="L148" s="0" t="n">
        <f aca="false">INDEX(Laporan!$A$1:$AZ$300,G148,4)</f>
        <v>3</v>
      </c>
      <c r="M148" s="1" t="n">
        <f aca="false">DATE(Pemetaan!$B$1,VALUE(RIGHT(INDEX(Laporan!$A$1:$AZ$300,F148+1,H148),2)),VALUE(LEFT(INDEX(Laporan!$A$1:$AZ$300,F148+1,H148),2)))</f>
        <v>46112</v>
      </c>
      <c r="N148" s="0" t="n">
        <f aca="false">INDEX(Laporan!$A$1:$AZ$300,G148,H148)</f>
        <v>3077</v>
      </c>
      <c r="O148" s="0" t="n">
        <f aca="false">IF(N148="","",IFERROR(VALUE(SUBSTITUTE(SUBSTITUTE(N148," btl",""),".","")),""))</f>
        <v>3077</v>
      </c>
      <c r="P148" s="0" t="str">
        <f aca="false">IF(B148="PRODUKSI","produced","reject")</f>
        <v>produced</v>
      </c>
    </row>
    <row r="149" customFormat="false" ht="15" hidden="false" customHeight="false" outlineLevel="0" collapsed="false">
      <c r="A149" s="0" t="n">
        <v>148</v>
      </c>
      <c r="B149" s="0" t="str">
        <f aca="false">IF(A149&lt;=36*25,"PRODUKSI","REJECT")</f>
        <v>PRODUKSI</v>
      </c>
      <c r="C149" s="0" t="n">
        <f aca="false">MOD(A149-1,Pemetaan!$B$3*Pemetaan!$B$4)</f>
        <v>147</v>
      </c>
      <c r="D149" s="0" t="n">
        <f aca="false">INT(C149/Pemetaan!$B$4)</f>
        <v>5</v>
      </c>
      <c r="E149" s="0" t="n">
        <f aca="false">MOD(C149,Pemetaan!$B$4)</f>
        <v>22</v>
      </c>
      <c r="F149" s="0" t="n">
        <f aca="false">IF(B149="PRODUKSI",Pemetaan!$B$5,Pemetaan!$B$6)</f>
        <v>5</v>
      </c>
      <c r="G149" s="0" t="n">
        <f aca="false">F149+2+D149</f>
        <v>12</v>
      </c>
      <c r="H149" s="0" t="n">
        <f aca="false">Pemetaan!$B$2+E149</f>
        <v>27</v>
      </c>
      <c r="I149" s="0" t="str">
        <f aca="false">INDEX(Laporan!$A$1:$AZ$300,G149,1)</f>
        <v>Water Treatment</v>
      </c>
      <c r="J149" s="0" t="str">
        <f aca="false">INDEX(Laporan!$A$1:$AZ$300,G149,2)</f>
        <v>330 ml</v>
      </c>
      <c r="K149" s="0" t="str">
        <f aca="false">INDEX(Laporan!$A$1:$AZ$300,G149,3)</f>
        <v>Shift 2</v>
      </c>
      <c r="L149" s="0" t="n">
        <f aca="false">INDEX(Laporan!$A$1:$AZ$300,G149,4)</f>
        <v>3</v>
      </c>
      <c r="M149" s="1" t="n">
        <f aca="false">DATE(Pemetaan!$B$1,VALUE(RIGHT(INDEX(Laporan!$A$1:$AZ$300,F149+1,H149),2)),VALUE(LEFT(INDEX(Laporan!$A$1:$AZ$300,F149+1,H149),2)))</f>
        <v>46113</v>
      </c>
      <c r="N149" s="0" t="n">
        <f aca="false">INDEX(Laporan!$A$1:$AZ$300,G149,H149)</f>
        <v>3277</v>
      </c>
      <c r="O149" s="0" t="n">
        <f aca="false">IF(N149="","",IFERROR(VALUE(SUBSTITUTE(SUBSTITUTE(N149," btl",""),".","")),""))</f>
        <v>3277</v>
      </c>
      <c r="P149" s="0" t="str">
        <f aca="false">IF(B149="PRODUKSI","produced","reject")</f>
        <v>produced</v>
      </c>
    </row>
    <row r="150" customFormat="false" ht="15" hidden="false" customHeight="false" outlineLevel="0" collapsed="false">
      <c r="A150" s="0" t="n">
        <v>149</v>
      </c>
      <c r="B150" s="0" t="str">
        <f aca="false">IF(A150&lt;=36*25,"PRODUKSI","REJECT")</f>
        <v>PRODUKSI</v>
      </c>
      <c r="C150" s="0" t="n">
        <f aca="false">MOD(A150-1,Pemetaan!$B$3*Pemetaan!$B$4)</f>
        <v>148</v>
      </c>
      <c r="D150" s="0" t="n">
        <f aca="false">INT(C150/Pemetaan!$B$4)</f>
        <v>5</v>
      </c>
      <c r="E150" s="0" t="n">
        <f aca="false">MOD(C150,Pemetaan!$B$4)</f>
        <v>23</v>
      </c>
      <c r="F150" s="0" t="n">
        <f aca="false">IF(B150="PRODUKSI",Pemetaan!$B$5,Pemetaan!$B$6)</f>
        <v>5</v>
      </c>
      <c r="G150" s="0" t="n">
        <f aca="false">F150+2+D150</f>
        <v>12</v>
      </c>
      <c r="H150" s="0" t="n">
        <f aca="false">Pemetaan!$B$2+E150</f>
        <v>28</v>
      </c>
      <c r="I150" s="0" t="str">
        <f aca="false">INDEX(Laporan!$A$1:$AZ$300,G150,1)</f>
        <v>Water Treatment</v>
      </c>
      <c r="J150" s="0" t="str">
        <f aca="false">INDEX(Laporan!$A$1:$AZ$300,G150,2)</f>
        <v>330 ml</v>
      </c>
      <c r="K150" s="0" t="str">
        <f aca="false">INDEX(Laporan!$A$1:$AZ$300,G150,3)</f>
        <v>Shift 2</v>
      </c>
      <c r="L150" s="0" t="n">
        <f aca="false">INDEX(Laporan!$A$1:$AZ$300,G150,4)</f>
        <v>3</v>
      </c>
      <c r="M150" s="1" t="n">
        <f aca="false">DATE(Pemetaan!$B$1,VALUE(RIGHT(INDEX(Laporan!$A$1:$AZ$300,F150+1,H150),2)),VALUE(LEFT(INDEX(Laporan!$A$1:$AZ$300,F150+1,H150),2)))</f>
        <v>46114</v>
      </c>
      <c r="N150" s="0" t="n">
        <f aca="false">INDEX(Laporan!$A$1:$AZ$300,G150,H150)</f>
        <v>3460</v>
      </c>
      <c r="O150" s="0" t="n">
        <f aca="false">IF(N150="","",IFERROR(VALUE(SUBSTITUTE(SUBSTITUTE(N150," btl",""),".","")),""))</f>
        <v>3460</v>
      </c>
      <c r="P150" s="0" t="str">
        <f aca="false">IF(B150="PRODUKSI","produced","reject")</f>
        <v>produced</v>
      </c>
    </row>
    <row r="151" customFormat="false" ht="15" hidden="false" customHeight="false" outlineLevel="0" collapsed="false">
      <c r="A151" s="0" t="n">
        <v>150</v>
      </c>
      <c r="B151" s="0" t="str">
        <f aca="false">IF(A151&lt;=36*25,"PRODUKSI","REJECT")</f>
        <v>PRODUKSI</v>
      </c>
      <c r="C151" s="0" t="n">
        <f aca="false">MOD(A151-1,Pemetaan!$B$3*Pemetaan!$B$4)</f>
        <v>149</v>
      </c>
      <c r="D151" s="0" t="n">
        <f aca="false">INT(C151/Pemetaan!$B$4)</f>
        <v>5</v>
      </c>
      <c r="E151" s="0" t="n">
        <f aca="false">MOD(C151,Pemetaan!$B$4)</f>
        <v>24</v>
      </c>
      <c r="F151" s="0" t="n">
        <f aca="false">IF(B151="PRODUKSI",Pemetaan!$B$5,Pemetaan!$B$6)</f>
        <v>5</v>
      </c>
      <c r="G151" s="0" t="n">
        <f aca="false">F151+2+D151</f>
        <v>12</v>
      </c>
      <c r="H151" s="0" t="n">
        <f aca="false">Pemetaan!$B$2+E151</f>
        <v>29</v>
      </c>
      <c r="I151" s="0" t="str">
        <f aca="false">INDEX(Laporan!$A$1:$AZ$300,G151,1)</f>
        <v>Water Treatment</v>
      </c>
      <c r="J151" s="0" t="str">
        <f aca="false">INDEX(Laporan!$A$1:$AZ$300,G151,2)</f>
        <v>330 ml</v>
      </c>
      <c r="K151" s="0" t="str">
        <f aca="false">INDEX(Laporan!$A$1:$AZ$300,G151,3)</f>
        <v>Shift 2</v>
      </c>
      <c r="L151" s="0" t="n">
        <f aca="false">INDEX(Laporan!$A$1:$AZ$300,G151,4)</f>
        <v>3</v>
      </c>
      <c r="M151" s="1" t="n">
        <f aca="false">DATE(Pemetaan!$B$1,VALUE(RIGHT(INDEX(Laporan!$A$1:$AZ$300,F151+1,H151),2)),VALUE(LEFT(INDEX(Laporan!$A$1:$AZ$300,F151+1,H151),2)))</f>
        <v>46115</v>
      </c>
      <c r="N151" s="0" t="n">
        <f aca="false">INDEX(Laporan!$A$1:$AZ$300,G151,H151)</f>
        <v>2930</v>
      </c>
      <c r="O151" s="0" t="n">
        <f aca="false">IF(N151="","",IFERROR(VALUE(SUBSTITUTE(SUBSTITUTE(N151," btl",""),".","")),""))</f>
        <v>2930</v>
      </c>
      <c r="P151" s="0" t="str">
        <f aca="false">IF(B151="PRODUKSI","produced","reject")</f>
        <v>produced</v>
      </c>
    </row>
    <row r="152" customFormat="false" ht="15" hidden="false" customHeight="false" outlineLevel="0" collapsed="false">
      <c r="A152" s="0" t="n">
        <v>151</v>
      </c>
      <c r="B152" s="0" t="str">
        <f aca="false">IF(A152&lt;=36*25,"PRODUKSI","REJECT")</f>
        <v>PRODUKSI</v>
      </c>
      <c r="C152" s="0" t="n">
        <f aca="false">MOD(A152-1,Pemetaan!$B$3*Pemetaan!$B$4)</f>
        <v>150</v>
      </c>
      <c r="D152" s="0" t="n">
        <f aca="false">INT(C152/Pemetaan!$B$4)</f>
        <v>6</v>
      </c>
      <c r="E152" s="0" t="n">
        <f aca="false">MOD(C152,Pemetaan!$B$4)</f>
        <v>0</v>
      </c>
      <c r="F152" s="0" t="n">
        <f aca="false">IF(B152="PRODUKSI",Pemetaan!$B$5,Pemetaan!$B$6)</f>
        <v>5</v>
      </c>
      <c r="G152" s="0" t="n">
        <f aca="false">F152+2+D152</f>
        <v>13</v>
      </c>
      <c r="H152" s="0" t="n">
        <f aca="false">Pemetaan!$B$2+E152</f>
        <v>5</v>
      </c>
      <c r="I152" s="0" t="str">
        <f aca="false">INDEX(Laporan!$A$1:$AZ$300,G152,1)</f>
        <v>Water Treatment</v>
      </c>
      <c r="J152" s="0" t="str">
        <f aca="false">INDEX(Laporan!$A$1:$AZ$300,G152,2)</f>
        <v>600 ml</v>
      </c>
      <c r="K152" s="0" t="str">
        <f aca="false">INDEX(Laporan!$A$1:$AZ$300,G152,3)</f>
        <v>Shift 1</v>
      </c>
      <c r="L152" s="0" t="n">
        <f aca="false">INDEX(Laporan!$A$1:$AZ$300,G152,4)</f>
        <v>1</v>
      </c>
      <c r="M152" s="1" t="n">
        <f aca="false">DATE(Pemetaan!$B$1,VALUE(RIGHT(INDEX(Laporan!$A$1:$AZ$300,F152+1,H152),2)),VALUE(LEFT(INDEX(Laporan!$A$1:$AZ$300,F152+1,H152),2)))</f>
        <v>46083</v>
      </c>
      <c r="N152" s="0" t="n">
        <f aca="false">INDEX(Laporan!$A$1:$AZ$300,G152,H152)</f>
        <v>2820</v>
      </c>
      <c r="O152" s="0" t="n">
        <f aca="false">IF(N152="","",IFERROR(VALUE(SUBSTITUTE(SUBSTITUTE(N152," btl",""),".","")),""))</f>
        <v>2820</v>
      </c>
      <c r="P152" s="0" t="str">
        <f aca="false">IF(B152="PRODUKSI","produced","reject")</f>
        <v>produced</v>
      </c>
    </row>
    <row r="153" customFormat="false" ht="15" hidden="false" customHeight="false" outlineLevel="0" collapsed="false">
      <c r="A153" s="0" t="n">
        <v>152</v>
      </c>
      <c r="B153" s="0" t="str">
        <f aca="false">IF(A153&lt;=36*25,"PRODUKSI","REJECT")</f>
        <v>PRODUKSI</v>
      </c>
      <c r="C153" s="0" t="n">
        <f aca="false">MOD(A153-1,Pemetaan!$B$3*Pemetaan!$B$4)</f>
        <v>151</v>
      </c>
      <c r="D153" s="0" t="n">
        <f aca="false">INT(C153/Pemetaan!$B$4)</f>
        <v>6</v>
      </c>
      <c r="E153" s="0" t="n">
        <f aca="false">MOD(C153,Pemetaan!$B$4)</f>
        <v>1</v>
      </c>
      <c r="F153" s="0" t="n">
        <f aca="false">IF(B153="PRODUKSI",Pemetaan!$B$5,Pemetaan!$B$6)</f>
        <v>5</v>
      </c>
      <c r="G153" s="0" t="n">
        <f aca="false">F153+2+D153</f>
        <v>13</v>
      </c>
      <c r="H153" s="0" t="n">
        <f aca="false">Pemetaan!$B$2+E153</f>
        <v>6</v>
      </c>
      <c r="I153" s="0" t="str">
        <f aca="false">INDEX(Laporan!$A$1:$AZ$300,G153,1)</f>
        <v>Water Treatment</v>
      </c>
      <c r="J153" s="0" t="str">
        <f aca="false">INDEX(Laporan!$A$1:$AZ$300,G153,2)</f>
        <v>600 ml</v>
      </c>
      <c r="K153" s="0" t="str">
        <f aca="false">INDEX(Laporan!$A$1:$AZ$300,G153,3)</f>
        <v>Shift 1</v>
      </c>
      <c r="L153" s="0" t="n">
        <f aca="false">INDEX(Laporan!$A$1:$AZ$300,G153,4)</f>
        <v>1</v>
      </c>
      <c r="M153" s="1" t="n">
        <f aca="false">DATE(Pemetaan!$B$1,VALUE(RIGHT(INDEX(Laporan!$A$1:$AZ$300,F153+1,H153),2)),VALUE(LEFT(INDEX(Laporan!$A$1:$AZ$300,F153+1,H153),2)))</f>
        <v>46084</v>
      </c>
      <c r="N153" s="0" t="n">
        <f aca="false">INDEX(Laporan!$A$1:$AZ$300,G153,H153)</f>
        <v>2607</v>
      </c>
      <c r="O153" s="0" t="n">
        <f aca="false">IF(N153="","",IFERROR(VALUE(SUBSTITUTE(SUBSTITUTE(N153," btl",""),".","")),""))</f>
        <v>2607</v>
      </c>
      <c r="P153" s="0" t="str">
        <f aca="false">IF(B153="PRODUKSI","produced","reject")</f>
        <v>produced</v>
      </c>
    </row>
    <row r="154" customFormat="false" ht="15" hidden="false" customHeight="false" outlineLevel="0" collapsed="false">
      <c r="A154" s="0" t="n">
        <v>153</v>
      </c>
      <c r="B154" s="0" t="str">
        <f aca="false">IF(A154&lt;=36*25,"PRODUKSI","REJECT")</f>
        <v>PRODUKSI</v>
      </c>
      <c r="C154" s="0" t="n">
        <f aca="false">MOD(A154-1,Pemetaan!$B$3*Pemetaan!$B$4)</f>
        <v>152</v>
      </c>
      <c r="D154" s="0" t="n">
        <f aca="false">INT(C154/Pemetaan!$B$4)</f>
        <v>6</v>
      </c>
      <c r="E154" s="0" t="n">
        <f aca="false">MOD(C154,Pemetaan!$B$4)</f>
        <v>2</v>
      </c>
      <c r="F154" s="0" t="n">
        <f aca="false">IF(B154="PRODUKSI",Pemetaan!$B$5,Pemetaan!$B$6)</f>
        <v>5</v>
      </c>
      <c r="G154" s="0" t="n">
        <f aca="false">F154+2+D154</f>
        <v>13</v>
      </c>
      <c r="H154" s="0" t="n">
        <f aca="false">Pemetaan!$B$2+E154</f>
        <v>7</v>
      </c>
      <c r="I154" s="0" t="str">
        <f aca="false">INDEX(Laporan!$A$1:$AZ$300,G154,1)</f>
        <v>Water Treatment</v>
      </c>
      <c r="J154" s="0" t="str">
        <f aca="false">INDEX(Laporan!$A$1:$AZ$300,G154,2)</f>
        <v>600 ml</v>
      </c>
      <c r="K154" s="0" t="str">
        <f aca="false">INDEX(Laporan!$A$1:$AZ$300,G154,3)</f>
        <v>Shift 1</v>
      </c>
      <c r="L154" s="0" t="n">
        <f aca="false">INDEX(Laporan!$A$1:$AZ$300,G154,4)</f>
        <v>1</v>
      </c>
      <c r="M154" s="1" t="n">
        <f aca="false">DATE(Pemetaan!$B$1,VALUE(RIGHT(INDEX(Laporan!$A$1:$AZ$300,F154+1,H154),2)),VALUE(LEFT(INDEX(Laporan!$A$1:$AZ$300,F154+1,H154),2)))</f>
        <v>46085</v>
      </c>
      <c r="N154" s="0" t="n">
        <f aca="false">INDEX(Laporan!$A$1:$AZ$300,G154,H154)</f>
        <v>2633</v>
      </c>
      <c r="O154" s="0" t="n">
        <f aca="false">IF(N154="","",IFERROR(VALUE(SUBSTITUTE(SUBSTITUTE(N154," btl",""),".","")),""))</f>
        <v>2633</v>
      </c>
      <c r="P154" s="0" t="str">
        <f aca="false">IF(B154="PRODUKSI","produced","reject")</f>
        <v>produced</v>
      </c>
    </row>
    <row r="155" customFormat="false" ht="15" hidden="false" customHeight="false" outlineLevel="0" collapsed="false">
      <c r="A155" s="0" t="n">
        <v>154</v>
      </c>
      <c r="B155" s="0" t="str">
        <f aca="false">IF(A155&lt;=36*25,"PRODUKSI","REJECT")</f>
        <v>PRODUKSI</v>
      </c>
      <c r="C155" s="0" t="n">
        <f aca="false">MOD(A155-1,Pemetaan!$B$3*Pemetaan!$B$4)</f>
        <v>153</v>
      </c>
      <c r="D155" s="0" t="n">
        <f aca="false">INT(C155/Pemetaan!$B$4)</f>
        <v>6</v>
      </c>
      <c r="E155" s="0" t="n">
        <f aca="false">MOD(C155,Pemetaan!$B$4)</f>
        <v>3</v>
      </c>
      <c r="F155" s="0" t="n">
        <f aca="false">IF(B155="PRODUKSI",Pemetaan!$B$5,Pemetaan!$B$6)</f>
        <v>5</v>
      </c>
      <c r="G155" s="0" t="n">
        <f aca="false">F155+2+D155</f>
        <v>13</v>
      </c>
      <c r="H155" s="0" t="n">
        <f aca="false">Pemetaan!$B$2+E155</f>
        <v>8</v>
      </c>
      <c r="I155" s="0" t="str">
        <f aca="false">INDEX(Laporan!$A$1:$AZ$300,G155,1)</f>
        <v>Water Treatment</v>
      </c>
      <c r="J155" s="0" t="str">
        <f aca="false">INDEX(Laporan!$A$1:$AZ$300,G155,2)</f>
        <v>600 ml</v>
      </c>
      <c r="K155" s="0" t="str">
        <f aca="false">INDEX(Laporan!$A$1:$AZ$300,G155,3)</f>
        <v>Shift 1</v>
      </c>
      <c r="L155" s="0" t="n">
        <f aca="false">INDEX(Laporan!$A$1:$AZ$300,G155,4)</f>
        <v>1</v>
      </c>
      <c r="M155" s="1" t="n">
        <f aca="false">DATE(Pemetaan!$B$1,VALUE(RIGHT(INDEX(Laporan!$A$1:$AZ$300,F155+1,H155),2)),VALUE(LEFT(INDEX(Laporan!$A$1:$AZ$300,F155+1,H155),2)))</f>
        <v>46086</v>
      </c>
      <c r="N155" s="0" t="n">
        <f aca="false">INDEX(Laporan!$A$1:$AZ$300,G155,H155)</f>
        <v>2858</v>
      </c>
      <c r="O155" s="0" t="n">
        <f aca="false">IF(N155="","",IFERROR(VALUE(SUBSTITUTE(SUBSTITUTE(N155," btl",""),".","")),""))</f>
        <v>2858</v>
      </c>
      <c r="P155" s="0" t="str">
        <f aca="false">IF(B155="PRODUKSI","produced","reject")</f>
        <v>produced</v>
      </c>
    </row>
    <row r="156" customFormat="false" ht="15" hidden="false" customHeight="false" outlineLevel="0" collapsed="false">
      <c r="A156" s="0" t="n">
        <v>155</v>
      </c>
      <c r="B156" s="0" t="str">
        <f aca="false">IF(A156&lt;=36*25,"PRODUKSI","REJECT")</f>
        <v>PRODUKSI</v>
      </c>
      <c r="C156" s="0" t="n">
        <f aca="false">MOD(A156-1,Pemetaan!$B$3*Pemetaan!$B$4)</f>
        <v>154</v>
      </c>
      <c r="D156" s="0" t="n">
        <f aca="false">INT(C156/Pemetaan!$B$4)</f>
        <v>6</v>
      </c>
      <c r="E156" s="0" t="n">
        <f aca="false">MOD(C156,Pemetaan!$B$4)</f>
        <v>4</v>
      </c>
      <c r="F156" s="0" t="n">
        <f aca="false">IF(B156="PRODUKSI",Pemetaan!$B$5,Pemetaan!$B$6)</f>
        <v>5</v>
      </c>
      <c r="G156" s="0" t="n">
        <f aca="false">F156+2+D156</f>
        <v>13</v>
      </c>
      <c r="H156" s="0" t="n">
        <f aca="false">Pemetaan!$B$2+E156</f>
        <v>9</v>
      </c>
      <c r="I156" s="0" t="str">
        <f aca="false">INDEX(Laporan!$A$1:$AZ$300,G156,1)</f>
        <v>Water Treatment</v>
      </c>
      <c r="J156" s="0" t="str">
        <f aca="false">INDEX(Laporan!$A$1:$AZ$300,G156,2)</f>
        <v>600 ml</v>
      </c>
      <c r="K156" s="0" t="str">
        <f aca="false">INDEX(Laporan!$A$1:$AZ$300,G156,3)</f>
        <v>Shift 1</v>
      </c>
      <c r="L156" s="0" t="n">
        <f aca="false">INDEX(Laporan!$A$1:$AZ$300,G156,4)</f>
        <v>1</v>
      </c>
      <c r="M156" s="1" t="n">
        <f aca="false">DATE(Pemetaan!$B$1,VALUE(RIGHT(INDEX(Laporan!$A$1:$AZ$300,F156+1,H156),2)),VALUE(LEFT(INDEX(Laporan!$A$1:$AZ$300,F156+1,H156),2)))</f>
        <v>46087</v>
      </c>
      <c r="N156" s="0" t="n">
        <f aca="false">INDEX(Laporan!$A$1:$AZ$300,G156,H156)</f>
        <v>2679</v>
      </c>
      <c r="O156" s="0" t="n">
        <f aca="false">IF(N156="","",IFERROR(VALUE(SUBSTITUTE(SUBSTITUTE(N156," btl",""),".","")),""))</f>
        <v>2679</v>
      </c>
      <c r="P156" s="0" t="str">
        <f aca="false">IF(B156="PRODUKSI","produced","reject")</f>
        <v>produced</v>
      </c>
    </row>
    <row r="157" customFormat="false" ht="15" hidden="false" customHeight="false" outlineLevel="0" collapsed="false">
      <c r="A157" s="0" t="n">
        <v>156</v>
      </c>
      <c r="B157" s="0" t="str">
        <f aca="false">IF(A157&lt;=36*25,"PRODUKSI","REJECT")</f>
        <v>PRODUKSI</v>
      </c>
      <c r="C157" s="0" t="n">
        <f aca="false">MOD(A157-1,Pemetaan!$B$3*Pemetaan!$B$4)</f>
        <v>155</v>
      </c>
      <c r="D157" s="0" t="n">
        <f aca="false">INT(C157/Pemetaan!$B$4)</f>
        <v>6</v>
      </c>
      <c r="E157" s="0" t="n">
        <f aca="false">MOD(C157,Pemetaan!$B$4)</f>
        <v>5</v>
      </c>
      <c r="F157" s="0" t="n">
        <f aca="false">IF(B157="PRODUKSI",Pemetaan!$B$5,Pemetaan!$B$6)</f>
        <v>5</v>
      </c>
      <c r="G157" s="0" t="n">
        <f aca="false">F157+2+D157</f>
        <v>13</v>
      </c>
      <c r="H157" s="0" t="n">
        <f aca="false">Pemetaan!$B$2+E157</f>
        <v>10</v>
      </c>
      <c r="I157" s="0" t="str">
        <f aca="false">INDEX(Laporan!$A$1:$AZ$300,G157,1)</f>
        <v>Water Treatment</v>
      </c>
      <c r="J157" s="0" t="str">
        <f aca="false">INDEX(Laporan!$A$1:$AZ$300,G157,2)</f>
        <v>600 ml</v>
      </c>
      <c r="K157" s="0" t="str">
        <f aca="false">INDEX(Laporan!$A$1:$AZ$300,G157,3)</f>
        <v>Shift 1</v>
      </c>
      <c r="L157" s="0" t="n">
        <f aca="false">INDEX(Laporan!$A$1:$AZ$300,G157,4)</f>
        <v>1</v>
      </c>
      <c r="M157" s="1" t="n">
        <f aca="false">DATE(Pemetaan!$B$1,VALUE(RIGHT(INDEX(Laporan!$A$1:$AZ$300,F157+1,H157),2)),VALUE(LEFT(INDEX(Laporan!$A$1:$AZ$300,F157+1,H157),2)))</f>
        <v>46090</v>
      </c>
      <c r="N157" s="0" t="n">
        <f aca="false">INDEX(Laporan!$A$1:$AZ$300,G157,H157)</f>
        <v>3126</v>
      </c>
      <c r="O157" s="0" t="n">
        <f aca="false">IF(N157="","",IFERROR(VALUE(SUBSTITUTE(SUBSTITUTE(N157," btl",""),".","")),""))</f>
        <v>3126</v>
      </c>
      <c r="P157" s="0" t="str">
        <f aca="false">IF(B157="PRODUKSI","produced","reject")</f>
        <v>produced</v>
      </c>
    </row>
    <row r="158" customFormat="false" ht="15" hidden="false" customHeight="false" outlineLevel="0" collapsed="false">
      <c r="A158" s="0" t="n">
        <v>157</v>
      </c>
      <c r="B158" s="0" t="str">
        <f aca="false">IF(A158&lt;=36*25,"PRODUKSI","REJECT")</f>
        <v>PRODUKSI</v>
      </c>
      <c r="C158" s="0" t="n">
        <f aca="false">MOD(A158-1,Pemetaan!$B$3*Pemetaan!$B$4)</f>
        <v>156</v>
      </c>
      <c r="D158" s="0" t="n">
        <f aca="false">INT(C158/Pemetaan!$B$4)</f>
        <v>6</v>
      </c>
      <c r="E158" s="0" t="n">
        <f aca="false">MOD(C158,Pemetaan!$B$4)</f>
        <v>6</v>
      </c>
      <c r="F158" s="0" t="n">
        <f aca="false">IF(B158="PRODUKSI",Pemetaan!$B$5,Pemetaan!$B$6)</f>
        <v>5</v>
      </c>
      <c r="G158" s="0" t="n">
        <f aca="false">F158+2+D158</f>
        <v>13</v>
      </c>
      <c r="H158" s="0" t="n">
        <f aca="false">Pemetaan!$B$2+E158</f>
        <v>11</v>
      </c>
      <c r="I158" s="0" t="str">
        <f aca="false">INDEX(Laporan!$A$1:$AZ$300,G158,1)</f>
        <v>Water Treatment</v>
      </c>
      <c r="J158" s="0" t="str">
        <f aca="false">INDEX(Laporan!$A$1:$AZ$300,G158,2)</f>
        <v>600 ml</v>
      </c>
      <c r="K158" s="0" t="str">
        <f aca="false">INDEX(Laporan!$A$1:$AZ$300,G158,3)</f>
        <v>Shift 1</v>
      </c>
      <c r="L158" s="0" t="n">
        <f aca="false">INDEX(Laporan!$A$1:$AZ$300,G158,4)</f>
        <v>1</v>
      </c>
      <c r="M158" s="1" t="n">
        <f aca="false">DATE(Pemetaan!$B$1,VALUE(RIGHT(INDEX(Laporan!$A$1:$AZ$300,F158+1,H158),2)),VALUE(LEFT(INDEX(Laporan!$A$1:$AZ$300,F158+1,H158),2)))</f>
        <v>46091</v>
      </c>
      <c r="N158" s="0" t="n">
        <f aca="false">INDEX(Laporan!$A$1:$AZ$300,G158,H158)</f>
        <v>2795</v>
      </c>
      <c r="O158" s="0" t="n">
        <f aca="false">IF(N158="","",IFERROR(VALUE(SUBSTITUTE(SUBSTITUTE(N158," btl",""),".","")),""))</f>
        <v>2795</v>
      </c>
      <c r="P158" s="0" t="str">
        <f aca="false">IF(B158="PRODUKSI","produced","reject")</f>
        <v>produced</v>
      </c>
    </row>
    <row r="159" customFormat="false" ht="15" hidden="false" customHeight="false" outlineLevel="0" collapsed="false">
      <c r="A159" s="0" t="n">
        <v>158</v>
      </c>
      <c r="B159" s="0" t="str">
        <f aca="false">IF(A159&lt;=36*25,"PRODUKSI","REJECT")</f>
        <v>PRODUKSI</v>
      </c>
      <c r="C159" s="0" t="n">
        <f aca="false">MOD(A159-1,Pemetaan!$B$3*Pemetaan!$B$4)</f>
        <v>157</v>
      </c>
      <c r="D159" s="0" t="n">
        <f aca="false">INT(C159/Pemetaan!$B$4)</f>
        <v>6</v>
      </c>
      <c r="E159" s="0" t="n">
        <f aca="false">MOD(C159,Pemetaan!$B$4)</f>
        <v>7</v>
      </c>
      <c r="F159" s="0" t="n">
        <f aca="false">IF(B159="PRODUKSI",Pemetaan!$B$5,Pemetaan!$B$6)</f>
        <v>5</v>
      </c>
      <c r="G159" s="0" t="n">
        <f aca="false">F159+2+D159</f>
        <v>13</v>
      </c>
      <c r="H159" s="0" t="n">
        <f aca="false">Pemetaan!$B$2+E159</f>
        <v>12</v>
      </c>
      <c r="I159" s="0" t="str">
        <f aca="false">INDEX(Laporan!$A$1:$AZ$300,G159,1)</f>
        <v>Water Treatment</v>
      </c>
      <c r="J159" s="0" t="str">
        <f aca="false">INDEX(Laporan!$A$1:$AZ$300,G159,2)</f>
        <v>600 ml</v>
      </c>
      <c r="K159" s="0" t="str">
        <f aca="false">INDEX(Laporan!$A$1:$AZ$300,G159,3)</f>
        <v>Shift 1</v>
      </c>
      <c r="L159" s="0" t="n">
        <f aca="false">INDEX(Laporan!$A$1:$AZ$300,G159,4)</f>
        <v>1</v>
      </c>
      <c r="M159" s="1" t="n">
        <f aca="false">DATE(Pemetaan!$B$1,VALUE(RIGHT(INDEX(Laporan!$A$1:$AZ$300,F159+1,H159),2)),VALUE(LEFT(INDEX(Laporan!$A$1:$AZ$300,F159+1,H159),2)))</f>
        <v>46092</v>
      </c>
      <c r="N159" s="0" t="n">
        <f aca="false">INDEX(Laporan!$A$1:$AZ$300,G159,H159)</f>
        <v>2740</v>
      </c>
      <c r="O159" s="0" t="n">
        <f aca="false">IF(N159="","",IFERROR(VALUE(SUBSTITUTE(SUBSTITUTE(N159," btl",""),".","")),""))</f>
        <v>2740</v>
      </c>
      <c r="P159" s="0" t="str">
        <f aca="false">IF(B159="PRODUKSI","produced","reject")</f>
        <v>produced</v>
      </c>
    </row>
    <row r="160" customFormat="false" ht="15" hidden="false" customHeight="false" outlineLevel="0" collapsed="false">
      <c r="A160" s="0" t="n">
        <v>159</v>
      </c>
      <c r="B160" s="0" t="str">
        <f aca="false">IF(A160&lt;=36*25,"PRODUKSI","REJECT")</f>
        <v>PRODUKSI</v>
      </c>
      <c r="C160" s="0" t="n">
        <f aca="false">MOD(A160-1,Pemetaan!$B$3*Pemetaan!$B$4)</f>
        <v>158</v>
      </c>
      <c r="D160" s="0" t="n">
        <f aca="false">INT(C160/Pemetaan!$B$4)</f>
        <v>6</v>
      </c>
      <c r="E160" s="0" t="n">
        <f aca="false">MOD(C160,Pemetaan!$B$4)</f>
        <v>8</v>
      </c>
      <c r="F160" s="0" t="n">
        <f aca="false">IF(B160="PRODUKSI",Pemetaan!$B$5,Pemetaan!$B$6)</f>
        <v>5</v>
      </c>
      <c r="G160" s="0" t="n">
        <f aca="false">F160+2+D160</f>
        <v>13</v>
      </c>
      <c r="H160" s="0" t="n">
        <f aca="false">Pemetaan!$B$2+E160</f>
        <v>13</v>
      </c>
      <c r="I160" s="0" t="str">
        <f aca="false">INDEX(Laporan!$A$1:$AZ$300,G160,1)</f>
        <v>Water Treatment</v>
      </c>
      <c r="J160" s="0" t="str">
        <f aca="false">INDEX(Laporan!$A$1:$AZ$300,G160,2)</f>
        <v>600 ml</v>
      </c>
      <c r="K160" s="0" t="str">
        <f aca="false">INDEX(Laporan!$A$1:$AZ$300,G160,3)</f>
        <v>Shift 1</v>
      </c>
      <c r="L160" s="0" t="n">
        <f aca="false">INDEX(Laporan!$A$1:$AZ$300,G160,4)</f>
        <v>1</v>
      </c>
      <c r="M160" s="1" t="n">
        <f aca="false">DATE(Pemetaan!$B$1,VALUE(RIGHT(INDEX(Laporan!$A$1:$AZ$300,F160+1,H160),2)),VALUE(LEFT(INDEX(Laporan!$A$1:$AZ$300,F160+1,H160),2)))</f>
        <v>46093</v>
      </c>
      <c r="N160" s="0" t="n">
        <f aca="false">INDEX(Laporan!$A$1:$AZ$300,G160,H160)</f>
        <v>2645</v>
      </c>
      <c r="O160" s="0" t="n">
        <f aca="false">IF(N160="","",IFERROR(VALUE(SUBSTITUTE(SUBSTITUTE(N160," btl",""),".","")),""))</f>
        <v>2645</v>
      </c>
      <c r="P160" s="0" t="str">
        <f aca="false">IF(B160="PRODUKSI","produced","reject")</f>
        <v>produced</v>
      </c>
    </row>
    <row r="161" customFormat="false" ht="15" hidden="false" customHeight="false" outlineLevel="0" collapsed="false">
      <c r="A161" s="0" t="n">
        <v>160</v>
      </c>
      <c r="B161" s="0" t="str">
        <f aca="false">IF(A161&lt;=36*25,"PRODUKSI","REJECT")</f>
        <v>PRODUKSI</v>
      </c>
      <c r="C161" s="0" t="n">
        <f aca="false">MOD(A161-1,Pemetaan!$B$3*Pemetaan!$B$4)</f>
        <v>159</v>
      </c>
      <c r="D161" s="0" t="n">
        <f aca="false">INT(C161/Pemetaan!$B$4)</f>
        <v>6</v>
      </c>
      <c r="E161" s="0" t="n">
        <f aca="false">MOD(C161,Pemetaan!$B$4)</f>
        <v>9</v>
      </c>
      <c r="F161" s="0" t="n">
        <f aca="false">IF(B161="PRODUKSI",Pemetaan!$B$5,Pemetaan!$B$6)</f>
        <v>5</v>
      </c>
      <c r="G161" s="0" t="n">
        <f aca="false">F161+2+D161</f>
        <v>13</v>
      </c>
      <c r="H161" s="0" t="n">
        <f aca="false">Pemetaan!$B$2+E161</f>
        <v>14</v>
      </c>
      <c r="I161" s="0" t="str">
        <f aca="false">INDEX(Laporan!$A$1:$AZ$300,G161,1)</f>
        <v>Water Treatment</v>
      </c>
      <c r="J161" s="0" t="str">
        <f aca="false">INDEX(Laporan!$A$1:$AZ$300,G161,2)</f>
        <v>600 ml</v>
      </c>
      <c r="K161" s="0" t="str">
        <f aca="false">INDEX(Laporan!$A$1:$AZ$300,G161,3)</f>
        <v>Shift 1</v>
      </c>
      <c r="L161" s="0" t="n">
        <f aca="false">INDEX(Laporan!$A$1:$AZ$300,G161,4)</f>
        <v>1</v>
      </c>
      <c r="M161" s="1" t="n">
        <f aca="false">DATE(Pemetaan!$B$1,VALUE(RIGHT(INDEX(Laporan!$A$1:$AZ$300,F161+1,H161),2)),VALUE(LEFT(INDEX(Laporan!$A$1:$AZ$300,F161+1,H161),2)))</f>
        <v>46094</v>
      </c>
      <c r="N161" s="0" t="n">
        <f aca="false">INDEX(Laporan!$A$1:$AZ$300,G161,H161)</f>
        <v>2972</v>
      </c>
      <c r="O161" s="0" t="n">
        <f aca="false">IF(N161="","",IFERROR(VALUE(SUBSTITUTE(SUBSTITUTE(N161," btl",""),".","")),""))</f>
        <v>2972</v>
      </c>
      <c r="P161" s="0" t="str">
        <f aca="false">IF(B161="PRODUKSI","produced","reject")</f>
        <v>produced</v>
      </c>
    </row>
    <row r="162" customFormat="false" ht="15" hidden="false" customHeight="false" outlineLevel="0" collapsed="false">
      <c r="A162" s="0" t="n">
        <v>161</v>
      </c>
      <c r="B162" s="0" t="str">
        <f aca="false">IF(A162&lt;=36*25,"PRODUKSI","REJECT")</f>
        <v>PRODUKSI</v>
      </c>
      <c r="C162" s="0" t="n">
        <f aca="false">MOD(A162-1,Pemetaan!$B$3*Pemetaan!$B$4)</f>
        <v>160</v>
      </c>
      <c r="D162" s="0" t="n">
        <f aca="false">INT(C162/Pemetaan!$B$4)</f>
        <v>6</v>
      </c>
      <c r="E162" s="0" t="n">
        <f aca="false">MOD(C162,Pemetaan!$B$4)</f>
        <v>10</v>
      </c>
      <c r="F162" s="0" t="n">
        <f aca="false">IF(B162="PRODUKSI",Pemetaan!$B$5,Pemetaan!$B$6)</f>
        <v>5</v>
      </c>
      <c r="G162" s="0" t="n">
        <f aca="false">F162+2+D162</f>
        <v>13</v>
      </c>
      <c r="H162" s="0" t="n">
        <f aca="false">Pemetaan!$B$2+E162</f>
        <v>15</v>
      </c>
      <c r="I162" s="0" t="str">
        <f aca="false">INDEX(Laporan!$A$1:$AZ$300,G162,1)</f>
        <v>Water Treatment</v>
      </c>
      <c r="J162" s="0" t="str">
        <f aca="false">INDEX(Laporan!$A$1:$AZ$300,G162,2)</f>
        <v>600 ml</v>
      </c>
      <c r="K162" s="0" t="str">
        <f aca="false">INDEX(Laporan!$A$1:$AZ$300,G162,3)</f>
        <v>Shift 1</v>
      </c>
      <c r="L162" s="0" t="n">
        <f aca="false">INDEX(Laporan!$A$1:$AZ$300,G162,4)</f>
        <v>1</v>
      </c>
      <c r="M162" s="1" t="n">
        <f aca="false">DATE(Pemetaan!$B$1,VALUE(RIGHT(INDEX(Laporan!$A$1:$AZ$300,F162+1,H162),2)),VALUE(LEFT(INDEX(Laporan!$A$1:$AZ$300,F162+1,H162),2)))</f>
        <v>46097</v>
      </c>
      <c r="N162" s="0" t="n">
        <f aca="false">INDEX(Laporan!$A$1:$AZ$300,G162,H162)</f>
        <v>2571</v>
      </c>
      <c r="O162" s="0" t="n">
        <f aca="false">IF(N162="","",IFERROR(VALUE(SUBSTITUTE(SUBSTITUTE(N162," btl",""),".","")),""))</f>
        <v>2571</v>
      </c>
      <c r="P162" s="0" t="str">
        <f aca="false">IF(B162="PRODUKSI","produced","reject")</f>
        <v>produced</v>
      </c>
    </row>
    <row r="163" customFormat="false" ht="15" hidden="false" customHeight="false" outlineLevel="0" collapsed="false">
      <c r="A163" s="0" t="n">
        <v>162</v>
      </c>
      <c r="B163" s="0" t="str">
        <f aca="false">IF(A163&lt;=36*25,"PRODUKSI","REJECT")</f>
        <v>PRODUKSI</v>
      </c>
      <c r="C163" s="0" t="n">
        <f aca="false">MOD(A163-1,Pemetaan!$B$3*Pemetaan!$B$4)</f>
        <v>161</v>
      </c>
      <c r="D163" s="0" t="n">
        <f aca="false">INT(C163/Pemetaan!$B$4)</f>
        <v>6</v>
      </c>
      <c r="E163" s="0" t="n">
        <f aca="false">MOD(C163,Pemetaan!$B$4)</f>
        <v>11</v>
      </c>
      <c r="F163" s="0" t="n">
        <f aca="false">IF(B163="PRODUKSI",Pemetaan!$B$5,Pemetaan!$B$6)</f>
        <v>5</v>
      </c>
      <c r="G163" s="0" t="n">
        <f aca="false">F163+2+D163</f>
        <v>13</v>
      </c>
      <c r="H163" s="0" t="n">
        <f aca="false">Pemetaan!$B$2+E163</f>
        <v>16</v>
      </c>
      <c r="I163" s="0" t="str">
        <f aca="false">INDEX(Laporan!$A$1:$AZ$300,G163,1)</f>
        <v>Water Treatment</v>
      </c>
      <c r="J163" s="0" t="str">
        <f aca="false">INDEX(Laporan!$A$1:$AZ$300,G163,2)</f>
        <v>600 ml</v>
      </c>
      <c r="K163" s="0" t="str">
        <f aca="false">INDEX(Laporan!$A$1:$AZ$300,G163,3)</f>
        <v>Shift 1</v>
      </c>
      <c r="L163" s="0" t="n">
        <f aca="false">INDEX(Laporan!$A$1:$AZ$300,G163,4)</f>
        <v>1</v>
      </c>
      <c r="M163" s="1" t="n">
        <f aca="false">DATE(Pemetaan!$B$1,VALUE(RIGHT(INDEX(Laporan!$A$1:$AZ$300,F163+1,H163),2)),VALUE(LEFT(INDEX(Laporan!$A$1:$AZ$300,F163+1,H163),2)))</f>
        <v>46098</v>
      </c>
      <c r="N163" s="0" t="n">
        <f aca="false">INDEX(Laporan!$A$1:$AZ$300,G163,H163)</f>
        <v>2592</v>
      </c>
      <c r="O163" s="0" t="n">
        <f aca="false">IF(N163="","",IFERROR(VALUE(SUBSTITUTE(SUBSTITUTE(N163," btl",""),".","")),""))</f>
        <v>2592</v>
      </c>
      <c r="P163" s="0" t="str">
        <f aca="false">IF(B163="PRODUKSI","produced","reject")</f>
        <v>produced</v>
      </c>
    </row>
    <row r="164" customFormat="false" ht="15" hidden="false" customHeight="false" outlineLevel="0" collapsed="false">
      <c r="A164" s="0" t="n">
        <v>163</v>
      </c>
      <c r="B164" s="0" t="str">
        <f aca="false">IF(A164&lt;=36*25,"PRODUKSI","REJECT")</f>
        <v>PRODUKSI</v>
      </c>
      <c r="C164" s="0" t="n">
        <f aca="false">MOD(A164-1,Pemetaan!$B$3*Pemetaan!$B$4)</f>
        <v>162</v>
      </c>
      <c r="D164" s="0" t="n">
        <f aca="false">INT(C164/Pemetaan!$B$4)</f>
        <v>6</v>
      </c>
      <c r="E164" s="0" t="n">
        <f aca="false">MOD(C164,Pemetaan!$B$4)</f>
        <v>12</v>
      </c>
      <c r="F164" s="0" t="n">
        <f aca="false">IF(B164="PRODUKSI",Pemetaan!$B$5,Pemetaan!$B$6)</f>
        <v>5</v>
      </c>
      <c r="G164" s="0" t="n">
        <f aca="false">F164+2+D164</f>
        <v>13</v>
      </c>
      <c r="H164" s="0" t="n">
        <f aca="false">Pemetaan!$B$2+E164</f>
        <v>17</v>
      </c>
      <c r="I164" s="0" t="str">
        <f aca="false">INDEX(Laporan!$A$1:$AZ$300,G164,1)</f>
        <v>Water Treatment</v>
      </c>
      <c r="J164" s="0" t="str">
        <f aca="false">INDEX(Laporan!$A$1:$AZ$300,G164,2)</f>
        <v>600 ml</v>
      </c>
      <c r="K164" s="0" t="str">
        <f aca="false">INDEX(Laporan!$A$1:$AZ$300,G164,3)</f>
        <v>Shift 1</v>
      </c>
      <c r="L164" s="0" t="n">
        <f aca="false">INDEX(Laporan!$A$1:$AZ$300,G164,4)</f>
        <v>1</v>
      </c>
      <c r="M164" s="1" t="n">
        <f aca="false">DATE(Pemetaan!$B$1,VALUE(RIGHT(INDEX(Laporan!$A$1:$AZ$300,F164+1,H164),2)),VALUE(LEFT(INDEX(Laporan!$A$1:$AZ$300,F164+1,H164),2)))</f>
        <v>46099</v>
      </c>
      <c r="N164" s="0" t="n">
        <f aca="false">INDEX(Laporan!$A$1:$AZ$300,G164,H164)</f>
        <v>2800</v>
      </c>
      <c r="O164" s="0" t="n">
        <f aca="false">IF(N164="","",IFERROR(VALUE(SUBSTITUTE(SUBSTITUTE(N164," btl",""),".","")),""))</f>
        <v>2800</v>
      </c>
      <c r="P164" s="0" t="str">
        <f aca="false">IF(B164="PRODUKSI","produced","reject")</f>
        <v>produced</v>
      </c>
    </row>
    <row r="165" customFormat="false" ht="15" hidden="false" customHeight="false" outlineLevel="0" collapsed="false">
      <c r="A165" s="0" t="n">
        <v>164</v>
      </c>
      <c r="B165" s="0" t="str">
        <f aca="false">IF(A165&lt;=36*25,"PRODUKSI","REJECT")</f>
        <v>PRODUKSI</v>
      </c>
      <c r="C165" s="0" t="n">
        <f aca="false">MOD(A165-1,Pemetaan!$B$3*Pemetaan!$B$4)</f>
        <v>163</v>
      </c>
      <c r="D165" s="0" t="n">
        <f aca="false">INT(C165/Pemetaan!$B$4)</f>
        <v>6</v>
      </c>
      <c r="E165" s="0" t="n">
        <f aca="false">MOD(C165,Pemetaan!$B$4)</f>
        <v>13</v>
      </c>
      <c r="F165" s="0" t="n">
        <f aca="false">IF(B165="PRODUKSI",Pemetaan!$B$5,Pemetaan!$B$6)</f>
        <v>5</v>
      </c>
      <c r="G165" s="0" t="n">
        <f aca="false">F165+2+D165</f>
        <v>13</v>
      </c>
      <c r="H165" s="0" t="n">
        <f aca="false">Pemetaan!$B$2+E165</f>
        <v>18</v>
      </c>
      <c r="I165" s="0" t="str">
        <f aca="false">INDEX(Laporan!$A$1:$AZ$300,G165,1)</f>
        <v>Water Treatment</v>
      </c>
      <c r="J165" s="0" t="str">
        <f aca="false">INDEX(Laporan!$A$1:$AZ$300,G165,2)</f>
        <v>600 ml</v>
      </c>
      <c r="K165" s="0" t="str">
        <f aca="false">INDEX(Laporan!$A$1:$AZ$300,G165,3)</f>
        <v>Shift 1</v>
      </c>
      <c r="L165" s="0" t="n">
        <f aca="false">INDEX(Laporan!$A$1:$AZ$300,G165,4)</f>
        <v>1</v>
      </c>
      <c r="M165" s="1" t="n">
        <f aca="false">DATE(Pemetaan!$B$1,VALUE(RIGHT(INDEX(Laporan!$A$1:$AZ$300,F165+1,H165),2)),VALUE(LEFT(INDEX(Laporan!$A$1:$AZ$300,F165+1,H165),2)))</f>
        <v>46100</v>
      </c>
      <c r="N165" s="0" t="n">
        <f aca="false">INDEX(Laporan!$A$1:$AZ$300,G165,H165)</f>
        <v>2540</v>
      </c>
      <c r="O165" s="0" t="n">
        <f aca="false">IF(N165="","",IFERROR(VALUE(SUBSTITUTE(SUBSTITUTE(N165," btl",""),".","")),""))</f>
        <v>2540</v>
      </c>
      <c r="P165" s="0" t="str">
        <f aca="false">IF(B165="PRODUKSI","produced","reject")</f>
        <v>produced</v>
      </c>
    </row>
    <row r="166" customFormat="false" ht="15" hidden="false" customHeight="false" outlineLevel="0" collapsed="false">
      <c r="A166" s="0" t="n">
        <v>165</v>
      </c>
      <c r="B166" s="0" t="str">
        <f aca="false">IF(A166&lt;=36*25,"PRODUKSI","REJECT")</f>
        <v>PRODUKSI</v>
      </c>
      <c r="C166" s="0" t="n">
        <f aca="false">MOD(A166-1,Pemetaan!$B$3*Pemetaan!$B$4)</f>
        <v>164</v>
      </c>
      <c r="D166" s="0" t="n">
        <f aca="false">INT(C166/Pemetaan!$B$4)</f>
        <v>6</v>
      </c>
      <c r="E166" s="0" t="n">
        <f aca="false">MOD(C166,Pemetaan!$B$4)</f>
        <v>14</v>
      </c>
      <c r="F166" s="0" t="n">
        <f aca="false">IF(B166="PRODUKSI",Pemetaan!$B$5,Pemetaan!$B$6)</f>
        <v>5</v>
      </c>
      <c r="G166" s="0" t="n">
        <f aca="false">F166+2+D166</f>
        <v>13</v>
      </c>
      <c r="H166" s="0" t="n">
        <f aca="false">Pemetaan!$B$2+E166</f>
        <v>19</v>
      </c>
      <c r="I166" s="0" t="str">
        <f aca="false">INDEX(Laporan!$A$1:$AZ$300,G166,1)</f>
        <v>Water Treatment</v>
      </c>
      <c r="J166" s="0" t="str">
        <f aca="false">INDEX(Laporan!$A$1:$AZ$300,G166,2)</f>
        <v>600 ml</v>
      </c>
      <c r="K166" s="0" t="str">
        <f aca="false">INDEX(Laporan!$A$1:$AZ$300,G166,3)</f>
        <v>Shift 1</v>
      </c>
      <c r="L166" s="0" t="n">
        <f aca="false">INDEX(Laporan!$A$1:$AZ$300,G166,4)</f>
        <v>1</v>
      </c>
      <c r="M166" s="1" t="n">
        <f aca="false">DATE(Pemetaan!$B$1,VALUE(RIGHT(INDEX(Laporan!$A$1:$AZ$300,F166+1,H166),2)),VALUE(LEFT(INDEX(Laporan!$A$1:$AZ$300,F166+1,H166),2)))</f>
        <v>46101</v>
      </c>
      <c r="N166" s="0" t="n">
        <f aca="false">INDEX(Laporan!$A$1:$AZ$300,G166,H166)</f>
        <v>2741</v>
      </c>
      <c r="O166" s="0" t="n">
        <f aca="false">IF(N166="","",IFERROR(VALUE(SUBSTITUTE(SUBSTITUTE(N166," btl",""),".","")),""))</f>
        <v>2741</v>
      </c>
      <c r="P166" s="0" t="str">
        <f aca="false">IF(B166="PRODUKSI","produced","reject")</f>
        <v>produced</v>
      </c>
    </row>
    <row r="167" customFormat="false" ht="15" hidden="false" customHeight="false" outlineLevel="0" collapsed="false">
      <c r="A167" s="0" t="n">
        <v>166</v>
      </c>
      <c r="B167" s="0" t="str">
        <f aca="false">IF(A167&lt;=36*25,"PRODUKSI","REJECT")</f>
        <v>PRODUKSI</v>
      </c>
      <c r="C167" s="0" t="n">
        <f aca="false">MOD(A167-1,Pemetaan!$B$3*Pemetaan!$B$4)</f>
        <v>165</v>
      </c>
      <c r="D167" s="0" t="n">
        <f aca="false">INT(C167/Pemetaan!$B$4)</f>
        <v>6</v>
      </c>
      <c r="E167" s="0" t="n">
        <f aca="false">MOD(C167,Pemetaan!$B$4)</f>
        <v>15</v>
      </c>
      <c r="F167" s="0" t="n">
        <f aca="false">IF(B167="PRODUKSI",Pemetaan!$B$5,Pemetaan!$B$6)</f>
        <v>5</v>
      </c>
      <c r="G167" s="0" t="n">
        <f aca="false">F167+2+D167</f>
        <v>13</v>
      </c>
      <c r="H167" s="0" t="n">
        <f aca="false">Pemetaan!$B$2+E167</f>
        <v>20</v>
      </c>
      <c r="I167" s="0" t="str">
        <f aca="false">INDEX(Laporan!$A$1:$AZ$300,G167,1)</f>
        <v>Water Treatment</v>
      </c>
      <c r="J167" s="0" t="str">
        <f aca="false">INDEX(Laporan!$A$1:$AZ$300,G167,2)</f>
        <v>600 ml</v>
      </c>
      <c r="K167" s="0" t="str">
        <f aca="false">INDEX(Laporan!$A$1:$AZ$300,G167,3)</f>
        <v>Shift 1</v>
      </c>
      <c r="L167" s="0" t="n">
        <f aca="false">INDEX(Laporan!$A$1:$AZ$300,G167,4)</f>
        <v>1</v>
      </c>
      <c r="M167" s="1" t="n">
        <f aca="false">DATE(Pemetaan!$B$1,VALUE(RIGHT(INDEX(Laporan!$A$1:$AZ$300,F167+1,H167),2)),VALUE(LEFT(INDEX(Laporan!$A$1:$AZ$300,F167+1,H167),2)))</f>
        <v>46104</v>
      </c>
      <c r="N167" s="0" t="n">
        <f aca="false">INDEX(Laporan!$A$1:$AZ$300,G167,H167)</f>
        <v>2805</v>
      </c>
      <c r="O167" s="0" t="n">
        <f aca="false">IF(N167="","",IFERROR(VALUE(SUBSTITUTE(SUBSTITUTE(N167," btl",""),".","")),""))</f>
        <v>2805</v>
      </c>
      <c r="P167" s="0" t="str">
        <f aca="false">IF(B167="PRODUKSI","produced","reject")</f>
        <v>produced</v>
      </c>
    </row>
    <row r="168" customFormat="false" ht="15" hidden="false" customHeight="false" outlineLevel="0" collapsed="false">
      <c r="A168" s="0" t="n">
        <v>167</v>
      </c>
      <c r="B168" s="0" t="str">
        <f aca="false">IF(A168&lt;=36*25,"PRODUKSI","REJECT")</f>
        <v>PRODUKSI</v>
      </c>
      <c r="C168" s="0" t="n">
        <f aca="false">MOD(A168-1,Pemetaan!$B$3*Pemetaan!$B$4)</f>
        <v>166</v>
      </c>
      <c r="D168" s="0" t="n">
        <f aca="false">INT(C168/Pemetaan!$B$4)</f>
        <v>6</v>
      </c>
      <c r="E168" s="0" t="n">
        <f aca="false">MOD(C168,Pemetaan!$B$4)</f>
        <v>16</v>
      </c>
      <c r="F168" s="0" t="n">
        <f aca="false">IF(B168="PRODUKSI",Pemetaan!$B$5,Pemetaan!$B$6)</f>
        <v>5</v>
      </c>
      <c r="G168" s="0" t="n">
        <f aca="false">F168+2+D168</f>
        <v>13</v>
      </c>
      <c r="H168" s="0" t="n">
        <f aca="false">Pemetaan!$B$2+E168</f>
        <v>21</v>
      </c>
      <c r="I168" s="0" t="str">
        <f aca="false">INDEX(Laporan!$A$1:$AZ$300,G168,1)</f>
        <v>Water Treatment</v>
      </c>
      <c r="J168" s="0" t="str">
        <f aca="false">INDEX(Laporan!$A$1:$AZ$300,G168,2)</f>
        <v>600 ml</v>
      </c>
      <c r="K168" s="0" t="str">
        <f aca="false">INDEX(Laporan!$A$1:$AZ$300,G168,3)</f>
        <v>Shift 1</v>
      </c>
      <c r="L168" s="0" t="n">
        <f aca="false">INDEX(Laporan!$A$1:$AZ$300,G168,4)</f>
        <v>1</v>
      </c>
      <c r="M168" s="1" t="n">
        <f aca="false">DATE(Pemetaan!$B$1,VALUE(RIGHT(INDEX(Laporan!$A$1:$AZ$300,F168+1,H168),2)),VALUE(LEFT(INDEX(Laporan!$A$1:$AZ$300,F168+1,H168),2)))</f>
        <v>46105</v>
      </c>
      <c r="N168" s="0" t="n">
        <f aca="false">INDEX(Laporan!$A$1:$AZ$300,G168,H168)</f>
        <v>2685</v>
      </c>
      <c r="O168" s="0" t="n">
        <f aca="false">IF(N168="","",IFERROR(VALUE(SUBSTITUTE(SUBSTITUTE(N168," btl",""),".","")),""))</f>
        <v>2685</v>
      </c>
      <c r="P168" s="0" t="str">
        <f aca="false">IF(B168="PRODUKSI","produced","reject")</f>
        <v>produced</v>
      </c>
    </row>
    <row r="169" customFormat="false" ht="15" hidden="false" customHeight="false" outlineLevel="0" collapsed="false">
      <c r="A169" s="0" t="n">
        <v>168</v>
      </c>
      <c r="B169" s="0" t="str">
        <f aca="false">IF(A169&lt;=36*25,"PRODUKSI","REJECT")</f>
        <v>PRODUKSI</v>
      </c>
      <c r="C169" s="0" t="n">
        <f aca="false">MOD(A169-1,Pemetaan!$B$3*Pemetaan!$B$4)</f>
        <v>167</v>
      </c>
      <c r="D169" s="0" t="n">
        <f aca="false">INT(C169/Pemetaan!$B$4)</f>
        <v>6</v>
      </c>
      <c r="E169" s="0" t="n">
        <f aca="false">MOD(C169,Pemetaan!$B$4)</f>
        <v>17</v>
      </c>
      <c r="F169" s="0" t="n">
        <f aca="false">IF(B169="PRODUKSI",Pemetaan!$B$5,Pemetaan!$B$6)</f>
        <v>5</v>
      </c>
      <c r="G169" s="0" t="n">
        <f aca="false">F169+2+D169</f>
        <v>13</v>
      </c>
      <c r="H169" s="0" t="n">
        <f aca="false">Pemetaan!$B$2+E169</f>
        <v>22</v>
      </c>
      <c r="I169" s="0" t="str">
        <f aca="false">INDEX(Laporan!$A$1:$AZ$300,G169,1)</f>
        <v>Water Treatment</v>
      </c>
      <c r="J169" s="0" t="str">
        <f aca="false">INDEX(Laporan!$A$1:$AZ$300,G169,2)</f>
        <v>600 ml</v>
      </c>
      <c r="K169" s="0" t="str">
        <f aca="false">INDEX(Laporan!$A$1:$AZ$300,G169,3)</f>
        <v>Shift 1</v>
      </c>
      <c r="L169" s="0" t="n">
        <f aca="false">INDEX(Laporan!$A$1:$AZ$300,G169,4)</f>
        <v>1</v>
      </c>
      <c r="M169" s="1" t="n">
        <f aca="false">DATE(Pemetaan!$B$1,VALUE(RIGHT(INDEX(Laporan!$A$1:$AZ$300,F169+1,H169),2)),VALUE(LEFT(INDEX(Laporan!$A$1:$AZ$300,F169+1,H169),2)))</f>
        <v>46106</v>
      </c>
      <c r="N169" s="0" t="n">
        <f aca="false">INDEX(Laporan!$A$1:$AZ$300,G169,H169)</f>
        <v>3312</v>
      </c>
      <c r="O169" s="0" t="n">
        <f aca="false">IF(N169="","",IFERROR(VALUE(SUBSTITUTE(SUBSTITUTE(N169," btl",""),".","")),""))</f>
        <v>3312</v>
      </c>
      <c r="P169" s="0" t="str">
        <f aca="false">IF(B169="PRODUKSI","produced","reject")</f>
        <v>produced</v>
      </c>
    </row>
    <row r="170" customFormat="false" ht="15" hidden="false" customHeight="false" outlineLevel="0" collapsed="false">
      <c r="A170" s="0" t="n">
        <v>169</v>
      </c>
      <c r="B170" s="0" t="str">
        <f aca="false">IF(A170&lt;=36*25,"PRODUKSI","REJECT")</f>
        <v>PRODUKSI</v>
      </c>
      <c r="C170" s="0" t="n">
        <f aca="false">MOD(A170-1,Pemetaan!$B$3*Pemetaan!$B$4)</f>
        <v>168</v>
      </c>
      <c r="D170" s="0" t="n">
        <f aca="false">INT(C170/Pemetaan!$B$4)</f>
        <v>6</v>
      </c>
      <c r="E170" s="0" t="n">
        <f aca="false">MOD(C170,Pemetaan!$B$4)</f>
        <v>18</v>
      </c>
      <c r="F170" s="0" t="n">
        <f aca="false">IF(B170="PRODUKSI",Pemetaan!$B$5,Pemetaan!$B$6)</f>
        <v>5</v>
      </c>
      <c r="G170" s="0" t="n">
        <f aca="false">F170+2+D170</f>
        <v>13</v>
      </c>
      <c r="H170" s="0" t="n">
        <f aca="false">Pemetaan!$B$2+E170</f>
        <v>23</v>
      </c>
      <c r="I170" s="0" t="str">
        <f aca="false">INDEX(Laporan!$A$1:$AZ$300,G170,1)</f>
        <v>Water Treatment</v>
      </c>
      <c r="J170" s="0" t="str">
        <f aca="false">INDEX(Laporan!$A$1:$AZ$300,G170,2)</f>
        <v>600 ml</v>
      </c>
      <c r="K170" s="0" t="str">
        <f aca="false">INDEX(Laporan!$A$1:$AZ$300,G170,3)</f>
        <v>Shift 1</v>
      </c>
      <c r="L170" s="0" t="n">
        <f aca="false">INDEX(Laporan!$A$1:$AZ$300,G170,4)</f>
        <v>1</v>
      </c>
      <c r="M170" s="1" t="n">
        <f aca="false">DATE(Pemetaan!$B$1,VALUE(RIGHT(INDEX(Laporan!$A$1:$AZ$300,F170+1,H170),2)),VALUE(LEFT(INDEX(Laporan!$A$1:$AZ$300,F170+1,H170),2)))</f>
        <v>46107</v>
      </c>
      <c r="N170" s="0" t="n">
        <f aca="false">INDEX(Laporan!$A$1:$AZ$300,G170,H170)</f>
        <v>2706</v>
      </c>
      <c r="O170" s="0" t="n">
        <f aca="false">IF(N170="","",IFERROR(VALUE(SUBSTITUTE(SUBSTITUTE(N170," btl",""),".","")),""))</f>
        <v>2706</v>
      </c>
      <c r="P170" s="0" t="str">
        <f aca="false">IF(B170="PRODUKSI","produced","reject")</f>
        <v>produced</v>
      </c>
    </row>
    <row r="171" customFormat="false" ht="15" hidden="false" customHeight="false" outlineLevel="0" collapsed="false">
      <c r="A171" s="0" t="n">
        <v>170</v>
      </c>
      <c r="B171" s="0" t="str">
        <f aca="false">IF(A171&lt;=36*25,"PRODUKSI","REJECT")</f>
        <v>PRODUKSI</v>
      </c>
      <c r="C171" s="0" t="n">
        <f aca="false">MOD(A171-1,Pemetaan!$B$3*Pemetaan!$B$4)</f>
        <v>169</v>
      </c>
      <c r="D171" s="0" t="n">
        <f aca="false">INT(C171/Pemetaan!$B$4)</f>
        <v>6</v>
      </c>
      <c r="E171" s="0" t="n">
        <f aca="false">MOD(C171,Pemetaan!$B$4)</f>
        <v>19</v>
      </c>
      <c r="F171" s="0" t="n">
        <f aca="false">IF(B171="PRODUKSI",Pemetaan!$B$5,Pemetaan!$B$6)</f>
        <v>5</v>
      </c>
      <c r="G171" s="0" t="n">
        <f aca="false">F171+2+D171</f>
        <v>13</v>
      </c>
      <c r="H171" s="0" t="n">
        <f aca="false">Pemetaan!$B$2+E171</f>
        <v>24</v>
      </c>
      <c r="I171" s="0" t="str">
        <f aca="false">INDEX(Laporan!$A$1:$AZ$300,G171,1)</f>
        <v>Water Treatment</v>
      </c>
      <c r="J171" s="0" t="str">
        <f aca="false">INDEX(Laporan!$A$1:$AZ$300,G171,2)</f>
        <v>600 ml</v>
      </c>
      <c r="K171" s="0" t="str">
        <f aca="false">INDEX(Laporan!$A$1:$AZ$300,G171,3)</f>
        <v>Shift 1</v>
      </c>
      <c r="L171" s="0" t="n">
        <f aca="false">INDEX(Laporan!$A$1:$AZ$300,G171,4)</f>
        <v>1</v>
      </c>
      <c r="M171" s="1" t="n">
        <f aca="false">DATE(Pemetaan!$B$1,VALUE(RIGHT(INDEX(Laporan!$A$1:$AZ$300,F171+1,H171),2)),VALUE(LEFT(INDEX(Laporan!$A$1:$AZ$300,F171+1,H171),2)))</f>
        <v>46108</v>
      </c>
      <c r="N171" s="0" t="n">
        <f aca="false">INDEX(Laporan!$A$1:$AZ$300,G171,H171)</f>
        <v>2613</v>
      </c>
      <c r="O171" s="0" t="n">
        <f aca="false">IF(N171="","",IFERROR(VALUE(SUBSTITUTE(SUBSTITUTE(N171," btl",""),".","")),""))</f>
        <v>2613</v>
      </c>
      <c r="P171" s="0" t="str">
        <f aca="false">IF(B171="PRODUKSI","produced","reject")</f>
        <v>produced</v>
      </c>
    </row>
    <row r="172" customFormat="false" ht="15" hidden="false" customHeight="false" outlineLevel="0" collapsed="false">
      <c r="A172" s="0" t="n">
        <v>171</v>
      </c>
      <c r="B172" s="0" t="str">
        <f aca="false">IF(A172&lt;=36*25,"PRODUKSI","REJECT")</f>
        <v>PRODUKSI</v>
      </c>
      <c r="C172" s="0" t="n">
        <f aca="false">MOD(A172-1,Pemetaan!$B$3*Pemetaan!$B$4)</f>
        <v>170</v>
      </c>
      <c r="D172" s="0" t="n">
        <f aca="false">INT(C172/Pemetaan!$B$4)</f>
        <v>6</v>
      </c>
      <c r="E172" s="0" t="n">
        <f aca="false">MOD(C172,Pemetaan!$B$4)</f>
        <v>20</v>
      </c>
      <c r="F172" s="0" t="n">
        <f aca="false">IF(B172="PRODUKSI",Pemetaan!$B$5,Pemetaan!$B$6)</f>
        <v>5</v>
      </c>
      <c r="G172" s="0" t="n">
        <f aca="false">F172+2+D172</f>
        <v>13</v>
      </c>
      <c r="H172" s="0" t="n">
        <f aca="false">Pemetaan!$B$2+E172</f>
        <v>25</v>
      </c>
      <c r="I172" s="0" t="str">
        <f aca="false">INDEX(Laporan!$A$1:$AZ$300,G172,1)</f>
        <v>Water Treatment</v>
      </c>
      <c r="J172" s="0" t="str">
        <f aca="false">INDEX(Laporan!$A$1:$AZ$300,G172,2)</f>
        <v>600 ml</v>
      </c>
      <c r="K172" s="0" t="str">
        <f aca="false">INDEX(Laporan!$A$1:$AZ$300,G172,3)</f>
        <v>Shift 1</v>
      </c>
      <c r="L172" s="0" t="n">
        <f aca="false">INDEX(Laporan!$A$1:$AZ$300,G172,4)</f>
        <v>1</v>
      </c>
      <c r="M172" s="1" t="n">
        <f aca="false">DATE(Pemetaan!$B$1,VALUE(RIGHT(INDEX(Laporan!$A$1:$AZ$300,F172+1,H172),2)),VALUE(LEFT(INDEX(Laporan!$A$1:$AZ$300,F172+1,H172),2)))</f>
        <v>46111</v>
      </c>
      <c r="N172" s="0" t="n">
        <f aca="false">INDEX(Laporan!$A$1:$AZ$300,G172,H172)</f>
        <v>2715</v>
      </c>
      <c r="O172" s="0" t="n">
        <f aca="false">IF(N172="","",IFERROR(VALUE(SUBSTITUTE(SUBSTITUTE(N172," btl",""),".","")),""))</f>
        <v>2715</v>
      </c>
      <c r="P172" s="0" t="str">
        <f aca="false">IF(B172="PRODUKSI","produced","reject")</f>
        <v>produced</v>
      </c>
    </row>
    <row r="173" customFormat="false" ht="15" hidden="false" customHeight="false" outlineLevel="0" collapsed="false">
      <c r="A173" s="0" t="n">
        <v>172</v>
      </c>
      <c r="B173" s="0" t="str">
        <f aca="false">IF(A173&lt;=36*25,"PRODUKSI","REJECT")</f>
        <v>PRODUKSI</v>
      </c>
      <c r="C173" s="0" t="n">
        <f aca="false">MOD(A173-1,Pemetaan!$B$3*Pemetaan!$B$4)</f>
        <v>171</v>
      </c>
      <c r="D173" s="0" t="n">
        <f aca="false">INT(C173/Pemetaan!$B$4)</f>
        <v>6</v>
      </c>
      <c r="E173" s="0" t="n">
        <f aca="false">MOD(C173,Pemetaan!$B$4)</f>
        <v>21</v>
      </c>
      <c r="F173" s="0" t="n">
        <f aca="false">IF(B173="PRODUKSI",Pemetaan!$B$5,Pemetaan!$B$6)</f>
        <v>5</v>
      </c>
      <c r="G173" s="0" t="n">
        <f aca="false">F173+2+D173</f>
        <v>13</v>
      </c>
      <c r="H173" s="0" t="n">
        <f aca="false">Pemetaan!$B$2+E173</f>
        <v>26</v>
      </c>
      <c r="I173" s="0" t="str">
        <f aca="false">INDEX(Laporan!$A$1:$AZ$300,G173,1)</f>
        <v>Water Treatment</v>
      </c>
      <c r="J173" s="0" t="str">
        <f aca="false">INDEX(Laporan!$A$1:$AZ$300,G173,2)</f>
        <v>600 ml</v>
      </c>
      <c r="K173" s="0" t="str">
        <f aca="false">INDEX(Laporan!$A$1:$AZ$300,G173,3)</f>
        <v>Shift 1</v>
      </c>
      <c r="L173" s="0" t="n">
        <f aca="false">INDEX(Laporan!$A$1:$AZ$300,G173,4)</f>
        <v>1</v>
      </c>
      <c r="M173" s="1" t="n">
        <f aca="false">DATE(Pemetaan!$B$1,VALUE(RIGHT(INDEX(Laporan!$A$1:$AZ$300,F173+1,H173),2)),VALUE(LEFT(INDEX(Laporan!$A$1:$AZ$300,F173+1,H173),2)))</f>
        <v>46112</v>
      </c>
      <c r="N173" s="0" t="n">
        <f aca="false">INDEX(Laporan!$A$1:$AZ$300,G173,H173)</f>
        <v>2819</v>
      </c>
      <c r="O173" s="0" t="n">
        <f aca="false">IF(N173="","",IFERROR(VALUE(SUBSTITUTE(SUBSTITUTE(N173," btl",""),".","")),""))</f>
        <v>2819</v>
      </c>
      <c r="P173" s="0" t="str">
        <f aca="false">IF(B173="PRODUKSI","produced","reject")</f>
        <v>produced</v>
      </c>
    </row>
    <row r="174" customFormat="false" ht="15" hidden="false" customHeight="false" outlineLevel="0" collapsed="false">
      <c r="A174" s="0" t="n">
        <v>173</v>
      </c>
      <c r="B174" s="0" t="str">
        <f aca="false">IF(A174&lt;=36*25,"PRODUKSI","REJECT")</f>
        <v>PRODUKSI</v>
      </c>
      <c r="C174" s="0" t="n">
        <f aca="false">MOD(A174-1,Pemetaan!$B$3*Pemetaan!$B$4)</f>
        <v>172</v>
      </c>
      <c r="D174" s="0" t="n">
        <f aca="false">INT(C174/Pemetaan!$B$4)</f>
        <v>6</v>
      </c>
      <c r="E174" s="0" t="n">
        <f aca="false">MOD(C174,Pemetaan!$B$4)</f>
        <v>22</v>
      </c>
      <c r="F174" s="0" t="n">
        <f aca="false">IF(B174="PRODUKSI",Pemetaan!$B$5,Pemetaan!$B$6)</f>
        <v>5</v>
      </c>
      <c r="G174" s="0" t="n">
        <f aca="false">F174+2+D174</f>
        <v>13</v>
      </c>
      <c r="H174" s="0" t="n">
        <f aca="false">Pemetaan!$B$2+E174</f>
        <v>27</v>
      </c>
      <c r="I174" s="0" t="str">
        <f aca="false">INDEX(Laporan!$A$1:$AZ$300,G174,1)</f>
        <v>Water Treatment</v>
      </c>
      <c r="J174" s="0" t="str">
        <f aca="false">INDEX(Laporan!$A$1:$AZ$300,G174,2)</f>
        <v>600 ml</v>
      </c>
      <c r="K174" s="0" t="str">
        <f aca="false">INDEX(Laporan!$A$1:$AZ$300,G174,3)</f>
        <v>Shift 1</v>
      </c>
      <c r="L174" s="0" t="n">
        <f aca="false">INDEX(Laporan!$A$1:$AZ$300,G174,4)</f>
        <v>1</v>
      </c>
      <c r="M174" s="1" t="n">
        <f aca="false">DATE(Pemetaan!$B$1,VALUE(RIGHT(INDEX(Laporan!$A$1:$AZ$300,F174+1,H174),2)),VALUE(LEFT(INDEX(Laporan!$A$1:$AZ$300,F174+1,H174),2)))</f>
        <v>46113</v>
      </c>
      <c r="N174" s="0" t="n">
        <f aca="false">INDEX(Laporan!$A$1:$AZ$300,G174,H174)</f>
        <v>2893</v>
      </c>
      <c r="O174" s="0" t="n">
        <f aca="false">IF(N174="","",IFERROR(VALUE(SUBSTITUTE(SUBSTITUTE(N174," btl",""),".","")),""))</f>
        <v>2893</v>
      </c>
      <c r="P174" s="0" t="str">
        <f aca="false">IF(B174="PRODUKSI","produced","reject")</f>
        <v>produced</v>
      </c>
    </row>
    <row r="175" customFormat="false" ht="15" hidden="false" customHeight="false" outlineLevel="0" collapsed="false">
      <c r="A175" s="0" t="n">
        <v>174</v>
      </c>
      <c r="B175" s="0" t="str">
        <f aca="false">IF(A175&lt;=36*25,"PRODUKSI","REJECT")</f>
        <v>PRODUKSI</v>
      </c>
      <c r="C175" s="0" t="n">
        <f aca="false">MOD(A175-1,Pemetaan!$B$3*Pemetaan!$B$4)</f>
        <v>173</v>
      </c>
      <c r="D175" s="0" t="n">
        <f aca="false">INT(C175/Pemetaan!$B$4)</f>
        <v>6</v>
      </c>
      <c r="E175" s="0" t="n">
        <f aca="false">MOD(C175,Pemetaan!$B$4)</f>
        <v>23</v>
      </c>
      <c r="F175" s="0" t="n">
        <f aca="false">IF(B175="PRODUKSI",Pemetaan!$B$5,Pemetaan!$B$6)</f>
        <v>5</v>
      </c>
      <c r="G175" s="0" t="n">
        <f aca="false">F175+2+D175</f>
        <v>13</v>
      </c>
      <c r="H175" s="0" t="n">
        <f aca="false">Pemetaan!$B$2+E175</f>
        <v>28</v>
      </c>
      <c r="I175" s="0" t="str">
        <f aca="false">INDEX(Laporan!$A$1:$AZ$300,G175,1)</f>
        <v>Water Treatment</v>
      </c>
      <c r="J175" s="0" t="str">
        <f aca="false">INDEX(Laporan!$A$1:$AZ$300,G175,2)</f>
        <v>600 ml</v>
      </c>
      <c r="K175" s="0" t="str">
        <f aca="false">INDEX(Laporan!$A$1:$AZ$300,G175,3)</f>
        <v>Shift 1</v>
      </c>
      <c r="L175" s="0" t="n">
        <f aca="false">INDEX(Laporan!$A$1:$AZ$300,G175,4)</f>
        <v>1</v>
      </c>
      <c r="M175" s="1" t="n">
        <f aca="false">DATE(Pemetaan!$B$1,VALUE(RIGHT(INDEX(Laporan!$A$1:$AZ$300,F175+1,H175),2)),VALUE(LEFT(INDEX(Laporan!$A$1:$AZ$300,F175+1,H175),2)))</f>
        <v>46114</v>
      </c>
      <c r="N175" s="0" t="n">
        <f aca="false">INDEX(Laporan!$A$1:$AZ$300,G175,H175)</f>
        <v>2790</v>
      </c>
      <c r="O175" s="0" t="n">
        <f aca="false">IF(N175="","",IFERROR(VALUE(SUBSTITUTE(SUBSTITUTE(N175," btl",""),".","")),""))</f>
        <v>2790</v>
      </c>
      <c r="P175" s="0" t="str">
        <f aca="false">IF(B175="PRODUKSI","produced","reject")</f>
        <v>produced</v>
      </c>
    </row>
    <row r="176" customFormat="false" ht="15" hidden="false" customHeight="false" outlineLevel="0" collapsed="false">
      <c r="A176" s="0" t="n">
        <v>175</v>
      </c>
      <c r="B176" s="0" t="str">
        <f aca="false">IF(A176&lt;=36*25,"PRODUKSI","REJECT")</f>
        <v>PRODUKSI</v>
      </c>
      <c r="C176" s="0" t="n">
        <f aca="false">MOD(A176-1,Pemetaan!$B$3*Pemetaan!$B$4)</f>
        <v>174</v>
      </c>
      <c r="D176" s="0" t="n">
        <f aca="false">INT(C176/Pemetaan!$B$4)</f>
        <v>6</v>
      </c>
      <c r="E176" s="0" t="n">
        <f aca="false">MOD(C176,Pemetaan!$B$4)</f>
        <v>24</v>
      </c>
      <c r="F176" s="0" t="n">
        <f aca="false">IF(B176="PRODUKSI",Pemetaan!$B$5,Pemetaan!$B$6)</f>
        <v>5</v>
      </c>
      <c r="G176" s="0" t="n">
        <f aca="false">F176+2+D176</f>
        <v>13</v>
      </c>
      <c r="H176" s="0" t="n">
        <f aca="false">Pemetaan!$B$2+E176</f>
        <v>29</v>
      </c>
      <c r="I176" s="0" t="str">
        <f aca="false">INDEX(Laporan!$A$1:$AZ$300,G176,1)</f>
        <v>Water Treatment</v>
      </c>
      <c r="J176" s="0" t="str">
        <f aca="false">INDEX(Laporan!$A$1:$AZ$300,G176,2)</f>
        <v>600 ml</v>
      </c>
      <c r="K176" s="0" t="str">
        <f aca="false">INDEX(Laporan!$A$1:$AZ$300,G176,3)</f>
        <v>Shift 1</v>
      </c>
      <c r="L176" s="0" t="n">
        <f aca="false">INDEX(Laporan!$A$1:$AZ$300,G176,4)</f>
        <v>1</v>
      </c>
      <c r="M176" s="1" t="n">
        <f aca="false">DATE(Pemetaan!$B$1,VALUE(RIGHT(INDEX(Laporan!$A$1:$AZ$300,F176+1,H176),2)),VALUE(LEFT(INDEX(Laporan!$A$1:$AZ$300,F176+1,H176),2)))</f>
        <v>46115</v>
      </c>
      <c r="N176" s="0" t="n">
        <f aca="false">INDEX(Laporan!$A$1:$AZ$300,G176,H176)</f>
        <v>2837</v>
      </c>
      <c r="O176" s="0" t="n">
        <f aca="false">IF(N176="","",IFERROR(VALUE(SUBSTITUTE(SUBSTITUTE(N176," btl",""),".","")),""))</f>
        <v>2837</v>
      </c>
      <c r="P176" s="0" t="str">
        <f aca="false">IF(B176="PRODUKSI","produced","reject")</f>
        <v>produced</v>
      </c>
    </row>
    <row r="177" customFormat="false" ht="15" hidden="false" customHeight="false" outlineLevel="0" collapsed="false">
      <c r="A177" s="0" t="n">
        <v>176</v>
      </c>
      <c r="B177" s="0" t="str">
        <f aca="false">IF(A177&lt;=36*25,"PRODUKSI","REJECT")</f>
        <v>PRODUKSI</v>
      </c>
      <c r="C177" s="0" t="n">
        <f aca="false">MOD(A177-1,Pemetaan!$B$3*Pemetaan!$B$4)</f>
        <v>175</v>
      </c>
      <c r="D177" s="0" t="n">
        <f aca="false">INT(C177/Pemetaan!$B$4)</f>
        <v>7</v>
      </c>
      <c r="E177" s="0" t="n">
        <f aca="false">MOD(C177,Pemetaan!$B$4)</f>
        <v>0</v>
      </c>
      <c r="F177" s="0" t="n">
        <f aca="false">IF(B177="PRODUKSI",Pemetaan!$B$5,Pemetaan!$B$6)</f>
        <v>5</v>
      </c>
      <c r="G177" s="0" t="n">
        <f aca="false">F177+2+D177</f>
        <v>14</v>
      </c>
      <c r="H177" s="0" t="n">
        <f aca="false">Pemetaan!$B$2+E177</f>
        <v>5</v>
      </c>
      <c r="I177" s="0" t="str">
        <f aca="false">INDEX(Laporan!$A$1:$AZ$300,G177,1)</f>
        <v>Water Treatment</v>
      </c>
      <c r="J177" s="0" t="str">
        <f aca="false">INDEX(Laporan!$A$1:$AZ$300,G177,2)</f>
        <v>600 ml</v>
      </c>
      <c r="K177" s="0" t="str">
        <f aca="false">INDEX(Laporan!$A$1:$AZ$300,G177,3)</f>
        <v>Shift 1</v>
      </c>
      <c r="L177" s="0" t="n">
        <f aca="false">INDEX(Laporan!$A$1:$AZ$300,G177,4)</f>
        <v>2</v>
      </c>
      <c r="M177" s="1" t="n">
        <f aca="false">DATE(Pemetaan!$B$1,VALUE(RIGHT(INDEX(Laporan!$A$1:$AZ$300,F177+1,H177),2)),VALUE(LEFT(INDEX(Laporan!$A$1:$AZ$300,F177+1,H177),2)))</f>
        <v>46083</v>
      </c>
      <c r="N177" s="0" t="n">
        <f aca="false">INDEX(Laporan!$A$1:$AZ$300,G177,H177)</f>
        <v>2948</v>
      </c>
      <c r="O177" s="0" t="n">
        <f aca="false">IF(N177="","",IFERROR(VALUE(SUBSTITUTE(SUBSTITUTE(N177," btl",""),".","")),""))</f>
        <v>2948</v>
      </c>
      <c r="P177" s="0" t="str">
        <f aca="false">IF(B177="PRODUKSI","produced","reject")</f>
        <v>produced</v>
      </c>
    </row>
    <row r="178" customFormat="false" ht="15" hidden="false" customHeight="false" outlineLevel="0" collapsed="false">
      <c r="A178" s="0" t="n">
        <v>177</v>
      </c>
      <c r="B178" s="0" t="str">
        <f aca="false">IF(A178&lt;=36*25,"PRODUKSI","REJECT")</f>
        <v>PRODUKSI</v>
      </c>
      <c r="C178" s="0" t="n">
        <f aca="false">MOD(A178-1,Pemetaan!$B$3*Pemetaan!$B$4)</f>
        <v>176</v>
      </c>
      <c r="D178" s="0" t="n">
        <f aca="false">INT(C178/Pemetaan!$B$4)</f>
        <v>7</v>
      </c>
      <c r="E178" s="0" t="n">
        <f aca="false">MOD(C178,Pemetaan!$B$4)</f>
        <v>1</v>
      </c>
      <c r="F178" s="0" t="n">
        <f aca="false">IF(B178="PRODUKSI",Pemetaan!$B$5,Pemetaan!$B$6)</f>
        <v>5</v>
      </c>
      <c r="G178" s="0" t="n">
        <f aca="false">F178+2+D178</f>
        <v>14</v>
      </c>
      <c r="H178" s="0" t="n">
        <f aca="false">Pemetaan!$B$2+E178</f>
        <v>6</v>
      </c>
      <c r="I178" s="0" t="str">
        <f aca="false">INDEX(Laporan!$A$1:$AZ$300,G178,1)</f>
        <v>Water Treatment</v>
      </c>
      <c r="J178" s="0" t="str">
        <f aca="false">INDEX(Laporan!$A$1:$AZ$300,G178,2)</f>
        <v>600 ml</v>
      </c>
      <c r="K178" s="0" t="str">
        <f aca="false">INDEX(Laporan!$A$1:$AZ$300,G178,3)</f>
        <v>Shift 1</v>
      </c>
      <c r="L178" s="0" t="n">
        <f aca="false">INDEX(Laporan!$A$1:$AZ$300,G178,4)</f>
        <v>2</v>
      </c>
      <c r="M178" s="1" t="n">
        <f aca="false">DATE(Pemetaan!$B$1,VALUE(RIGHT(INDEX(Laporan!$A$1:$AZ$300,F178+1,H178),2)),VALUE(LEFT(INDEX(Laporan!$A$1:$AZ$300,F178+1,H178),2)))</f>
        <v>46084</v>
      </c>
      <c r="N178" s="0" t="n">
        <f aca="false">INDEX(Laporan!$A$1:$AZ$300,G178,H178)</f>
        <v>2884</v>
      </c>
      <c r="O178" s="0" t="n">
        <f aca="false">IF(N178="","",IFERROR(VALUE(SUBSTITUTE(SUBSTITUTE(N178," btl",""),".","")),""))</f>
        <v>2884</v>
      </c>
      <c r="P178" s="0" t="str">
        <f aca="false">IF(B178="PRODUKSI","produced","reject")</f>
        <v>produced</v>
      </c>
    </row>
    <row r="179" customFormat="false" ht="15" hidden="false" customHeight="false" outlineLevel="0" collapsed="false">
      <c r="A179" s="0" t="n">
        <v>178</v>
      </c>
      <c r="B179" s="0" t="str">
        <f aca="false">IF(A179&lt;=36*25,"PRODUKSI","REJECT")</f>
        <v>PRODUKSI</v>
      </c>
      <c r="C179" s="0" t="n">
        <f aca="false">MOD(A179-1,Pemetaan!$B$3*Pemetaan!$B$4)</f>
        <v>177</v>
      </c>
      <c r="D179" s="0" t="n">
        <f aca="false">INT(C179/Pemetaan!$B$4)</f>
        <v>7</v>
      </c>
      <c r="E179" s="0" t="n">
        <f aca="false">MOD(C179,Pemetaan!$B$4)</f>
        <v>2</v>
      </c>
      <c r="F179" s="0" t="n">
        <f aca="false">IF(B179="PRODUKSI",Pemetaan!$B$5,Pemetaan!$B$6)</f>
        <v>5</v>
      </c>
      <c r="G179" s="0" t="n">
        <f aca="false">F179+2+D179</f>
        <v>14</v>
      </c>
      <c r="H179" s="0" t="n">
        <f aca="false">Pemetaan!$B$2+E179</f>
        <v>7</v>
      </c>
      <c r="I179" s="0" t="str">
        <f aca="false">INDEX(Laporan!$A$1:$AZ$300,G179,1)</f>
        <v>Water Treatment</v>
      </c>
      <c r="J179" s="0" t="str">
        <f aca="false">INDEX(Laporan!$A$1:$AZ$300,G179,2)</f>
        <v>600 ml</v>
      </c>
      <c r="K179" s="0" t="str">
        <f aca="false">INDEX(Laporan!$A$1:$AZ$300,G179,3)</f>
        <v>Shift 1</v>
      </c>
      <c r="L179" s="0" t="n">
        <f aca="false">INDEX(Laporan!$A$1:$AZ$300,G179,4)</f>
        <v>2</v>
      </c>
      <c r="M179" s="1" t="n">
        <f aca="false">DATE(Pemetaan!$B$1,VALUE(RIGHT(INDEX(Laporan!$A$1:$AZ$300,F179+1,H179),2)),VALUE(LEFT(INDEX(Laporan!$A$1:$AZ$300,F179+1,H179),2)))</f>
        <v>46085</v>
      </c>
      <c r="N179" s="0" t="n">
        <f aca="false">INDEX(Laporan!$A$1:$AZ$300,G179,H179)</f>
        <v>2826</v>
      </c>
      <c r="O179" s="0" t="n">
        <f aca="false">IF(N179="","",IFERROR(VALUE(SUBSTITUTE(SUBSTITUTE(N179," btl",""),".","")),""))</f>
        <v>2826</v>
      </c>
      <c r="P179" s="0" t="str">
        <f aca="false">IF(B179="PRODUKSI","produced","reject")</f>
        <v>produced</v>
      </c>
    </row>
    <row r="180" customFormat="false" ht="15" hidden="false" customHeight="false" outlineLevel="0" collapsed="false">
      <c r="A180" s="0" t="n">
        <v>179</v>
      </c>
      <c r="B180" s="0" t="str">
        <f aca="false">IF(A180&lt;=36*25,"PRODUKSI","REJECT")</f>
        <v>PRODUKSI</v>
      </c>
      <c r="C180" s="0" t="n">
        <f aca="false">MOD(A180-1,Pemetaan!$B$3*Pemetaan!$B$4)</f>
        <v>178</v>
      </c>
      <c r="D180" s="0" t="n">
        <f aca="false">INT(C180/Pemetaan!$B$4)</f>
        <v>7</v>
      </c>
      <c r="E180" s="0" t="n">
        <f aca="false">MOD(C180,Pemetaan!$B$4)</f>
        <v>3</v>
      </c>
      <c r="F180" s="0" t="n">
        <f aca="false">IF(B180="PRODUKSI",Pemetaan!$B$5,Pemetaan!$B$6)</f>
        <v>5</v>
      </c>
      <c r="G180" s="0" t="n">
        <f aca="false">F180+2+D180</f>
        <v>14</v>
      </c>
      <c r="H180" s="0" t="n">
        <f aca="false">Pemetaan!$B$2+E180</f>
        <v>8</v>
      </c>
      <c r="I180" s="0" t="str">
        <f aca="false">INDEX(Laporan!$A$1:$AZ$300,G180,1)</f>
        <v>Water Treatment</v>
      </c>
      <c r="J180" s="0" t="str">
        <f aca="false">INDEX(Laporan!$A$1:$AZ$300,G180,2)</f>
        <v>600 ml</v>
      </c>
      <c r="K180" s="0" t="str">
        <f aca="false">INDEX(Laporan!$A$1:$AZ$300,G180,3)</f>
        <v>Shift 1</v>
      </c>
      <c r="L180" s="0" t="n">
        <f aca="false">INDEX(Laporan!$A$1:$AZ$300,G180,4)</f>
        <v>2</v>
      </c>
      <c r="M180" s="1" t="n">
        <f aca="false">DATE(Pemetaan!$B$1,VALUE(RIGHT(INDEX(Laporan!$A$1:$AZ$300,F180+1,H180),2)),VALUE(LEFT(INDEX(Laporan!$A$1:$AZ$300,F180+1,H180),2)))</f>
        <v>46086</v>
      </c>
      <c r="N180" s="0" t="str">
        <f aca="false">INDEX(Laporan!$A$1:$AZ$300,G180,H180)</f>
        <v>-</v>
      </c>
      <c r="O180" s="0" t="str">
        <f aca="false">IF(N180="","",IFERROR(VALUE(SUBSTITUTE(SUBSTITUTE(N180," btl",""),".","")),""))</f>
        <v/>
      </c>
      <c r="P180" s="0" t="str">
        <f aca="false">IF(B180="PRODUKSI","produced","reject")</f>
        <v>produced</v>
      </c>
    </row>
    <row r="181" customFormat="false" ht="15" hidden="false" customHeight="false" outlineLevel="0" collapsed="false">
      <c r="A181" s="0" t="n">
        <v>180</v>
      </c>
      <c r="B181" s="0" t="str">
        <f aca="false">IF(A181&lt;=36*25,"PRODUKSI","REJECT")</f>
        <v>PRODUKSI</v>
      </c>
      <c r="C181" s="0" t="n">
        <f aca="false">MOD(A181-1,Pemetaan!$B$3*Pemetaan!$B$4)</f>
        <v>179</v>
      </c>
      <c r="D181" s="0" t="n">
        <f aca="false">INT(C181/Pemetaan!$B$4)</f>
        <v>7</v>
      </c>
      <c r="E181" s="0" t="n">
        <f aca="false">MOD(C181,Pemetaan!$B$4)</f>
        <v>4</v>
      </c>
      <c r="F181" s="0" t="n">
        <f aca="false">IF(B181="PRODUKSI",Pemetaan!$B$5,Pemetaan!$B$6)</f>
        <v>5</v>
      </c>
      <c r="G181" s="0" t="n">
        <f aca="false">F181+2+D181</f>
        <v>14</v>
      </c>
      <c r="H181" s="0" t="n">
        <f aca="false">Pemetaan!$B$2+E181</f>
        <v>9</v>
      </c>
      <c r="I181" s="0" t="str">
        <f aca="false">INDEX(Laporan!$A$1:$AZ$300,G181,1)</f>
        <v>Water Treatment</v>
      </c>
      <c r="J181" s="0" t="str">
        <f aca="false">INDEX(Laporan!$A$1:$AZ$300,G181,2)</f>
        <v>600 ml</v>
      </c>
      <c r="K181" s="0" t="str">
        <f aca="false">INDEX(Laporan!$A$1:$AZ$300,G181,3)</f>
        <v>Shift 1</v>
      </c>
      <c r="L181" s="0" t="n">
        <f aca="false">INDEX(Laporan!$A$1:$AZ$300,G181,4)</f>
        <v>2</v>
      </c>
      <c r="M181" s="1" t="n">
        <f aca="false">DATE(Pemetaan!$B$1,VALUE(RIGHT(INDEX(Laporan!$A$1:$AZ$300,F181+1,H181),2)),VALUE(LEFT(INDEX(Laporan!$A$1:$AZ$300,F181+1,H181),2)))</f>
        <v>46087</v>
      </c>
      <c r="N181" s="0" t="n">
        <f aca="false">INDEX(Laporan!$A$1:$AZ$300,G181,H181)</f>
        <v>2908</v>
      </c>
      <c r="O181" s="0" t="n">
        <f aca="false">IF(N181="","",IFERROR(VALUE(SUBSTITUTE(SUBSTITUTE(N181," btl",""),".","")),""))</f>
        <v>2908</v>
      </c>
      <c r="P181" s="0" t="str">
        <f aca="false">IF(B181="PRODUKSI","produced","reject")</f>
        <v>produced</v>
      </c>
    </row>
    <row r="182" customFormat="false" ht="15" hidden="false" customHeight="false" outlineLevel="0" collapsed="false">
      <c r="A182" s="0" t="n">
        <v>181</v>
      </c>
      <c r="B182" s="0" t="str">
        <f aca="false">IF(A182&lt;=36*25,"PRODUKSI","REJECT")</f>
        <v>PRODUKSI</v>
      </c>
      <c r="C182" s="0" t="n">
        <f aca="false">MOD(A182-1,Pemetaan!$B$3*Pemetaan!$B$4)</f>
        <v>180</v>
      </c>
      <c r="D182" s="0" t="n">
        <f aca="false">INT(C182/Pemetaan!$B$4)</f>
        <v>7</v>
      </c>
      <c r="E182" s="0" t="n">
        <f aca="false">MOD(C182,Pemetaan!$B$4)</f>
        <v>5</v>
      </c>
      <c r="F182" s="0" t="n">
        <f aca="false">IF(B182="PRODUKSI",Pemetaan!$B$5,Pemetaan!$B$6)</f>
        <v>5</v>
      </c>
      <c r="G182" s="0" t="n">
        <f aca="false">F182+2+D182</f>
        <v>14</v>
      </c>
      <c r="H182" s="0" t="n">
        <f aca="false">Pemetaan!$B$2+E182</f>
        <v>10</v>
      </c>
      <c r="I182" s="0" t="str">
        <f aca="false">INDEX(Laporan!$A$1:$AZ$300,G182,1)</f>
        <v>Water Treatment</v>
      </c>
      <c r="J182" s="0" t="str">
        <f aca="false">INDEX(Laporan!$A$1:$AZ$300,G182,2)</f>
        <v>600 ml</v>
      </c>
      <c r="K182" s="0" t="str">
        <f aca="false">INDEX(Laporan!$A$1:$AZ$300,G182,3)</f>
        <v>Shift 1</v>
      </c>
      <c r="L182" s="0" t="n">
        <f aca="false">INDEX(Laporan!$A$1:$AZ$300,G182,4)</f>
        <v>2</v>
      </c>
      <c r="M182" s="1" t="n">
        <f aca="false">DATE(Pemetaan!$B$1,VALUE(RIGHT(INDEX(Laporan!$A$1:$AZ$300,F182+1,H182),2)),VALUE(LEFT(INDEX(Laporan!$A$1:$AZ$300,F182+1,H182),2)))</f>
        <v>46090</v>
      </c>
      <c r="N182" s="0" t="n">
        <f aca="false">INDEX(Laporan!$A$1:$AZ$300,G182,H182)</f>
        <v>2875</v>
      </c>
      <c r="O182" s="0" t="n">
        <f aca="false">IF(N182="","",IFERROR(VALUE(SUBSTITUTE(SUBSTITUTE(N182," btl",""),".","")),""))</f>
        <v>2875</v>
      </c>
      <c r="P182" s="0" t="str">
        <f aca="false">IF(B182="PRODUKSI","produced","reject")</f>
        <v>produced</v>
      </c>
    </row>
    <row r="183" customFormat="false" ht="15" hidden="false" customHeight="false" outlineLevel="0" collapsed="false">
      <c r="A183" s="0" t="n">
        <v>182</v>
      </c>
      <c r="B183" s="0" t="str">
        <f aca="false">IF(A183&lt;=36*25,"PRODUKSI","REJECT")</f>
        <v>PRODUKSI</v>
      </c>
      <c r="C183" s="0" t="n">
        <f aca="false">MOD(A183-1,Pemetaan!$B$3*Pemetaan!$B$4)</f>
        <v>181</v>
      </c>
      <c r="D183" s="0" t="n">
        <f aca="false">INT(C183/Pemetaan!$B$4)</f>
        <v>7</v>
      </c>
      <c r="E183" s="0" t="n">
        <f aca="false">MOD(C183,Pemetaan!$B$4)</f>
        <v>6</v>
      </c>
      <c r="F183" s="0" t="n">
        <f aca="false">IF(B183="PRODUKSI",Pemetaan!$B$5,Pemetaan!$B$6)</f>
        <v>5</v>
      </c>
      <c r="G183" s="0" t="n">
        <f aca="false">F183+2+D183</f>
        <v>14</v>
      </c>
      <c r="H183" s="0" t="n">
        <f aca="false">Pemetaan!$B$2+E183</f>
        <v>11</v>
      </c>
      <c r="I183" s="0" t="str">
        <f aca="false">INDEX(Laporan!$A$1:$AZ$300,G183,1)</f>
        <v>Water Treatment</v>
      </c>
      <c r="J183" s="0" t="str">
        <f aca="false">INDEX(Laporan!$A$1:$AZ$300,G183,2)</f>
        <v>600 ml</v>
      </c>
      <c r="K183" s="0" t="str">
        <f aca="false">INDEX(Laporan!$A$1:$AZ$300,G183,3)</f>
        <v>Shift 1</v>
      </c>
      <c r="L183" s="0" t="n">
        <f aca="false">INDEX(Laporan!$A$1:$AZ$300,G183,4)</f>
        <v>2</v>
      </c>
      <c r="M183" s="1" t="n">
        <f aca="false">DATE(Pemetaan!$B$1,VALUE(RIGHT(INDEX(Laporan!$A$1:$AZ$300,F183+1,H183),2)),VALUE(LEFT(INDEX(Laporan!$A$1:$AZ$300,F183+1,H183),2)))</f>
        <v>46091</v>
      </c>
      <c r="N183" s="0" t="n">
        <f aca="false">INDEX(Laporan!$A$1:$AZ$300,G183,H183)</f>
        <v>2314</v>
      </c>
      <c r="O183" s="0" t="n">
        <f aca="false">IF(N183="","",IFERROR(VALUE(SUBSTITUTE(SUBSTITUTE(N183," btl",""),".","")),""))</f>
        <v>2314</v>
      </c>
      <c r="P183" s="0" t="str">
        <f aca="false">IF(B183="PRODUKSI","produced","reject")</f>
        <v>produced</v>
      </c>
    </row>
    <row r="184" customFormat="false" ht="15" hidden="false" customHeight="false" outlineLevel="0" collapsed="false">
      <c r="A184" s="0" t="n">
        <v>183</v>
      </c>
      <c r="B184" s="0" t="str">
        <f aca="false">IF(A184&lt;=36*25,"PRODUKSI","REJECT")</f>
        <v>PRODUKSI</v>
      </c>
      <c r="C184" s="0" t="n">
        <f aca="false">MOD(A184-1,Pemetaan!$B$3*Pemetaan!$B$4)</f>
        <v>182</v>
      </c>
      <c r="D184" s="0" t="n">
        <f aca="false">INT(C184/Pemetaan!$B$4)</f>
        <v>7</v>
      </c>
      <c r="E184" s="0" t="n">
        <f aca="false">MOD(C184,Pemetaan!$B$4)</f>
        <v>7</v>
      </c>
      <c r="F184" s="0" t="n">
        <f aca="false">IF(B184="PRODUKSI",Pemetaan!$B$5,Pemetaan!$B$6)</f>
        <v>5</v>
      </c>
      <c r="G184" s="0" t="n">
        <f aca="false">F184+2+D184</f>
        <v>14</v>
      </c>
      <c r="H184" s="0" t="n">
        <f aca="false">Pemetaan!$B$2+E184</f>
        <v>12</v>
      </c>
      <c r="I184" s="0" t="str">
        <f aca="false">INDEX(Laporan!$A$1:$AZ$300,G184,1)</f>
        <v>Water Treatment</v>
      </c>
      <c r="J184" s="0" t="str">
        <f aca="false">INDEX(Laporan!$A$1:$AZ$300,G184,2)</f>
        <v>600 ml</v>
      </c>
      <c r="K184" s="0" t="str">
        <f aca="false">INDEX(Laporan!$A$1:$AZ$300,G184,3)</f>
        <v>Shift 1</v>
      </c>
      <c r="L184" s="0" t="n">
        <f aca="false">INDEX(Laporan!$A$1:$AZ$300,G184,4)</f>
        <v>2</v>
      </c>
      <c r="M184" s="1" t="n">
        <f aca="false">DATE(Pemetaan!$B$1,VALUE(RIGHT(INDEX(Laporan!$A$1:$AZ$300,F184+1,H184),2)),VALUE(LEFT(INDEX(Laporan!$A$1:$AZ$300,F184+1,H184),2)))</f>
        <v>46092</v>
      </c>
      <c r="N184" s="0" t="n">
        <f aca="false">INDEX(Laporan!$A$1:$AZ$300,G184,H184)</f>
        <v>3001</v>
      </c>
      <c r="O184" s="0" t="n">
        <f aca="false">IF(N184="","",IFERROR(VALUE(SUBSTITUTE(SUBSTITUTE(N184," btl",""),".","")),""))</f>
        <v>3001</v>
      </c>
      <c r="P184" s="0" t="str">
        <f aca="false">IF(B184="PRODUKSI","produced","reject")</f>
        <v>produced</v>
      </c>
    </row>
    <row r="185" customFormat="false" ht="15" hidden="false" customHeight="false" outlineLevel="0" collapsed="false">
      <c r="A185" s="0" t="n">
        <v>184</v>
      </c>
      <c r="B185" s="0" t="str">
        <f aca="false">IF(A185&lt;=36*25,"PRODUKSI","REJECT")</f>
        <v>PRODUKSI</v>
      </c>
      <c r="C185" s="0" t="n">
        <f aca="false">MOD(A185-1,Pemetaan!$B$3*Pemetaan!$B$4)</f>
        <v>183</v>
      </c>
      <c r="D185" s="0" t="n">
        <f aca="false">INT(C185/Pemetaan!$B$4)</f>
        <v>7</v>
      </c>
      <c r="E185" s="0" t="n">
        <f aca="false">MOD(C185,Pemetaan!$B$4)</f>
        <v>8</v>
      </c>
      <c r="F185" s="0" t="n">
        <f aca="false">IF(B185="PRODUKSI",Pemetaan!$B$5,Pemetaan!$B$6)</f>
        <v>5</v>
      </c>
      <c r="G185" s="0" t="n">
        <f aca="false">F185+2+D185</f>
        <v>14</v>
      </c>
      <c r="H185" s="0" t="n">
        <f aca="false">Pemetaan!$B$2+E185</f>
        <v>13</v>
      </c>
      <c r="I185" s="0" t="str">
        <f aca="false">INDEX(Laporan!$A$1:$AZ$300,G185,1)</f>
        <v>Water Treatment</v>
      </c>
      <c r="J185" s="0" t="str">
        <f aca="false">INDEX(Laporan!$A$1:$AZ$300,G185,2)</f>
        <v>600 ml</v>
      </c>
      <c r="K185" s="0" t="str">
        <f aca="false">INDEX(Laporan!$A$1:$AZ$300,G185,3)</f>
        <v>Shift 1</v>
      </c>
      <c r="L185" s="0" t="n">
        <f aca="false">INDEX(Laporan!$A$1:$AZ$300,G185,4)</f>
        <v>2</v>
      </c>
      <c r="M185" s="1" t="n">
        <f aca="false">DATE(Pemetaan!$B$1,VALUE(RIGHT(INDEX(Laporan!$A$1:$AZ$300,F185+1,H185),2)),VALUE(LEFT(INDEX(Laporan!$A$1:$AZ$300,F185+1,H185),2)))</f>
        <v>46093</v>
      </c>
      <c r="N185" s="0" t="n">
        <f aca="false">INDEX(Laporan!$A$1:$AZ$300,G185,H185)</f>
        <v>2856</v>
      </c>
      <c r="O185" s="0" t="n">
        <f aca="false">IF(N185="","",IFERROR(VALUE(SUBSTITUTE(SUBSTITUTE(N185," btl",""),".","")),""))</f>
        <v>2856</v>
      </c>
      <c r="P185" s="0" t="str">
        <f aca="false">IF(B185="PRODUKSI","produced","reject")</f>
        <v>produced</v>
      </c>
    </row>
    <row r="186" customFormat="false" ht="15" hidden="false" customHeight="false" outlineLevel="0" collapsed="false">
      <c r="A186" s="0" t="n">
        <v>185</v>
      </c>
      <c r="B186" s="0" t="str">
        <f aca="false">IF(A186&lt;=36*25,"PRODUKSI","REJECT")</f>
        <v>PRODUKSI</v>
      </c>
      <c r="C186" s="0" t="n">
        <f aca="false">MOD(A186-1,Pemetaan!$B$3*Pemetaan!$B$4)</f>
        <v>184</v>
      </c>
      <c r="D186" s="0" t="n">
        <f aca="false">INT(C186/Pemetaan!$B$4)</f>
        <v>7</v>
      </c>
      <c r="E186" s="0" t="n">
        <f aca="false">MOD(C186,Pemetaan!$B$4)</f>
        <v>9</v>
      </c>
      <c r="F186" s="0" t="n">
        <f aca="false">IF(B186="PRODUKSI",Pemetaan!$B$5,Pemetaan!$B$6)</f>
        <v>5</v>
      </c>
      <c r="G186" s="0" t="n">
        <f aca="false">F186+2+D186</f>
        <v>14</v>
      </c>
      <c r="H186" s="0" t="n">
        <f aca="false">Pemetaan!$B$2+E186</f>
        <v>14</v>
      </c>
      <c r="I186" s="0" t="str">
        <f aca="false">INDEX(Laporan!$A$1:$AZ$300,G186,1)</f>
        <v>Water Treatment</v>
      </c>
      <c r="J186" s="0" t="str">
        <f aca="false">INDEX(Laporan!$A$1:$AZ$300,G186,2)</f>
        <v>600 ml</v>
      </c>
      <c r="K186" s="0" t="str">
        <f aca="false">INDEX(Laporan!$A$1:$AZ$300,G186,3)</f>
        <v>Shift 1</v>
      </c>
      <c r="L186" s="0" t="n">
        <f aca="false">INDEX(Laporan!$A$1:$AZ$300,G186,4)</f>
        <v>2</v>
      </c>
      <c r="M186" s="1" t="n">
        <f aca="false">DATE(Pemetaan!$B$1,VALUE(RIGHT(INDEX(Laporan!$A$1:$AZ$300,F186+1,H186),2)),VALUE(LEFT(INDEX(Laporan!$A$1:$AZ$300,F186+1,H186),2)))</f>
        <v>46094</v>
      </c>
      <c r="N186" s="0" t="n">
        <f aca="false">INDEX(Laporan!$A$1:$AZ$300,G186,H186)</f>
        <v>3235</v>
      </c>
      <c r="O186" s="0" t="n">
        <f aca="false">IF(N186="","",IFERROR(VALUE(SUBSTITUTE(SUBSTITUTE(N186," btl",""),".","")),""))</f>
        <v>3235</v>
      </c>
      <c r="P186" s="0" t="str">
        <f aca="false">IF(B186="PRODUKSI","produced","reject")</f>
        <v>produced</v>
      </c>
    </row>
    <row r="187" customFormat="false" ht="15" hidden="false" customHeight="false" outlineLevel="0" collapsed="false">
      <c r="A187" s="0" t="n">
        <v>186</v>
      </c>
      <c r="B187" s="0" t="str">
        <f aca="false">IF(A187&lt;=36*25,"PRODUKSI","REJECT")</f>
        <v>PRODUKSI</v>
      </c>
      <c r="C187" s="0" t="n">
        <f aca="false">MOD(A187-1,Pemetaan!$B$3*Pemetaan!$B$4)</f>
        <v>185</v>
      </c>
      <c r="D187" s="0" t="n">
        <f aca="false">INT(C187/Pemetaan!$B$4)</f>
        <v>7</v>
      </c>
      <c r="E187" s="0" t="n">
        <f aca="false">MOD(C187,Pemetaan!$B$4)</f>
        <v>10</v>
      </c>
      <c r="F187" s="0" t="n">
        <f aca="false">IF(B187="PRODUKSI",Pemetaan!$B$5,Pemetaan!$B$6)</f>
        <v>5</v>
      </c>
      <c r="G187" s="0" t="n">
        <f aca="false">F187+2+D187</f>
        <v>14</v>
      </c>
      <c r="H187" s="0" t="n">
        <f aca="false">Pemetaan!$B$2+E187</f>
        <v>15</v>
      </c>
      <c r="I187" s="0" t="str">
        <f aca="false">INDEX(Laporan!$A$1:$AZ$300,G187,1)</f>
        <v>Water Treatment</v>
      </c>
      <c r="J187" s="0" t="str">
        <f aca="false">INDEX(Laporan!$A$1:$AZ$300,G187,2)</f>
        <v>600 ml</v>
      </c>
      <c r="K187" s="0" t="str">
        <f aca="false">INDEX(Laporan!$A$1:$AZ$300,G187,3)</f>
        <v>Shift 1</v>
      </c>
      <c r="L187" s="0" t="n">
        <f aca="false">INDEX(Laporan!$A$1:$AZ$300,G187,4)</f>
        <v>2</v>
      </c>
      <c r="M187" s="1" t="n">
        <f aca="false">DATE(Pemetaan!$B$1,VALUE(RIGHT(INDEX(Laporan!$A$1:$AZ$300,F187+1,H187),2)),VALUE(LEFT(INDEX(Laporan!$A$1:$AZ$300,F187+1,H187),2)))</f>
        <v>46097</v>
      </c>
      <c r="N187" s="0" t="n">
        <f aca="false">INDEX(Laporan!$A$1:$AZ$300,G187,H187)</f>
        <v>2388</v>
      </c>
      <c r="O187" s="0" t="n">
        <f aca="false">IF(N187="","",IFERROR(VALUE(SUBSTITUTE(SUBSTITUTE(N187," btl",""),".","")),""))</f>
        <v>2388</v>
      </c>
      <c r="P187" s="0" t="str">
        <f aca="false">IF(B187="PRODUKSI","produced","reject")</f>
        <v>produced</v>
      </c>
    </row>
    <row r="188" customFormat="false" ht="15" hidden="false" customHeight="false" outlineLevel="0" collapsed="false">
      <c r="A188" s="0" t="n">
        <v>187</v>
      </c>
      <c r="B188" s="0" t="str">
        <f aca="false">IF(A188&lt;=36*25,"PRODUKSI","REJECT")</f>
        <v>PRODUKSI</v>
      </c>
      <c r="C188" s="0" t="n">
        <f aca="false">MOD(A188-1,Pemetaan!$B$3*Pemetaan!$B$4)</f>
        <v>186</v>
      </c>
      <c r="D188" s="0" t="n">
        <f aca="false">INT(C188/Pemetaan!$B$4)</f>
        <v>7</v>
      </c>
      <c r="E188" s="0" t="n">
        <f aca="false">MOD(C188,Pemetaan!$B$4)</f>
        <v>11</v>
      </c>
      <c r="F188" s="0" t="n">
        <f aca="false">IF(B188="PRODUKSI",Pemetaan!$B$5,Pemetaan!$B$6)</f>
        <v>5</v>
      </c>
      <c r="G188" s="0" t="n">
        <f aca="false">F188+2+D188</f>
        <v>14</v>
      </c>
      <c r="H188" s="0" t="n">
        <f aca="false">Pemetaan!$B$2+E188</f>
        <v>16</v>
      </c>
      <c r="I188" s="0" t="str">
        <f aca="false">INDEX(Laporan!$A$1:$AZ$300,G188,1)</f>
        <v>Water Treatment</v>
      </c>
      <c r="J188" s="0" t="str">
        <f aca="false">INDEX(Laporan!$A$1:$AZ$300,G188,2)</f>
        <v>600 ml</v>
      </c>
      <c r="K188" s="0" t="str">
        <f aca="false">INDEX(Laporan!$A$1:$AZ$300,G188,3)</f>
        <v>Shift 1</v>
      </c>
      <c r="L188" s="0" t="n">
        <f aca="false">INDEX(Laporan!$A$1:$AZ$300,G188,4)</f>
        <v>2</v>
      </c>
      <c r="M188" s="1" t="n">
        <f aca="false">DATE(Pemetaan!$B$1,VALUE(RIGHT(INDEX(Laporan!$A$1:$AZ$300,F188+1,H188),2)),VALUE(LEFT(INDEX(Laporan!$A$1:$AZ$300,F188+1,H188),2)))</f>
        <v>46098</v>
      </c>
      <c r="N188" s="0" t="n">
        <f aca="false">INDEX(Laporan!$A$1:$AZ$300,G188,H188)</f>
        <v>2717</v>
      </c>
      <c r="O188" s="0" t="n">
        <f aca="false">IF(N188="","",IFERROR(VALUE(SUBSTITUTE(SUBSTITUTE(N188," btl",""),".","")),""))</f>
        <v>2717</v>
      </c>
      <c r="P188" s="0" t="str">
        <f aca="false">IF(B188="PRODUKSI","produced","reject")</f>
        <v>produced</v>
      </c>
    </row>
    <row r="189" customFormat="false" ht="15" hidden="false" customHeight="false" outlineLevel="0" collapsed="false">
      <c r="A189" s="0" t="n">
        <v>188</v>
      </c>
      <c r="B189" s="0" t="str">
        <f aca="false">IF(A189&lt;=36*25,"PRODUKSI","REJECT")</f>
        <v>PRODUKSI</v>
      </c>
      <c r="C189" s="0" t="n">
        <f aca="false">MOD(A189-1,Pemetaan!$B$3*Pemetaan!$B$4)</f>
        <v>187</v>
      </c>
      <c r="D189" s="0" t="n">
        <f aca="false">INT(C189/Pemetaan!$B$4)</f>
        <v>7</v>
      </c>
      <c r="E189" s="0" t="n">
        <f aca="false">MOD(C189,Pemetaan!$B$4)</f>
        <v>12</v>
      </c>
      <c r="F189" s="0" t="n">
        <f aca="false">IF(B189="PRODUKSI",Pemetaan!$B$5,Pemetaan!$B$6)</f>
        <v>5</v>
      </c>
      <c r="G189" s="0" t="n">
        <f aca="false">F189+2+D189</f>
        <v>14</v>
      </c>
      <c r="H189" s="0" t="n">
        <f aca="false">Pemetaan!$B$2+E189</f>
        <v>17</v>
      </c>
      <c r="I189" s="0" t="str">
        <f aca="false">INDEX(Laporan!$A$1:$AZ$300,G189,1)</f>
        <v>Water Treatment</v>
      </c>
      <c r="J189" s="0" t="str">
        <f aca="false">INDEX(Laporan!$A$1:$AZ$300,G189,2)</f>
        <v>600 ml</v>
      </c>
      <c r="K189" s="0" t="str">
        <f aca="false">INDEX(Laporan!$A$1:$AZ$300,G189,3)</f>
        <v>Shift 1</v>
      </c>
      <c r="L189" s="0" t="n">
        <f aca="false">INDEX(Laporan!$A$1:$AZ$300,G189,4)</f>
        <v>2</v>
      </c>
      <c r="M189" s="1" t="n">
        <f aca="false">DATE(Pemetaan!$B$1,VALUE(RIGHT(INDEX(Laporan!$A$1:$AZ$300,F189+1,H189),2)),VALUE(LEFT(INDEX(Laporan!$A$1:$AZ$300,F189+1,H189),2)))</f>
        <v>46099</v>
      </c>
      <c r="N189" s="0" t="n">
        <f aca="false">INDEX(Laporan!$A$1:$AZ$300,G189,H189)</f>
        <v>2927</v>
      </c>
      <c r="O189" s="0" t="n">
        <f aca="false">IF(N189="","",IFERROR(VALUE(SUBSTITUTE(SUBSTITUTE(N189," btl",""),".","")),""))</f>
        <v>2927</v>
      </c>
      <c r="P189" s="0" t="str">
        <f aca="false">IF(B189="PRODUKSI","produced","reject")</f>
        <v>produced</v>
      </c>
    </row>
    <row r="190" customFormat="false" ht="15" hidden="false" customHeight="false" outlineLevel="0" collapsed="false">
      <c r="A190" s="0" t="n">
        <v>189</v>
      </c>
      <c r="B190" s="0" t="str">
        <f aca="false">IF(A190&lt;=36*25,"PRODUKSI","REJECT")</f>
        <v>PRODUKSI</v>
      </c>
      <c r="C190" s="0" t="n">
        <f aca="false">MOD(A190-1,Pemetaan!$B$3*Pemetaan!$B$4)</f>
        <v>188</v>
      </c>
      <c r="D190" s="0" t="n">
        <f aca="false">INT(C190/Pemetaan!$B$4)</f>
        <v>7</v>
      </c>
      <c r="E190" s="0" t="n">
        <f aca="false">MOD(C190,Pemetaan!$B$4)</f>
        <v>13</v>
      </c>
      <c r="F190" s="0" t="n">
        <f aca="false">IF(B190="PRODUKSI",Pemetaan!$B$5,Pemetaan!$B$6)</f>
        <v>5</v>
      </c>
      <c r="G190" s="0" t="n">
        <f aca="false">F190+2+D190</f>
        <v>14</v>
      </c>
      <c r="H190" s="0" t="n">
        <f aca="false">Pemetaan!$B$2+E190</f>
        <v>18</v>
      </c>
      <c r="I190" s="0" t="str">
        <f aca="false">INDEX(Laporan!$A$1:$AZ$300,G190,1)</f>
        <v>Water Treatment</v>
      </c>
      <c r="J190" s="0" t="str">
        <f aca="false">INDEX(Laporan!$A$1:$AZ$300,G190,2)</f>
        <v>600 ml</v>
      </c>
      <c r="K190" s="0" t="str">
        <f aca="false">INDEX(Laporan!$A$1:$AZ$300,G190,3)</f>
        <v>Shift 1</v>
      </c>
      <c r="L190" s="0" t="n">
        <f aca="false">INDEX(Laporan!$A$1:$AZ$300,G190,4)</f>
        <v>2</v>
      </c>
      <c r="M190" s="1" t="n">
        <f aca="false">DATE(Pemetaan!$B$1,VALUE(RIGHT(INDEX(Laporan!$A$1:$AZ$300,F190+1,H190),2)),VALUE(LEFT(INDEX(Laporan!$A$1:$AZ$300,F190+1,H190),2)))</f>
        <v>46100</v>
      </c>
      <c r="N190" s="0" t="n">
        <f aca="false">INDEX(Laporan!$A$1:$AZ$300,G190,H190)</f>
        <v>2968</v>
      </c>
      <c r="O190" s="0" t="n">
        <f aca="false">IF(N190="","",IFERROR(VALUE(SUBSTITUTE(SUBSTITUTE(N190," btl",""),".","")),""))</f>
        <v>2968</v>
      </c>
      <c r="P190" s="0" t="str">
        <f aca="false">IF(B190="PRODUKSI","produced","reject")</f>
        <v>produced</v>
      </c>
    </row>
    <row r="191" customFormat="false" ht="15" hidden="false" customHeight="false" outlineLevel="0" collapsed="false">
      <c r="A191" s="0" t="n">
        <v>190</v>
      </c>
      <c r="B191" s="0" t="str">
        <f aca="false">IF(A191&lt;=36*25,"PRODUKSI","REJECT")</f>
        <v>PRODUKSI</v>
      </c>
      <c r="C191" s="0" t="n">
        <f aca="false">MOD(A191-1,Pemetaan!$B$3*Pemetaan!$B$4)</f>
        <v>189</v>
      </c>
      <c r="D191" s="0" t="n">
        <f aca="false">INT(C191/Pemetaan!$B$4)</f>
        <v>7</v>
      </c>
      <c r="E191" s="0" t="n">
        <f aca="false">MOD(C191,Pemetaan!$B$4)</f>
        <v>14</v>
      </c>
      <c r="F191" s="0" t="n">
        <f aca="false">IF(B191="PRODUKSI",Pemetaan!$B$5,Pemetaan!$B$6)</f>
        <v>5</v>
      </c>
      <c r="G191" s="0" t="n">
        <f aca="false">F191+2+D191</f>
        <v>14</v>
      </c>
      <c r="H191" s="0" t="n">
        <f aca="false">Pemetaan!$B$2+E191</f>
        <v>19</v>
      </c>
      <c r="I191" s="0" t="str">
        <f aca="false">INDEX(Laporan!$A$1:$AZ$300,G191,1)</f>
        <v>Water Treatment</v>
      </c>
      <c r="J191" s="0" t="str">
        <f aca="false">INDEX(Laporan!$A$1:$AZ$300,G191,2)</f>
        <v>600 ml</v>
      </c>
      <c r="K191" s="0" t="str">
        <f aca="false">INDEX(Laporan!$A$1:$AZ$300,G191,3)</f>
        <v>Shift 1</v>
      </c>
      <c r="L191" s="0" t="n">
        <f aca="false">INDEX(Laporan!$A$1:$AZ$300,G191,4)</f>
        <v>2</v>
      </c>
      <c r="M191" s="1" t="n">
        <f aca="false">DATE(Pemetaan!$B$1,VALUE(RIGHT(INDEX(Laporan!$A$1:$AZ$300,F191+1,H191),2)),VALUE(LEFT(INDEX(Laporan!$A$1:$AZ$300,F191+1,H191),2)))</f>
        <v>46101</v>
      </c>
      <c r="N191" s="0" t="n">
        <f aca="false">INDEX(Laporan!$A$1:$AZ$300,G191,H191)</f>
        <v>2780</v>
      </c>
      <c r="O191" s="0" t="n">
        <f aca="false">IF(N191="","",IFERROR(VALUE(SUBSTITUTE(SUBSTITUTE(N191," btl",""),".","")),""))</f>
        <v>2780</v>
      </c>
      <c r="P191" s="0" t="str">
        <f aca="false">IF(B191="PRODUKSI","produced","reject")</f>
        <v>produced</v>
      </c>
    </row>
    <row r="192" customFormat="false" ht="15" hidden="false" customHeight="false" outlineLevel="0" collapsed="false">
      <c r="A192" s="0" t="n">
        <v>191</v>
      </c>
      <c r="B192" s="0" t="str">
        <f aca="false">IF(A192&lt;=36*25,"PRODUKSI","REJECT")</f>
        <v>PRODUKSI</v>
      </c>
      <c r="C192" s="0" t="n">
        <f aca="false">MOD(A192-1,Pemetaan!$B$3*Pemetaan!$B$4)</f>
        <v>190</v>
      </c>
      <c r="D192" s="0" t="n">
        <f aca="false">INT(C192/Pemetaan!$B$4)</f>
        <v>7</v>
      </c>
      <c r="E192" s="0" t="n">
        <f aca="false">MOD(C192,Pemetaan!$B$4)</f>
        <v>15</v>
      </c>
      <c r="F192" s="0" t="n">
        <f aca="false">IF(B192="PRODUKSI",Pemetaan!$B$5,Pemetaan!$B$6)</f>
        <v>5</v>
      </c>
      <c r="G192" s="0" t="n">
        <f aca="false">F192+2+D192</f>
        <v>14</v>
      </c>
      <c r="H192" s="0" t="n">
        <f aca="false">Pemetaan!$B$2+E192</f>
        <v>20</v>
      </c>
      <c r="I192" s="0" t="str">
        <f aca="false">INDEX(Laporan!$A$1:$AZ$300,G192,1)</f>
        <v>Water Treatment</v>
      </c>
      <c r="J192" s="0" t="str">
        <f aca="false">INDEX(Laporan!$A$1:$AZ$300,G192,2)</f>
        <v>600 ml</v>
      </c>
      <c r="K192" s="0" t="str">
        <f aca="false">INDEX(Laporan!$A$1:$AZ$300,G192,3)</f>
        <v>Shift 1</v>
      </c>
      <c r="L192" s="0" t="n">
        <f aca="false">INDEX(Laporan!$A$1:$AZ$300,G192,4)</f>
        <v>2</v>
      </c>
      <c r="M192" s="1" t="n">
        <f aca="false">DATE(Pemetaan!$B$1,VALUE(RIGHT(INDEX(Laporan!$A$1:$AZ$300,F192+1,H192),2)),VALUE(LEFT(INDEX(Laporan!$A$1:$AZ$300,F192+1,H192),2)))</f>
        <v>46104</v>
      </c>
      <c r="N192" s="0" t="n">
        <f aca="false">INDEX(Laporan!$A$1:$AZ$300,G192,H192)</f>
        <v>2914</v>
      </c>
      <c r="O192" s="0" t="n">
        <f aca="false">IF(N192="","",IFERROR(VALUE(SUBSTITUTE(SUBSTITUTE(N192," btl",""),".","")),""))</f>
        <v>2914</v>
      </c>
      <c r="P192" s="0" t="str">
        <f aca="false">IF(B192="PRODUKSI","produced","reject")</f>
        <v>produced</v>
      </c>
    </row>
    <row r="193" customFormat="false" ht="15" hidden="false" customHeight="false" outlineLevel="0" collapsed="false">
      <c r="A193" s="0" t="n">
        <v>192</v>
      </c>
      <c r="B193" s="0" t="str">
        <f aca="false">IF(A193&lt;=36*25,"PRODUKSI","REJECT")</f>
        <v>PRODUKSI</v>
      </c>
      <c r="C193" s="0" t="n">
        <f aca="false">MOD(A193-1,Pemetaan!$B$3*Pemetaan!$B$4)</f>
        <v>191</v>
      </c>
      <c r="D193" s="0" t="n">
        <f aca="false">INT(C193/Pemetaan!$B$4)</f>
        <v>7</v>
      </c>
      <c r="E193" s="0" t="n">
        <f aca="false">MOD(C193,Pemetaan!$B$4)</f>
        <v>16</v>
      </c>
      <c r="F193" s="0" t="n">
        <f aca="false">IF(B193="PRODUKSI",Pemetaan!$B$5,Pemetaan!$B$6)</f>
        <v>5</v>
      </c>
      <c r="G193" s="0" t="n">
        <f aca="false">F193+2+D193</f>
        <v>14</v>
      </c>
      <c r="H193" s="0" t="n">
        <f aca="false">Pemetaan!$B$2+E193</f>
        <v>21</v>
      </c>
      <c r="I193" s="0" t="str">
        <f aca="false">INDEX(Laporan!$A$1:$AZ$300,G193,1)</f>
        <v>Water Treatment</v>
      </c>
      <c r="J193" s="0" t="str">
        <f aca="false">INDEX(Laporan!$A$1:$AZ$300,G193,2)</f>
        <v>600 ml</v>
      </c>
      <c r="K193" s="0" t="str">
        <f aca="false">INDEX(Laporan!$A$1:$AZ$300,G193,3)</f>
        <v>Shift 1</v>
      </c>
      <c r="L193" s="0" t="n">
        <f aca="false">INDEX(Laporan!$A$1:$AZ$300,G193,4)</f>
        <v>2</v>
      </c>
      <c r="M193" s="1" t="n">
        <f aca="false">DATE(Pemetaan!$B$1,VALUE(RIGHT(INDEX(Laporan!$A$1:$AZ$300,F193+1,H193),2)),VALUE(LEFT(INDEX(Laporan!$A$1:$AZ$300,F193+1,H193),2)))</f>
        <v>46105</v>
      </c>
      <c r="N193" s="0" t="n">
        <f aca="false">INDEX(Laporan!$A$1:$AZ$300,G193,H193)</f>
        <v>3064</v>
      </c>
      <c r="O193" s="0" t="n">
        <f aca="false">IF(N193="","",IFERROR(VALUE(SUBSTITUTE(SUBSTITUTE(N193," btl",""),".","")),""))</f>
        <v>3064</v>
      </c>
      <c r="P193" s="0" t="str">
        <f aca="false">IF(B193="PRODUKSI","produced","reject")</f>
        <v>produced</v>
      </c>
    </row>
    <row r="194" customFormat="false" ht="15" hidden="false" customHeight="false" outlineLevel="0" collapsed="false">
      <c r="A194" s="0" t="n">
        <v>193</v>
      </c>
      <c r="B194" s="0" t="str">
        <f aca="false">IF(A194&lt;=36*25,"PRODUKSI","REJECT")</f>
        <v>PRODUKSI</v>
      </c>
      <c r="C194" s="0" t="n">
        <f aca="false">MOD(A194-1,Pemetaan!$B$3*Pemetaan!$B$4)</f>
        <v>192</v>
      </c>
      <c r="D194" s="0" t="n">
        <f aca="false">INT(C194/Pemetaan!$B$4)</f>
        <v>7</v>
      </c>
      <c r="E194" s="0" t="n">
        <f aca="false">MOD(C194,Pemetaan!$B$4)</f>
        <v>17</v>
      </c>
      <c r="F194" s="0" t="n">
        <f aca="false">IF(B194="PRODUKSI",Pemetaan!$B$5,Pemetaan!$B$6)</f>
        <v>5</v>
      </c>
      <c r="G194" s="0" t="n">
        <f aca="false">F194+2+D194</f>
        <v>14</v>
      </c>
      <c r="H194" s="0" t="n">
        <f aca="false">Pemetaan!$B$2+E194</f>
        <v>22</v>
      </c>
      <c r="I194" s="0" t="str">
        <f aca="false">INDEX(Laporan!$A$1:$AZ$300,G194,1)</f>
        <v>Water Treatment</v>
      </c>
      <c r="J194" s="0" t="str">
        <f aca="false">INDEX(Laporan!$A$1:$AZ$300,G194,2)</f>
        <v>600 ml</v>
      </c>
      <c r="K194" s="0" t="str">
        <f aca="false">INDEX(Laporan!$A$1:$AZ$300,G194,3)</f>
        <v>Shift 1</v>
      </c>
      <c r="L194" s="0" t="n">
        <f aca="false">INDEX(Laporan!$A$1:$AZ$300,G194,4)</f>
        <v>2</v>
      </c>
      <c r="M194" s="1" t="n">
        <f aca="false">DATE(Pemetaan!$B$1,VALUE(RIGHT(INDEX(Laporan!$A$1:$AZ$300,F194+1,H194),2)),VALUE(LEFT(INDEX(Laporan!$A$1:$AZ$300,F194+1,H194),2)))</f>
        <v>46106</v>
      </c>
      <c r="N194" s="0" t="n">
        <f aca="false">INDEX(Laporan!$A$1:$AZ$300,G194,H194)</f>
        <v>3024</v>
      </c>
      <c r="O194" s="0" t="n">
        <f aca="false">IF(N194="","",IFERROR(VALUE(SUBSTITUTE(SUBSTITUTE(N194," btl",""),".","")),""))</f>
        <v>3024</v>
      </c>
      <c r="P194" s="0" t="str">
        <f aca="false">IF(B194="PRODUKSI","produced","reject")</f>
        <v>produced</v>
      </c>
    </row>
    <row r="195" customFormat="false" ht="15" hidden="false" customHeight="false" outlineLevel="0" collapsed="false">
      <c r="A195" s="0" t="n">
        <v>194</v>
      </c>
      <c r="B195" s="0" t="str">
        <f aca="false">IF(A195&lt;=36*25,"PRODUKSI","REJECT")</f>
        <v>PRODUKSI</v>
      </c>
      <c r="C195" s="0" t="n">
        <f aca="false">MOD(A195-1,Pemetaan!$B$3*Pemetaan!$B$4)</f>
        <v>193</v>
      </c>
      <c r="D195" s="0" t="n">
        <f aca="false">INT(C195/Pemetaan!$B$4)</f>
        <v>7</v>
      </c>
      <c r="E195" s="0" t="n">
        <f aca="false">MOD(C195,Pemetaan!$B$4)</f>
        <v>18</v>
      </c>
      <c r="F195" s="0" t="n">
        <f aca="false">IF(B195="PRODUKSI",Pemetaan!$B$5,Pemetaan!$B$6)</f>
        <v>5</v>
      </c>
      <c r="G195" s="0" t="n">
        <f aca="false">F195+2+D195</f>
        <v>14</v>
      </c>
      <c r="H195" s="0" t="n">
        <f aca="false">Pemetaan!$B$2+E195</f>
        <v>23</v>
      </c>
      <c r="I195" s="0" t="str">
        <f aca="false">INDEX(Laporan!$A$1:$AZ$300,G195,1)</f>
        <v>Water Treatment</v>
      </c>
      <c r="J195" s="0" t="str">
        <f aca="false">INDEX(Laporan!$A$1:$AZ$300,G195,2)</f>
        <v>600 ml</v>
      </c>
      <c r="K195" s="0" t="str">
        <f aca="false">INDEX(Laporan!$A$1:$AZ$300,G195,3)</f>
        <v>Shift 1</v>
      </c>
      <c r="L195" s="0" t="n">
        <f aca="false">INDEX(Laporan!$A$1:$AZ$300,G195,4)</f>
        <v>2</v>
      </c>
      <c r="M195" s="1" t="n">
        <f aca="false">DATE(Pemetaan!$B$1,VALUE(RIGHT(INDEX(Laporan!$A$1:$AZ$300,F195+1,H195),2)),VALUE(LEFT(INDEX(Laporan!$A$1:$AZ$300,F195+1,H195),2)))</f>
        <v>46107</v>
      </c>
      <c r="N195" s="0" t="n">
        <f aca="false">INDEX(Laporan!$A$1:$AZ$300,G195,H195)</f>
        <v>2537</v>
      </c>
      <c r="O195" s="0" t="n">
        <f aca="false">IF(N195="","",IFERROR(VALUE(SUBSTITUTE(SUBSTITUTE(N195," btl",""),".","")),""))</f>
        <v>2537</v>
      </c>
      <c r="P195" s="0" t="str">
        <f aca="false">IF(B195="PRODUKSI","produced","reject")</f>
        <v>produced</v>
      </c>
    </row>
    <row r="196" customFormat="false" ht="15" hidden="false" customHeight="false" outlineLevel="0" collapsed="false">
      <c r="A196" s="0" t="n">
        <v>195</v>
      </c>
      <c r="B196" s="0" t="str">
        <f aca="false">IF(A196&lt;=36*25,"PRODUKSI","REJECT")</f>
        <v>PRODUKSI</v>
      </c>
      <c r="C196" s="0" t="n">
        <f aca="false">MOD(A196-1,Pemetaan!$B$3*Pemetaan!$B$4)</f>
        <v>194</v>
      </c>
      <c r="D196" s="0" t="n">
        <f aca="false">INT(C196/Pemetaan!$B$4)</f>
        <v>7</v>
      </c>
      <c r="E196" s="0" t="n">
        <f aca="false">MOD(C196,Pemetaan!$B$4)</f>
        <v>19</v>
      </c>
      <c r="F196" s="0" t="n">
        <f aca="false">IF(B196="PRODUKSI",Pemetaan!$B$5,Pemetaan!$B$6)</f>
        <v>5</v>
      </c>
      <c r="G196" s="0" t="n">
        <f aca="false">F196+2+D196</f>
        <v>14</v>
      </c>
      <c r="H196" s="0" t="n">
        <f aca="false">Pemetaan!$B$2+E196</f>
        <v>24</v>
      </c>
      <c r="I196" s="0" t="str">
        <f aca="false">INDEX(Laporan!$A$1:$AZ$300,G196,1)</f>
        <v>Water Treatment</v>
      </c>
      <c r="J196" s="0" t="str">
        <f aca="false">INDEX(Laporan!$A$1:$AZ$300,G196,2)</f>
        <v>600 ml</v>
      </c>
      <c r="K196" s="0" t="str">
        <f aca="false">INDEX(Laporan!$A$1:$AZ$300,G196,3)</f>
        <v>Shift 1</v>
      </c>
      <c r="L196" s="0" t="n">
        <f aca="false">INDEX(Laporan!$A$1:$AZ$300,G196,4)</f>
        <v>2</v>
      </c>
      <c r="M196" s="1" t="n">
        <f aca="false">DATE(Pemetaan!$B$1,VALUE(RIGHT(INDEX(Laporan!$A$1:$AZ$300,F196+1,H196),2)),VALUE(LEFT(INDEX(Laporan!$A$1:$AZ$300,F196+1,H196),2)))</f>
        <v>46108</v>
      </c>
      <c r="N196" s="0" t="n">
        <f aca="false">INDEX(Laporan!$A$1:$AZ$300,G196,H196)</f>
        <v>2621</v>
      </c>
      <c r="O196" s="0" t="n">
        <f aca="false">IF(N196="","",IFERROR(VALUE(SUBSTITUTE(SUBSTITUTE(N196," btl",""),".","")),""))</f>
        <v>2621</v>
      </c>
      <c r="P196" s="0" t="str">
        <f aca="false">IF(B196="PRODUKSI","produced","reject")</f>
        <v>produced</v>
      </c>
    </row>
    <row r="197" customFormat="false" ht="15" hidden="false" customHeight="false" outlineLevel="0" collapsed="false">
      <c r="A197" s="0" t="n">
        <v>196</v>
      </c>
      <c r="B197" s="0" t="str">
        <f aca="false">IF(A197&lt;=36*25,"PRODUKSI","REJECT")</f>
        <v>PRODUKSI</v>
      </c>
      <c r="C197" s="0" t="n">
        <f aca="false">MOD(A197-1,Pemetaan!$B$3*Pemetaan!$B$4)</f>
        <v>195</v>
      </c>
      <c r="D197" s="0" t="n">
        <f aca="false">INT(C197/Pemetaan!$B$4)</f>
        <v>7</v>
      </c>
      <c r="E197" s="0" t="n">
        <f aca="false">MOD(C197,Pemetaan!$B$4)</f>
        <v>20</v>
      </c>
      <c r="F197" s="0" t="n">
        <f aca="false">IF(B197="PRODUKSI",Pemetaan!$B$5,Pemetaan!$B$6)</f>
        <v>5</v>
      </c>
      <c r="G197" s="0" t="n">
        <f aca="false">F197+2+D197</f>
        <v>14</v>
      </c>
      <c r="H197" s="0" t="n">
        <f aca="false">Pemetaan!$B$2+E197</f>
        <v>25</v>
      </c>
      <c r="I197" s="0" t="str">
        <f aca="false">INDEX(Laporan!$A$1:$AZ$300,G197,1)</f>
        <v>Water Treatment</v>
      </c>
      <c r="J197" s="0" t="str">
        <f aca="false">INDEX(Laporan!$A$1:$AZ$300,G197,2)</f>
        <v>600 ml</v>
      </c>
      <c r="K197" s="0" t="str">
        <f aca="false">INDEX(Laporan!$A$1:$AZ$300,G197,3)</f>
        <v>Shift 1</v>
      </c>
      <c r="L197" s="0" t="n">
        <f aca="false">INDEX(Laporan!$A$1:$AZ$300,G197,4)</f>
        <v>2</v>
      </c>
      <c r="M197" s="1" t="n">
        <f aca="false">DATE(Pemetaan!$B$1,VALUE(RIGHT(INDEX(Laporan!$A$1:$AZ$300,F197+1,H197),2)),VALUE(LEFT(INDEX(Laporan!$A$1:$AZ$300,F197+1,H197),2)))</f>
        <v>46111</v>
      </c>
      <c r="N197" s="0" t="n">
        <f aca="false">INDEX(Laporan!$A$1:$AZ$300,G197,H197)</f>
        <v>2815</v>
      </c>
      <c r="O197" s="0" t="n">
        <f aca="false">IF(N197="","",IFERROR(VALUE(SUBSTITUTE(SUBSTITUTE(N197," btl",""),".","")),""))</f>
        <v>2815</v>
      </c>
      <c r="P197" s="0" t="str">
        <f aca="false">IF(B197="PRODUKSI","produced","reject")</f>
        <v>produced</v>
      </c>
    </row>
    <row r="198" customFormat="false" ht="15" hidden="false" customHeight="false" outlineLevel="0" collapsed="false">
      <c r="A198" s="0" t="n">
        <v>197</v>
      </c>
      <c r="B198" s="0" t="str">
        <f aca="false">IF(A198&lt;=36*25,"PRODUKSI","REJECT")</f>
        <v>PRODUKSI</v>
      </c>
      <c r="C198" s="0" t="n">
        <f aca="false">MOD(A198-1,Pemetaan!$B$3*Pemetaan!$B$4)</f>
        <v>196</v>
      </c>
      <c r="D198" s="0" t="n">
        <f aca="false">INT(C198/Pemetaan!$B$4)</f>
        <v>7</v>
      </c>
      <c r="E198" s="0" t="n">
        <f aca="false">MOD(C198,Pemetaan!$B$4)</f>
        <v>21</v>
      </c>
      <c r="F198" s="0" t="n">
        <f aca="false">IF(B198="PRODUKSI",Pemetaan!$B$5,Pemetaan!$B$6)</f>
        <v>5</v>
      </c>
      <c r="G198" s="0" t="n">
        <f aca="false">F198+2+D198</f>
        <v>14</v>
      </c>
      <c r="H198" s="0" t="n">
        <f aca="false">Pemetaan!$B$2+E198</f>
        <v>26</v>
      </c>
      <c r="I198" s="0" t="str">
        <f aca="false">INDEX(Laporan!$A$1:$AZ$300,G198,1)</f>
        <v>Water Treatment</v>
      </c>
      <c r="J198" s="0" t="str">
        <f aca="false">INDEX(Laporan!$A$1:$AZ$300,G198,2)</f>
        <v>600 ml</v>
      </c>
      <c r="K198" s="0" t="str">
        <f aca="false">INDEX(Laporan!$A$1:$AZ$300,G198,3)</f>
        <v>Shift 1</v>
      </c>
      <c r="L198" s="0" t="n">
        <f aca="false">INDEX(Laporan!$A$1:$AZ$300,G198,4)</f>
        <v>2</v>
      </c>
      <c r="M198" s="1" t="n">
        <f aca="false">DATE(Pemetaan!$B$1,VALUE(RIGHT(INDEX(Laporan!$A$1:$AZ$300,F198+1,H198),2)),VALUE(LEFT(INDEX(Laporan!$A$1:$AZ$300,F198+1,H198),2)))</f>
        <v>46112</v>
      </c>
      <c r="N198" s="0" t="n">
        <f aca="false">INDEX(Laporan!$A$1:$AZ$300,G198,H198)</f>
        <v>2829</v>
      </c>
      <c r="O198" s="0" t="n">
        <f aca="false">IF(N198="","",IFERROR(VALUE(SUBSTITUTE(SUBSTITUTE(N198," btl",""),".","")),""))</f>
        <v>2829</v>
      </c>
      <c r="P198" s="0" t="str">
        <f aca="false">IF(B198="PRODUKSI","produced","reject")</f>
        <v>produced</v>
      </c>
    </row>
    <row r="199" customFormat="false" ht="15" hidden="false" customHeight="false" outlineLevel="0" collapsed="false">
      <c r="A199" s="0" t="n">
        <v>198</v>
      </c>
      <c r="B199" s="0" t="str">
        <f aca="false">IF(A199&lt;=36*25,"PRODUKSI","REJECT")</f>
        <v>PRODUKSI</v>
      </c>
      <c r="C199" s="0" t="n">
        <f aca="false">MOD(A199-1,Pemetaan!$B$3*Pemetaan!$B$4)</f>
        <v>197</v>
      </c>
      <c r="D199" s="0" t="n">
        <f aca="false">INT(C199/Pemetaan!$B$4)</f>
        <v>7</v>
      </c>
      <c r="E199" s="0" t="n">
        <f aca="false">MOD(C199,Pemetaan!$B$4)</f>
        <v>22</v>
      </c>
      <c r="F199" s="0" t="n">
        <f aca="false">IF(B199="PRODUKSI",Pemetaan!$B$5,Pemetaan!$B$6)</f>
        <v>5</v>
      </c>
      <c r="G199" s="0" t="n">
        <f aca="false">F199+2+D199</f>
        <v>14</v>
      </c>
      <c r="H199" s="0" t="n">
        <f aca="false">Pemetaan!$B$2+E199</f>
        <v>27</v>
      </c>
      <c r="I199" s="0" t="str">
        <f aca="false">INDEX(Laporan!$A$1:$AZ$300,G199,1)</f>
        <v>Water Treatment</v>
      </c>
      <c r="J199" s="0" t="str">
        <f aca="false">INDEX(Laporan!$A$1:$AZ$300,G199,2)</f>
        <v>600 ml</v>
      </c>
      <c r="K199" s="0" t="str">
        <f aca="false">INDEX(Laporan!$A$1:$AZ$300,G199,3)</f>
        <v>Shift 1</v>
      </c>
      <c r="L199" s="0" t="n">
        <f aca="false">INDEX(Laporan!$A$1:$AZ$300,G199,4)</f>
        <v>2</v>
      </c>
      <c r="M199" s="1" t="n">
        <f aca="false">DATE(Pemetaan!$B$1,VALUE(RIGHT(INDEX(Laporan!$A$1:$AZ$300,F199+1,H199),2)),VALUE(LEFT(INDEX(Laporan!$A$1:$AZ$300,F199+1,H199),2)))</f>
        <v>46113</v>
      </c>
      <c r="N199" s="0" t="n">
        <f aca="false">INDEX(Laporan!$A$1:$AZ$300,G199,H199)</f>
        <v>2663</v>
      </c>
      <c r="O199" s="0" t="n">
        <f aca="false">IF(N199="","",IFERROR(VALUE(SUBSTITUTE(SUBSTITUTE(N199," btl",""),".","")),""))</f>
        <v>2663</v>
      </c>
      <c r="P199" s="0" t="str">
        <f aca="false">IF(B199="PRODUKSI","produced","reject")</f>
        <v>produced</v>
      </c>
    </row>
    <row r="200" customFormat="false" ht="15" hidden="false" customHeight="false" outlineLevel="0" collapsed="false">
      <c r="A200" s="0" t="n">
        <v>199</v>
      </c>
      <c r="B200" s="0" t="str">
        <f aca="false">IF(A200&lt;=36*25,"PRODUKSI","REJECT")</f>
        <v>PRODUKSI</v>
      </c>
      <c r="C200" s="0" t="n">
        <f aca="false">MOD(A200-1,Pemetaan!$B$3*Pemetaan!$B$4)</f>
        <v>198</v>
      </c>
      <c r="D200" s="0" t="n">
        <f aca="false">INT(C200/Pemetaan!$B$4)</f>
        <v>7</v>
      </c>
      <c r="E200" s="0" t="n">
        <f aca="false">MOD(C200,Pemetaan!$B$4)</f>
        <v>23</v>
      </c>
      <c r="F200" s="0" t="n">
        <f aca="false">IF(B200="PRODUKSI",Pemetaan!$B$5,Pemetaan!$B$6)</f>
        <v>5</v>
      </c>
      <c r="G200" s="0" t="n">
        <f aca="false">F200+2+D200</f>
        <v>14</v>
      </c>
      <c r="H200" s="0" t="n">
        <f aca="false">Pemetaan!$B$2+E200</f>
        <v>28</v>
      </c>
      <c r="I200" s="0" t="str">
        <f aca="false">INDEX(Laporan!$A$1:$AZ$300,G200,1)</f>
        <v>Water Treatment</v>
      </c>
      <c r="J200" s="0" t="str">
        <f aca="false">INDEX(Laporan!$A$1:$AZ$300,G200,2)</f>
        <v>600 ml</v>
      </c>
      <c r="K200" s="0" t="str">
        <f aca="false">INDEX(Laporan!$A$1:$AZ$300,G200,3)</f>
        <v>Shift 1</v>
      </c>
      <c r="L200" s="0" t="n">
        <f aca="false">INDEX(Laporan!$A$1:$AZ$300,G200,4)</f>
        <v>2</v>
      </c>
      <c r="M200" s="1" t="n">
        <f aca="false">DATE(Pemetaan!$B$1,VALUE(RIGHT(INDEX(Laporan!$A$1:$AZ$300,F200+1,H200),2)),VALUE(LEFT(INDEX(Laporan!$A$1:$AZ$300,F200+1,H200),2)))</f>
        <v>46114</v>
      </c>
      <c r="N200" s="0" t="n">
        <f aca="false">INDEX(Laporan!$A$1:$AZ$300,G200,H200)</f>
        <v>2991</v>
      </c>
      <c r="O200" s="0" t="n">
        <f aca="false">IF(N200="","",IFERROR(VALUE(SUBSTITUTE(SUBSTITUTE(N200," btl",""),".","")),""))</f>
        <v>2991</v>
      </c>
      <c r="P200" s="0" t="str">
        <f aca="false">IF(B200="PRODUKSI","produced","reject")</f>
        <v>produced</v>
      </c>
    </row>
    <row r="201" customFormat="false" ht="15" hidden="false" customHeight="false" outlineLevel="0" collapsed="false">
      <c r="A201" s="0" t="n">
        <v>200</v>
      </c>
      <c r="B201" s="0" t="str">
        <f aca="false">IF(A201&lt;=36*25,"PRODUKSI","REJECT")</f>
        <v>PRODUKSI</v>
      </c>
      <c r="C201" s="0" t="n">
        <f aca="false">MOD(A201-1,Pemetaan!$B$3*Pemetaan!$B$4)</f>
        <v>199</v>
      </c>
      <c r="D201" s="0" t="n">
        <f aca="false">INT(C201/Pemetaan!$B$4)</f>
        <v>7</v>
      </c>
      <c r="E201" s="0" t="n">
        <f aca="false">MOD(C201,Pemetaan!$B$4)</f>
        <v>24</v>
      </c>
      <c r="F201" s="0" t="n">
        <f aca="false">IF(B201="PRODUKSI",Pemetaan!$B$5,Pemetaan!$B$6)</f>
        <v>5</v>
      </c>
      <c r="G201" s="0" t="n">
        <f aca="false">F201+2+D201</f>
        <v>14</v>
      </c>
      <c r="H201" s="0" t="n">
        <f aca="false">Pemetaan!$B$2+E201</f>
        <v>29</v>
      </c>
      <c r="I201" s="0" t="str">
        <f aca="false">INDEX(Laporan!$A$1:$AZ$300,G201,1)</f>
        <v>Water Treatment</v>
      </c>
      <c r="J201" s="0" t="str">
        <f aca="false">INDEX(Laporan!$A$1:$AZ$300,G201,2)</f>
        <v>600 ml</v>
      </c>
      <c r="K201" s="0" t="str">
        <f aca="false">INDEX(Laporan!$A$1:$AZ$300,G201,3)</f>
        <v>Shift 1</v>
      </c>
      <c r="L201" s="0" t="n">
        <f aca="false">INDEX(Laporan!$A$1:$AZ$300,G201,4)</f>
        <v>2</v>
      </c>
      <c r="M201" s="1" t="n">
        <f aca="false">DATE(Pemetaan!$B$1,VALUE(RIGHT(INDEX(Laporan!$A$1:$AZ$300,F201+1,H201),2)),VALUE(LEFT(INDEX(Laporan!$A$1:$AZ$300,F201+1,H201),2)))</f>
        <v>46115</v>
      </c>
      <c r="N201" s="0" t="n">
        <f aca="false">INDEX(Laporan!$A$1:$AZ$300,G201,H201)</f>
        <v>2736</v>
      </c>
      <c r="O201" s="0" t="n">
        <f aca="false">IF(N201="","",IFERROR(VALUE(SUBSTITUTE(SUBSTITUTE(N201," btl",""),".","")),""))</f>
        <v>2736</v>
      </c>
      <c r="P201" s="0" t="str">
        <f aca="false">IF(B201="PRODUKSI","produced","reject")</f>
        <v>produced</v>
      </c>
    </row>
    <row r="202" customFormat="false" ht="15" hidden="false" customHeight="false" outlineLevel="0" collapsed="false">
      <c r="A202" s="0" t="n">
        <v>201</v>
      </c>
      <c r="B202" s="0" t="str">
        <f aca="false">IF(A202&lt;=36*25,"PRODUKSI","REJECT")</f>
        <v>PRODUKSI</v>
      </c>
      <c r="C202" s="0" t="n">
        <f aca="false">MOD(A202-1,Pemetaan!$B$3*Pemetaan!$B$4)</f>
        <v>200</v>
      </c>
      <c r="D202" s="0" t="n">
        <f aca="false">INT(C202/Pemetaan!$B$4)</f>
        <v>8</v>
      </c>
      <c r="E202" s="0" t="n">
        <f aca="false">MOD(C202,Pemetaan!$B$4)</f>
        <v>0</v>
      </c>
      <c r="F202" s="0" t="n">
        <f aca="false">IF(B202="PRODUKSI",Pemetaan!$B$5,Pemetaan!$B$6)</f>
        <v>5</v>
      </c>
      <c r="G202" s="0" t="n">
        <f aca="false">F202+2+D202</f>
        <v>15</v>
      </c>
      <c r="H202" s="0" t="n">
        <f aca="false">Pemetaan!$B$2+E202</f>
        <v>5</v>
      </c>
      <c r="I202" s="0" t="str">
        <f aca="false">INDEX(Laporan!$A$1:$AZ$300,G202,1)</f>
        <v>Water Treatment</v>
      </c>
      <c r="J202" s="0" t="str">
        <f aca="false">INDEX(Laporan!$A$1:$AZ$300,G202,2)</f>
        <v>600 ml</v>
      </c>
      <c r="K202" s="0" t="str">
        <f aca="false">INDEX(Laporan!$A$1:$AZ$300,G202,3)</f>
        <v>Shift 1</v>
      </c>
      <c r="L202" s="0" t="n">
        <f aca="false">INDEX(Laporan!$A$1:$AZ$300,G202,4)</f>
        <v>3</v>
      </c>
      <c r="M202" s="1" t="n">
        <f aca="false">DATE(Pemetaan!$B$1,VALUE(RIGHT(INDEX(Laporan!$A$1:$AZ$300,F202+1,H202),2)),VALUE(LEFT(INDEX(Laporan!$A$1:$AZ$300,F202+1,H202),2)))</f>
        <v>46083</v>
      </c>
      <c r="N202" s="0" t="n">
        <f aca="false">INDEX(Laporan!$A$1:$AZ$300,G202,H202)</f>
        <v>2783</v>
      </c>
      <c r="O202" s="0" t="n">
        <f aca="false">IF(N202="","",IFERROR(VALUE(SUBSTITUTE(SUBSTITUTE(N202," btl",""),".","")),""))</f>
        <v>2783</v>
      </c>
      <c r="P202" s="0" t="str">
        <f aca="false">IF(B202="PRODUKSI","produced","reject")</f>
        <v>produced</v>
      </c>
    </row>
    <row r="203" customFormat="false" ht="15" hidden="false" customHeight="false" outlineLevel="0" collapsed="false">
      <c r="A203" s="0" t="n">
        <v>202</v>
      </c>
      <c r="B203" s="0" t="str">
        <f aca="false">IF(A203&lt;=36*25,"PRODUKSI","REJECT")</f>
        <v>PRODUKSI</v>
      </c>
      <c r="C203" s="0" t="n">
        <f aca="false">MOD(A203-1,Pemetaan!$B$3*Pemetaan!$B$4)</f>
        <v>201</v>
      </c>
      <c r="D203" s="0" t="n">
        <f aca="false">INT(C203/Pemetaan!$B$4)</f>
        <v>8</v>
      </c>
      <c r="E203" s="0" t="n">
        <f aca="false">MOD(C203,Pemetaan!$B$4)</f>
        <v>1</v>
      </c>
      <c r="F203" s="0" t="n">
        <f aca="false">IF(B203="PRODUKSI",Pemetaan!$B$5,Pemetaan!$B$6)</f>
        <v>5</v>
      </c>
      <c r="G203" s="0" t="n">
        <f aca="false">F203+2+D203</f>
        <v>15</v>
      </c>
      <c r="H203" s="0" t="n">
        <f aca="false">Pemetaan!$B$2+E203</f>
        <v>6</v>
      </c>
      <c r="I203" s="0" t="str">
        <f aca="false">INDEX(Laporan!$A$1:$AZ$300,G203,1)</f>
        <v>Water Treatment</v>
      </c>
      <c r="J203" s="0" t="str">
        <f aca="false">INDEX(Laporan!$A$1:$AZ$300,G203,2)</f>
        <v>600 ml</v>
      </c>
      <c r="K203" s="0" t="str">
        <f aca="false">INDEX(Laporan!$A$1:$AZ$300,G203,3)</f>
        <v>Shift 1</v>
      </c>
      <c r="L203" s="0" t="n">
        <f aca="false">INDEX(Laporan!$A$1:$AZ$300,G203,4)</f>
        <v>3</v>
      </c>
      <c r="M203" s="1" t="n">
        <f aca="false">DATE(Pemetaan!$B$1,VALUE(RIGHT(INDEX(Laporan!$A$1:$AZ$300,F203+1,H203),2)),VALUE(LEFT(INDEX(Laporan!$A$1:$AZ$300,F203+1,H203),2)))</f>
        <v>46084</v>
      </c>
      <c r="N203" s="0" t="n">
        <f aca="false">INDEX(Laporan!$A$1:$AZ$300,G203,H203)</f>
        <v>2834</v>
      </c>
      <c r="O203" s="0" t="n">
        <f aca="false">IF(N203="","",IFERROR(VALUE(SUBSTITUTE(SUBSTITUTE(N203," btl",""),".","")),""))</f>
        <v>2834</v>
      </c>
      <c r="P203" s="0" t="str">
        <f aca="false">IF(B203="PRODUKSI","produced","reject")</f>
        <v>produced</v>
      </c>
    </row>
    <row r="204" customFormat="false" ht="15" hidden="false" customHeight="false" outlineLevel="0" collapsed="false">
      <c r="A204" s="0" t="n">
        <v>203</v>
      </c>
      <c r="B204" s="0" t="str">
        <f aca="false">IF(A204&lt;=36*25,"PRODUKSI","REJECT")</f>
        <v>PRODUKSI</v>
      </c>
      <c r="C204" s="0" t="n">
        <f aca="false">MOD(A204-1,Pemetaan!$B$3*Pemetaan!$B$4)</f>
        <v>202</v>
      </c>
      <c r="D204" s="0" t="n">
        <f aca="false">INT(C204/Pemetaan!$B$4)</f>
        <v>8</v>
      </c>
      <c r="E204" s="0" t="n">
        <f aca="false">MOD(C204,Pemetaan!$B$4)</f>
        <v>2</v>
      </c>
      <c r="F204" s="0" t="n">
        <f aca="false">IF(B204="PRODUKSI",Pemetaan!$B$5,Pemetaan!$B$6)</f>
        <v>5</v>
      </c>
      <c r="G204" s="0" t="n">
        <f aca="false">F204+2+D204</f>
        <v>15</v>
      </c>
      <c r="H204" s="0" t="n">
        <f aca="false">Pemetaan!$B$2+E204</f>
        <v>7</v>
      </c>
      <c r="I204" s="0" t="str">
        <f aca="false">INDEX(Laporan!$A$1:$AZ$300,G204,1)</f>
        <v>Water Treatment</v>
      </c>
      <c r="J204" s="0" t="str">
        <f aca="false">INDEX(Laporan!$A$1:$AZ$300,G204,2)</f>
        <v>600 ml</v>
      </c>
      <c r="K204" s="0" t="str">
        <f aca="false">INDEX(Laporan!$A$1:$AZ$300,G204,3)</f>
        <v>Shift 1</v>
      </c>
      <c r="L204" s="0" t="n">
        <f aca="false">INDEX(Laporan!$A$1:$AZ$300,G204,4)</f>
        <v>3</v>
      </c>
      <c r="M204" s="1" t="n">
        <f aca="false">DATE(Pemetaan!$B$1,VALUE(RIGHT(INDEX(Laporan!$A$1:$AZ$300,F204+1,H204),2)),VALUE(LEFT(INDEX(Laporan!$A$1:$AZ$300,F204+1,H204),2)))</f>
        <v>46085</v>
      </c>
      <c r="N204" s="0" t="n">
        <f aca="false">INDEX(Laporan!$A$1:$AZ$300,G204,H204)</f>
        <v>2555</v>
      </c>
      <c r="O204" s="0" t="n">
        <f aca="false">IF(N204="","",IFERROR(VALUE(SUBSTITUTE(SUBSTITUTE(N204," btl",""),".","")),""))</f>
        <v>2555</v>
      </c>
      <c r="P204" s="0" t="str">
        <f aca="false">IF(B204="PRODUKSI","produced","reject")</f>
        <v>produced</v>
      </c>
    </row>
    <row r="205" customFormat="false" ht="15" hidden="false" customHeight="false" outlineLevel="0" collapsed="false">
      <c r="A205" s="0" t="n">
        <v>204</v>
      </c>
      <c r="B205" s="0" t="str">
        <f aca="false">IF(A205&lt;=36*25,"PRODUKSI","REJECT")</f>
        <v>PRODUKSI</v>
      </c>
      <c r="C205" s="0" t="n">
        <f aca="false">MOD(A205-1,Pemetaan!$B$3*Pemetaan!$B$4)</f>
        <v>203</v>
      </c>
      <c r="D205" s="0" t="n">
        <f aca="false">INT(C205/Pemetaan!$B$4)</f>
        <v>8</v>
      </c>
      <c r="E205" s="0" t="n">
        <f aca="false">MOD(C205,Pemetaan!$B$4)</f>
        <v>3</v>
      </c>
      <c r="F205" s="0" t="n">
        <f aca="false">IF(B205="PRODUKSI",Pemetaan!$B$5,Pemetaan!$B$6)</f>
        <v>5</v>
      </c>
      <c r="G205" s="0" t="n">
        <f aca="false">F205+2+D205</f>
        <v>15</v>
      </c>
      <c r="H205" s="0" t="n">
        <f aca="false">Pemetaan!$B$2+E205</f>
        <v>8</v>
      </c>
      <c r="I205" s="0" t="str">
        <f aca="false">INDEX(Laporan!$A$1:$AZ$300,G205,1)</f>
        <v>Water Treatment</v>
      </c>
      <c r="J205" s="0" t="str">
        <f aca="false">INDEX(Laporan!$A$1:$AZ$300,G205,2)</f>
        <v>600 ml</v>
      </c>
      <c r="K205" s="0" t="str">
        <f aca="false">INDEX(Laporan!$A$1:$AZ$300,G205,3)</f>
        <v>Shift 1</v>
      </c>
      <c r="L205" s="0" t="n">
        <f aca="false">INDEX(Laporan!$A$1:$AZ$300,G205,4)</f>
        <v>3</v>
      </c>
      <c r="M205" s="1" t="n">
        <f aca="false">DATE(Pemetaan!$B$1,VALUE(RIGHT(INDEX(Laporan!$A$1:$AZ$300,F205+1,H205),2)),VALUE(LEFT(INDEX(Laporan!$A$1:$AZ$300,F205+1,H205),2)))</f>
        <v>46086</v>
      </c>
      <c r="N205" s="0" t="n">
        <f aca="false">INDEX(Laporan!$A$1:$AZ$300,G205,H205)</f>
        <v>2784</v>
      </c>
      <c r="O205" s="0" t="n">
        <f aca="false">IF(N205="","",IFERROR(VALUE(SUBSTITUTE(SUBSTITUTE(N205," btl",""),".","")),""))</f>
        <v>2784</v>
      </c>
      <c r="P205" s="0" t="str">
        <f aca="false">IF(B205="PRODUKSI","produced","reject")</f>
        <v>produced</v>
      </c>
    </row>
    <row r="206" customFormat="false" ht="15" hidden="false" customHeight="false" outlineLevel="0" collapsed="false">
      <c r="A206" s="0" t="n">
        <v>205</v>
      </c>
      <c r="B206" s="0" t="str">
        <f aca="false">IF(A206&lt;=36*25,"PRODUKSI","REJECT")</f>
        <v>PRODUKSI</v>
      </c>
      <c r="C206" s="0" t="n">
        <f aca="false">MOD(A206-1,Pemetaan!$B$3*Pemetaan!$B$4)</f>
        <v>204</v>
      </c>
      <c r="D206" s="0" t="n">
        <f aca="false">INT(C206/Pemetaan!$B$4)</f>
        <v>8</v>
      </c>
      <c r="E206" s="0" t="n">
        <f aca="false">MOD(C206,Pemetaan!$B$4)</f>
        <v>4</v>
      </c>
      <c r="F206" s="0" t="n">
        <f aca="false">IF(B206="PRODUKSI",Pemetaan!$B$5,Pemetaan!$B$6)</f>
        <v>5</v>
      </c>
      <c r="G206" s="0" t="n">
        <f aca="false">F206+2+D206</f>
        <v>15</v>
      </c>
      <c r="H206" s="0" t="n">
        <f aca="false">Pemetaan!$B$2+E206</f>
        <v>9</v>
      </c>
      <c r="I206" s="0" t="str">
        <f aca="false">INDEX(Laporan!$A$1:$AZ$300,G206,1)</f>
        <v>Water Treatment</v>
      </c>
      <c r="J206" s="0" t="str">
        <f aca="false">INDEX(Laporan!$A$1:$AZ$300,G206,2)</f>
        <v>600 ml</v>
      </c>
      <c r="K206" s="0" t="str">
        <f aca="false">INDEX(Laporan!$A$1:$AZ$300,G206,3)</f>
        <v>Shift 1</v>
      </c>
      <c r="L206" s="0" t="n">
        <f aca="false">INDEX(Laporan!$A$1:$AZ$300,G206,4)</f>
        <v>3</v>
      </c>
      <c r="M206" s="1" t="n">
        <f aca="false">DATE(Pemetaan!$B$1,VALUE(RIGHT(INDEX(Laporan!$A$1:$AZ$300,F206+1,H206),2)),VALUE(LEFT(INDEX(Laporan!$A$1:$AZ$300,F206+1,H206),2)))</f>
        <v>46087</v>
      </c>
      <c r="N206" s="0" t="n">
        <f aca="false">INDEX(Laporan!$A$1:$AZ$300,G206,H206)</f>
        <v>3058</v>
      </c>
      <c r="O206" s="0" t="n">
        <f aca="false">IF(N206="","",IFERROR(VALUE(SUBSTITUTE(SUBSTITUTE(N206," btl",""),".","")),""))</f>
        <v>3058</v>
      </c>
      <c r="P206" s="0" t="str">
        <f aca="false">IF(B206="PRODUKSI","produced","reject")</f>
        <v>produced</v>
      </c>
    </row>
    <row r="207" customFormat="false" ht="15" hidden="false" customHeight="false" outlineLevel="0" collapsed="false">
      <c r="A207" s="0" t="n">
        <v>206</v>
      </c>
      <c r="B207" s="0" t="str">
        <f aca="false">IF(A207&lt;=36*25,"PRODUKSI","REJECT")</f>
        <v>PRODUKSI</v>
      </c>
      <c r="C207" s="0" t="n">
        <f aca="false">MOD(A207-1,Pemetaan!$B$3*Pemetaan!$B$4)</f>
        <v>205</v>
      </c>
      <c r="D207" s="0" t="n">
        <f aca="false">INT(C207/Pemetaan!$B$4)</f>
        <v>8</v>
      </c>
      <c r="E207" s="0" t="n">
        <f aca="false">MOD(C207,Pemetaan!$B$4)</f>
        <v>5</v>
      </c>
      <c r="F207" s="0" t="n">
        <f aca="false">IF(B207="PRODUKSI",Pemetaan!$B$5,Pemetaan!$B$6)</f>
        <v>5</v>
      </c>
      <c r="G207" s="0" t="n">
        <f aca="false">F207+2+D207</f>
        <v>15</v>
      </c>
      <c r="H207" s="0" t="n">
        <f aca="false">Pemetaan!$B$2+E207</f>
        <v>10</v>
      </c>
      <c r="I207" s="0" t="str">
        <f aca="false">INDEX(Laporan!$A$1:$AZ$300,G207,1)</f>
        <v>Water Treatment</v>
      </c>
      <c r="J207" s="0" t="str">
        <f aca="false">INDEX(Laporan!$A$1:$AZ$300,G207,2)</f>
        <v>600 ml</v>
      </c>
      <c r="K207" s="0" t="str">
        <f aca="false">INDEX(Laporan!$A$1:$AZ$300,G207,3)</f>
        <v>Shift 1</v>
      </c>
      <c r="L207" s="0" t="n">
        <f aca="false">INDEX(Laporan!$A$1:$AZ$300,G207,4)</f>
        <v>3</v>
      </c>
      <c r="M207" s="1" t="n">
        <f aca="false">DATE(Pemetaan!$B$1,VALUE(RIGHT(INDEX(Laporan!$A$1:$AZ$300,F207+1,H207),2)),VALUE(LEFT(INDEX(Laporan!$A$1:$AZ$300,F207+1,H207),2)))</f>
        <v>46090</v>
      </c>
      <c r="N207" s="0" t="n">
        <f aca="false">INDEX(Laporan!$A$1:$AZ$300,G207,H207)</f>
        <v>3071</v>
      </c>
      <c r="O207" s="0" t="n">
        <f aca="false">IF(N207="","",IFERROR(VALUE(SUBSTITUTE(SUBSTITUTE(N207," btl",""),".","")),""))</f>
        <v>3071</v>
      </c>
      <c r="P207" s="0" t="str">
        <f aca="false">IF(B207="PRODUKSI","produced","reject")</f>
        <v>produced</v>
      </c>
    </row>
    <row r="208" customFormat="false" ht="15" hidden="false" customHeight="false" outlineLevel="0" collapsed="false">
      <c r="A208" s="0" t="n">
        <v>207</v>
      </c>
      <c r="B208" s="0" t="str">
        <f aca="false">IF(A208&lt;=36*25,"PRODUKSI","REJECT")</f>
        <v>PRODUKSI</v>
      </c>
      <c r="C208" s="0" t="n">
        <f aca="false">MOD(A208-1,Pemetaan!$B$3*Pemetaan!$B$4)</f>
        <v>206</v>
      </c>
      <c r="D208" s="0" t="n">
        <f aca="false">INT(C208/Pemetaan!$B$4)</f>
        <v>8</v>
      </c>
      <c r="E208" s="0" t="n">
        <f aca="false">MOD(C208,Pemetaan!$B$4)</f>
        <v>6</v>
      </c>
      <c r="F208" s="0" t="n">
        <f aca="false">IF(B208="PRODUKSI",Pemetaan!$B$5,Pemetaan!$B$6)</f>
        <v>5</v>
      </c>
      <c r="G208" s="0" t="n">
        <f aca="false">F208+2+D208</f>
        <v>15</v>
      </c>
      <c r="H208" s="0" t="n">
        <f aca="false">Pemetaan!$B$2+E208</f>
        <v>11</v>
      </c>
      <c r="I208" s="0" t="str">
        <f aca="false">INDEX(Laporan!$A$1:$AZ$300,G208,1)</f>
        <v>Water Treatment</v>
      </c>
      <c r="J208" s="0" t="str">
        <f aca="false">INDEX(Laporan!$A$1:$AZ$300,G208,2)</f>
        <v>600 ml</v>
      </c>
      <c r="K208" s="0" t="str">
        <f aca="false">INDEX(Laporan!$A$1:$AZ$300,G208,3)</f>
        <v>Shift 1</v>
      </c>
      <c r="L208" s="0" t="n">
        <f aca="false">INDEX(Laporan!$A$1:$AZ$300,G208,4)</f>
        <v>3</v>
      </c>
      <c r="M208" s="1" t="n">
        <f aca="false">DATE(Pemetaan!$B$1,VALUE(RIGHT(INDEX(Laporan!$A$1:$AZ$300,F208+1,H208),2)),VALUE(LEFT(INDEX(Laporan!$A$1:$AZ$300,F208+1,H208),2)))</f>
        <v>46091</v>
      </c>
      <c r="N208" s="0" t="n">
        <f aca="false">INDEX(Laporan!$A$1:$AZ$300,G208,H208)</f>
        <v>2799</v>
      </c>
      <c r="O208" s="0" t="n">
        <f aca="false">IF(N208="","",IFERROR(VALUE(SUBSTITUTE(SUBSTITUTE(N208," btl",""),".","")),""))</f>
        <v>2799</v>
      </c>
      <c r="P208" s="0" t="str">
        <f aca="false">IF(B208="PRODUKSI","produced","reject")</f>
        <v>produced</v>
      </c>
    </row>
    <row r="209" customFormat="false" ht="15" hidden="false" customHeight="false" outlineLevel="0" collapsed="false">
      <c r="A209" s="0" t="n">
        <v>208</v>
      </c>
      <c r="B209" s="0" t="str">
        <f aca="false">IF(A209&lt;=36*25,"PRODUKSI","REJECT")</f>
        <v>PRODUKSI</v>
      </c>
      <c r="C209" s="0" t="n">
        <f aca="false">MOD(A209-1,Pemetaan!$B$3*Pemetaan!$B$4)</f>
        <v>207</v>
      </c>
      <c r="D209" s="0" t="n">
        <f aca="false">INT(C209/Pemetaan!$B$4)</f>
        <v>8</v>
      </c>
      <c r="E209" s="0" t="n">
        <f aca="false">MOD(C209,Pemetaan!$B$4)</f>
        <v>7</v>
      </c>
      <c r="F209" s="0" t="n">
        <f aca="false">IF(B209="PRODUKSI",Pemetaan!$B$5,Pemetaan!$B$6)</f>
        <v>5</v>
      </c>
      <c r="G209" s="0" t="n">
        <f aca="false">F209+2+D209</f>
        <v>15</v>
      </c>
      <c r="H209" s="0" t="n">
        <f aca="false">Pemetaan!$B$2+E209</f>
        <v>12</v>
      </c>
      <c r="I209" s="0" t="str">
        <f aca="false">INDEX(Laporan!$A$1:$AZ$300,G209,1)</f>
        <v>Water Treatment</v>
      </c>
      <c r="J209" s="0" t="str">
        <f aca="false">INDEX(Laporan!$A$1:$AZ$300,G209,2)</f>
        <v>600 ml</v>
      </c>
      <c r="K209" s="0" t="str">
        <f aca="false">INDEX(Laporan!$A$1:$AZ$300,G209,3)</f>
        <v>Shift 1</v>
      </c>
      <c r="L209" s="0" t="n">
        <f aca="false">INDEX(Laporan!$A$1:$AZ$300,G209,4)</f>
        <v>3</v>
      </c>
      <c r="M209" s="1" t="n">
        <f aca="false">DATE(Pemetaan!$B$1,VALUE(RIGHT(INDEX(Laporan!$A$1:$AZ$300,F209+1,H209),2)),VALUE(LEFT(INDEX(Laporan!$A$1:$AZ$300,F209+1,H209),2)))</f>
        <v>46092</v>
      </c>
      <c r="N209" s="0" t="n">
        <f aca="false">INDEX(Laporan!$A$1:$AZ$300,G209,H209)</f>
        <v>2981</v>
      </c>
      <c r="O209" s="0" t="n">
        <f aca="false">IF(N209="","",IFERROR(VALUE(SUBSTITUTE(SUBSTITUTE(N209," btl",""),".","")),""))</f>
        <v>2981</v>
      </c>
      <c r="P209" s="0" t="str">
        <f aca="false">IF(B209="PRODUKSI","produced","reject")</f>
        <v>produced</v>
      </c>
    </row>
    <row r="210" customFormat="false" ht="15" hidden="false" customHeight="false" outlineLevel="0" collapsed="false">
      <c r="A210" s="0" t="n">
        <v>209</v>
      </c>
      <c r="B210" s="0" t="str">
        <f aca="false">IF(A210&lt;=36*25,"PRODUKSI","REJECT")</f>
        <v>PRODUKSI</v>
      </c>
      <c r="C210" s="0" t="n">
        <f aca="false">MOD(A210-1,Pemetaan!$B$3*Pemetaan!$B$4)</f>
        <v>208</v>
      </c>
      <c r="D210" s="0" t="n">
        <f aca="false">INT(C210/Pemetaan!$B$4)</f>
        <v>8</v>
      </c>
      <c r="E210" s="0" t="n">
        <f aca="false">MOD(C210,Pemetaan!$B$4)</f>
        <v>8</v>
      </c>
      <c r="F210" s="0" t="n">
        <f aca="false">IF(B210="PRODUKSI",Pemetaan!$B$5,Pemetaan!$B$6)</f>
        <v>5</v>
      </c>
      <c r="G210" s="0" t="n">
        <f aca="false">F210+2+D210</f>
        <v>15</v>
      </c>
      <c r="H210" s="0" t="n">
        <f aca="false">Pemetaan!$B$2+E210</f>
        <v>13</v>
      </c>
      <c r="I210" s="0" t="str">
        <f aca="false">INDEX(Laporan!$A$1:$AZ$300,G210,1)</f>
        <v>Water Treatment</v>
      </c>
      <c r="J210" s="0" t="str">
        <f aca="false">INDEX(Laporan!$A$1:$AZ$300,G210,2)</f>
        <v>600 ml</v>
      </c>
      <c r="K210" s="0" t="str">
        <f aca="false">INDEX(Laporan!$A$1:$AZ$300,G210,3)</f>
        <v>Shift 1</v>
      </c>
      <c r="L210" s="0" t="n">
        <f aca="false">INDEX(Laporan!$A$1:$AZ$300,G210,4)</f>
        <v>3</v>
      </c>
      <c r="M210" s="1" t="n">
        <f aca="false">DATE(Pemetaan!$B$1,VALUE(RIGHT(INDEX(Laporan!$A$1:$AZ$300,F210+1,H210),2)),VALUE(LEFT(INDEX(Laporan!$A$1:$AZ$300,F210+1,H210),2)))</f>
        <v>46093</v>
      </c>
      <c r="N210" s="0" t="n">
        <f aca="false">INDEX(Laporan!$A$1:$AZ$300,G210,H210)</f>
        <v>2708</v>
      </c>
      <c r="O210" s="0" t="n">
        <f aca="false">IF(N210="","",IFERROR(VALUE(SUBSTITUTE(SUBSTITUTE(N210," btl",""),".","")),""))</f>
        <v>2708</v>
      </c>
      <c r="P210" s="0" t="str">
        <f aca="false">IF(B210="PRODUKSI","produced","reject")</f>
        <v>produced</v>
      </c>
    </row>
    <row r="211" customFormat="false" ht="15" hidden="false" customHeight="false" outlineLevel="0" collapsed="false">
      <c r="A211" s="0" t="n">
        <v>210</v>
      </c>
      <c r="B211" s="0" t="str">
        <f aca="false">IF(A211&lt;=36*25,"PRODUKSI","REJECT")</f>
        <v>PRODUKSI</v>
      </c>
      <c r="C211" s="0" t="n">
        <f aca="false">MOD(A211-1,Pemetaan!$B$3*Pemetaan!$B$4)</f>
        <v>209</v>
      </c>
      <c r="D211" s="0" t="n">
        <f aca="false">INT(C211/Pemetaan!$B$4)</f>
        <v>8</v>
      </c>
      <c r="E211" s="0" t="n">
        <f aca="false">MOD(C211,Pemetaan!$B$4)</f>
        <v>9</v>
      </c>
      <c r="F211" s="0" t="n">
        <f aca="false">IF(B211="PRODUKSI",Pemetaan!$B$5,Pemetaan!$B$6)</f>
        <v>5</v>
      </c>
      <c r="G211" s="0" t="n">
        <f aca="false">F211+2+D211</f>
        <v>15</v>
      </c>
      <c r="H211" s="0" t="n">
        <f aca="false">Pemetaan!$B$2+E211</f>
        <v>14</v>
      </c>
      <c r="I211" s="0" t="str">
        <f aca="false">INDEX(Laporan!$A$1:$AZ$300,G211,1)</f>
        <v>Water Treatment</v>
      </c>
      <c r="J211" s="0" t="str">
        <f aca="false">INDEX(Laporan!$A$1:$AZ$300,G211,2)</f>
        <v>600 ml</v>
      </c>
      <c r="K211" s="0" t="str">
        <f aca="false">INDEX(Laporan!$A$1:$AZ$300,G211,3)</f>
        <v>Shift 1</v>
      </c>
      <c r="L211" s="0" t="n">
        <f aca="false">INDEX(Laporan!$A$1:$AZ$300,G211,4)</f>
        <v>3</v>
      </c>
      <c r="M211" s="1" t="n">
        <f aca="false">DATE(Pemetaan!$B$1,VALUE(RIGHT(INDEX(Laporan!$A$1:$AZ$300,F211+1,H211),2)),VALUE(LEFT(INDEX(Laporan!$A$1:$AZ$300,F211+1,H211),2)))</f>
        <v>46094</v>
      </c>
      <c r="N211" s="0" t="n">
        <f aca="false">INDEX(Laporan!$A$1:$AZ$300,G211,H211)</f>
        <v>2561</v>
      </c>
      <c r="O211" s="0" t="n">
        <f aca="false">IF(N211="","",IFERROR(VALUE(SUBSTITUTE(SUBSTITUTE(N211," btl",""),".","")),""))</f>
        <v>2561</v>
      </c>
      <c r="P211" s="0" t="str">
        <f aca="false">IF(B211="PRODUKSI","produced","reject")</f>
        <v>produced</v>
      </c>
    </row>
    <row r="212" customFormat="false" ht="15" hidden="false" customHeight="false" outlineLevel="0" collapsed="false">
      <c r="A212" s="0" t="n">
        <v>211</v>
      </c>
      <c r="B212" s="0" t="str">
        <f aca="false">IF(A212&lt;=36*25,"PRODUKSI","REJECT")</f>
        <v>PRODUKSI</v>
      </c>
      <c r="C212" s="0" t="n">
        <f aca="false">MOD(A212-1,Pemetaan!$B$3*Pemetaan!$B$4)</f>
        <v>210</v>
      </c>
      <c r="D212" s="0" t="n">
        <f aca="false">INT(C212/Pemetaan!$B$4)</f>
        <v>8</v>
      </c>
      <c r="E212" s="0" t="n">
        <f aca="false">MOD(C212,Pemetaan!$B$4)</f>
        <v>10</v>
      </c>
      <c r="F212" s="0" t="n">
        <f aca="false">IF(B212="PRODUKSI",Pemetaan!$B$5,Pemetaan!$B$6)</f>
        <v>5</v>
      </c>
      <c r="G212" s="0" t="n">
        <f aca="false">F212+2+D212</f>
        <v>15</v>
      </c>
      <c r="H212" s="0" t="n">
        <f aca="false">Pemetaan!$B$2+E212</f>
        <v>15</v>
      </c>
      <c r="I212" s="0" t="str">
        <f aca="false">INDEX(Laporan!$A$1:$AZ$300,G212,1)</f>
        <v>Water Treatment</v>
      </c>
      <c r="J212" s="0" t="str">
        <f aca="false">INDEX(Laporan!$A$1:$AZ$300,G212,2)</f>
        <v>600 ml</v>
      </c>
      <c r="K212" s="0" t="str">
        <f aca="false">INDEX(Laporan!$A$1:$AZ$300,G212,3)</f>
        <v>Shift 1</v>
      </c>
      <c r="L212" s="0" t="n">
        <f aca="false">INDEX(Laporan!$A$1:$AZ$300,G212,4)</f>
        <v>3</v>
      </c>
      <c r="M212" s="1" t="n">
        <f aca="false">DATE(Pemetaan!$B$1,VALUE(RIGHT(INDEX(Laporan!$A$1:$AZ$300,F212+1,H212),2)),VALUE(LEFT(INDEX(Laporan!$A$1:$AZ$300,F212+1,H212),2)))</f>
        <v>46097</v>
      </c>
      <c r="N212" s="0" t="n">
        <f aca="false">INDEX(Laporan!$A$1:$AZ$300,G212,H212)</f>
        <v>2771</v>
      </c>
      <c r="O212" s="0" t="n">
        <f aca="false">IF(N212="","",IFERROR(VALUE(SUBSTITUTE(SUBSTITUTE(N212," btl",""),".","")),""))</f>
        <v>2771</v>
      </c>
      <c r="P212" s="0" t="str">
        <f aca="false">IF(B212="PRODUKSI","produced","reject")</f>
        <v>produced</v>
      </c>
    </row>
    <row r="213" customFormat="false" ht="15" hidden="false" customHeight="false" outlineLevel="0" collapsed="false">
      <c r="A213" s="0" t="n">
        <v>212</v>
      </c>
      <c r="B213" s="0" t="str">
        <f aca="false">IF(A213&lt;=36*25,"PRODUKSI","REJECT")</f>
        <v>PRODUKSI</v>
      </c>
      <c r="C213" s="0" t="n">
        <f aca="false">MOD(A213-1,Pemetaan!$B$3*Pemetaan!$B$4)</f>
        <v>211</v>
      </c>
      <c r="D213" s="0" t="n">
        <f aca="false">INT(C213/Pemetaan!$B$4)</f>
        <v>8</v>
      </c>
      <c r="E213" s="0" t="n">
        <f aca="false">MOD(C213,Pemetaan!$B$4)</f>
        <v>11</v>
      </c>
      <c r="F213" s="0" t="n">
        <f aca="false">IF(B213="PRODUKSI",Pemetaan!$B$5,Pemetaan!$B$6)</f>
        <v>5</v>
      </c>
      <c r="G213" s="0" t="n">
        <f aca="false">F213+2+D213</f>
        <v>15</v>
      </c>
      <c r="H213" s="0" t="n">
        <f aca="false">Pemetaan!$B$2+E213</f>
        <v>16</v>
      </c>
      <c r="I213" s="0" t="str">
        <f aca="false">INDEX(Laporan!$A$1:$AZ$300,G213,1)</f>
        <v>Water Treatment</v>
      </c>
      <c r="J213" s="0" t="str">
        <f aca="false">INDEX(Laporan!$A$1:$AZ$300,G213,2)</f>
        <v>600 ml</v>
      </c>
      <c r="K213" s="0" t="str">
        <f aca="false">INDEX(Laporan!$A$1:$AZ$300,G213,3)</f>
        <v>Shift 1</v>
      </c>
      <c r="L213" s="0" t="n">
        <f aca="false">INDEX(Laporan!$A$1:$AZ$300,G213,4)</f>
        <v>3</v>
      </c>
      <c r="M213" s="1" t="n">
        <f aca="false">DATE(Pemetaan!$B$1,VALUE(RIGHT(INDEX(Laporan!$A$1:$AZ$300,F213+1,H213),2)),VALUE(LEFT(INDEX(Laporan!$A$1:$AZ$300,F213+1,H213),2)))</f>
        <v>46098</v>
      </c>
      <c r="N213" s="0" t="n">
        <f aca="false">INDEX(Laporan!$A$1:$AZ$300,G213,H213)</f>
        <v>2371</v>
      </c>
      <c r="O213" s="0" t="n">
        <f aca="false">IF(N213="","",IFERROR(VALUE(SUBSTITUTE(SUBSTITUTE(N213," btl",""),".","")),""))</f>
        <v>2371</v>
      </c>
      <c r="P213" s="0" t="str">
        <f aca="false">IF(B213="PRODUKSI","produced","reject")</f>
        <v>produced</v>
      </c>
    </row>
    <row r="214" customFormat="false" ht="15" hidden="false" customHeight="false" outlineLevel="0" collapsed="false">
      <c r="A214" s="0" t="n">
        <v>213</v>
      </c>
      <c r="B214" s="0" t="str">
        <f aca="false">IF(A214&lt;=36*25,"PRODUKSI","REJECT")</f>
        <v>PRODUKSI</v>
      </c>
      <c r="C214" s="0" t="n">
        <f aca="false">MOD(A214-1,Pemetaan!$B$3*Pemetaan!$B$4)</f>
        <v>212</v>
      </c>
      <c r="D214" s="0" t="n">
        <f aca="false">INT(C214/Pemetaan!$B$4)</f>
        <v>8</v>
      </c>
      <c r="E214" s="0" t="n">
        <f aca="false">MOD(C214,Pemetaan!$B$4)</f>
        <v>12</v>
      </c>
      <c r="F214" s="0" t="n">
        <f aca="false">IF(B214="PRODUKSI",Pemetaan!$B$5,Pemetaan!$B$6)</f>
        <v>5</v>
      </c>
      <c r="G214" s="0" t="n">
        <f aca="false">F214+2+D214</f>
        <v>15</v>
      </c>
      <c r="H214" s="0" t="n">
        <f aca="false">Pemetaan!$B$2+E214</f>
        <v>17</v>
      </c>
      <c r="I214" s="0" t="str">
        <f aca="false">INDEX(Laporan!$A$1:$AZ$300,G214,1)</f>
        <v>Water Treatment</v>
      </c>
      <c r="J214" s="0" t="str">
        <f aca="false">INDEX(Laporan!$A$1:$AZ$300,G214,2)</f>
        <v>600 ml</v>
      </c>
      <c r="K214" s="0" t="str">
        <f aca="false">INDEX(Laporan!$A$1:$AZ$300,G214,3)</f>
        <v>Shift 1</v>
      </c>
      <c r="L214" s="0" t="n">
        <f aca="false">INDEX(Laporan!$A$1:$AZ$300,G214,4)</f>
        <v>3</v>
      </c>
      <c r="M214" s="1" t="n">
        <f aca="false">DATE(Pemetaan!$B$1,VALUE(RIGHT(INDEX(Laporan!$A$1:$AZ$300,F214+1,H214),2)),VALUE(LEFT(INDEX(Laporan!$A$1:$AZ$300,F214+1,H214),2)))</f>
        <v>46099</v>
      </c>
      <c r="N214" s="0" t="n">
        <f aca="false">INDEX(Laporan!$A$1:$AZ$300,G214,H214)</f>
        <v>2783</v>
      </c>
      <c r="O214" s="0" t="n">
        <f aca="false">IF(N214="","",IFERROR(VALUE(SUBSTITUTE(SUBSTITUTE(N214," btl",""),".","")),""))</f>
        <v>2783</v>
      </c>
      <c r="P214" s="0" t="str">
        <f aca="false">IF(B214="PRODUKSI","produced","reject")</f>
        <v>produced</v>
      </c>
    </row>
    <row r="215" customFormat="false" ht="15" hidden="false" customHeight="false" outlineLevel="0" collapsed="false">
      <c r="A215" s="0" t="n">
        <v>214</v>
      </c>
      <c r="B215" s="0" t="str">
        <f aca="false">IF(A215&lt;=36*25,"PRODUKSI","REJECT")</f>
        <v>PRODUKSI</v>
      </c>
      <c r="C215" s="0" t="n">
        <f aca="false">MOD(A215-1,Pemetaan!$B$3*Pemetaan!$B$4)</f>
        <v>213</v>
      </c>
      <c r="D215" s="0" t="n">
        <f aca="false">INT(C215/Pemetaan!$B$4)</f>
        <v>8</v>
      </c>
      <c r="E215" s="0" t="n">
        <f aca="false">MOD(C215,Pemetaan!$B$4)</f>
        <v>13</v>
      </c>
      <c r="F215" s="0" t="n">
        <f aca="false">IF(B215="PRODUKSI",Pemetaan!$B$5,Pemetaan!$B$6)</f>
        <v>5</v>
      </c>
      <c r="G215" s="0" t="n">
        <f aca="false">F215+2+D215</f>
        <v>15</v>
      </c>
      <c r="H215" s="0" t="n">
        <f aca="false">Pemetaan!$B$2+E215</f>
        <v>18</v>
      </c>
      <c r="I215" s="0" t="str">
        <f aca="false">INDEX(Laporan!$A$1:$AZ$300,G215,1)</f>
        <v>Water Treatment</v>
      </c>
      <c r="J215" s="0" t="str">
        <f aca="false">INDEX(Laporan!$A$1:$AZ$300,G215,2)</f>
        <v>600 ml</v>
      </c>
      <c r="K215" s="0" t="str">
        <f aca="false">INDEX(Laporan!$A$1:$AZ$300,G215,3)</f>
        <v>Shift 1</v>
      </c>
      <c r="L215" s="0" t="n">
        <f aca="false">INDEX(Laporan!$A$1:$AZ$300,G215,4)</f>
        <v>3</v>
      </c>
      <c r="M215" s="1" t="n">
        <f aca="false">DATE(Pemetaan!$B$1,VALUE(RIGHT(INDEX(Laporan!$A$1:$AZ$300,F215+1,H215),2)),VALUE(LEFT(INDEX(Laporan!$A$1:$AZ$300,F215+1,H215),2)))</f>
        <v>46100</v>
      </c>
      <c r="N215" s="0" t="n">
        <f aca="false">INDEX(Laporan!$A$1:$AZ$300,G215,H215)</f>
        <v>2908</v>
      </c>
      <c r="O215" s="0" t="n">
        <f aca="false">IF(N215="","",IFERROR(VALUE(SUBSTITUTE(SUBSTITUTE(N215," btl",""),".","")),""))</f>
        <v>2908</v>
      </c>
      <c r="P215" s="0" t="str">
        <f aca="false">IF(B215="PRODUKSI","produced","reject")</f>
        <v>produced</v>
      </c>
    </row>
    <row r="216" customFormat="false" ht="15" hidden="false" customHeight="false" outlineLevel="0" collapsed="false">
      <c r="A216" s="0" t="n">
        <v>215</v>
      </c>
      <c r="B216" s="0" t="str">
        <f aca="false">IF(A216&lt;=36*25,"PRODUKSI","REJECT")</f>
        <v>PRODUKSI</v>
      </c>
      <c r="C216" s="0" t="n">
        <f aca="false">MOD(A216-1,Pemetaan!$B$3*Pemetaan!$B$4)</f>
        <v>214</v>
      </c>
      <c r="D216" s="0" t="n">
        <f aca="false">INT(C216/Pemetaan!$B$4)</f>
        <v>8</v>
      </c>
      <c r="E216" s="0" t="n">
        <f aca="false">MOD(C216,Pemetaan!$B$4)</f>
        <v>14</v>
      </c>
      <c r="F216" s="0" t="n">
        <f aca="false">IF(B216="PRODUKSI",Pemetaan!$B$5,Pemetaan!$B$6)</f>
        <v>5</v>
      </c>
      <c r="G216" s="0" t="n">
        <f aca="false">F216+2+D216</f>
        <v>15</v>
      </c>
      <c r="H216" s="0" t="n">
        <f aca="false">Pemetaan!$B$2+E216</f>
        <v>19</v>
      </c>
      <c r="I216" s="0" t="str">
        <f aca="false">INDEX(Laporan!$A$1:$AZ$300,G216,1)</f>
        <v>Water Treatment</v>
      </c>
      <c r="J216" s="0" t="str">
        <f aca="false">INDEX(Laporan!$A$1:$AZ$300,G216,2)</f>
        <v>600 ml</v>
      </c>
      <c r="K216" s="0" t="str">
        <f aca="false">INDEX(Laporan!$A$1:$AZ$300,G216,3)</f>
        <v>Shift 1</v>
      </c>
      <c r="L216" s="0" t="n">
        <f aca="false">INDEX(Laporan!$A$1:$AZ$300,G216,4)</f>
        <v>3</v>
      </c>
      <c r="M216" s="1" t="n">
        <f aca="false">DATE(Pemetaan!$B$1,VALUE(RIGHT(INDEX(Laporan!$A$1:$AZ$300,F216+1,H216),2)),VALUE(LEFT(INDEX(Laporan!$A$1:$AZ$300,F216+1,H216),2)))</f>
        <v>46101</v>
      </c>
      <c r="N216" s="0" t="n">
        <f aca="false">INDEX(Laporan!$A$1:$AZ$300,G216,H216)</f>
        <v>2858</v>
      </c>
      <c r="O216" s="0" t="n">
        <f aca="false">IF(N216="","",IFERROR(VALUE(SUBSTITUTE(SUBSTITUTE(N216," btl",""),".","")),""))</f>
        <v>2858</v>
      </c>
      <c r="P216" s="0" t="str">
        <f aca="false">IF(B216="PRODUKSI","produced","reject")</f>
        <v>produced</v>
      </c>
    </row>
    <row r="217" customFormat="false" ht="15" hidden="false" customHeight="false" outlineLevel="0" collapsed="false">
      <c r="A217" s="0" t="n">
        <v>216</v>
      </c>
      <c r="B217" s="0" t="str">
        <f aca="false">IF(A217&lt;=36*25,"PRODUKSI","REJECT")</f>
        <v>PRODUKSI</v>
      </c>
      <c r="C217" s="0" t="n">
        <f aca="false">MOD(A217-1,Pemetaan!$B$3*Pemetaan!$B$4)</f>
        <v>215</v>
      </c>
      <c r="D217" s="0" t="n">
        <f aca="false">INT(C217/Pemetaan!$B$4)</f>
        <v>8</v>
      </c>
      <c r="E217" s="0" t="n">
        <f aca="false">MOD(C217,Pemetaan!$B$4)</f>
        <v>15</v>
      </c>
      <c r="F217" s="0" t="n">
        <f aca="false">IF(B217="PRODUKSI",Pemetaan!$B$5,Pemetaan!$B$6)</f>
        <v>5</v>
      </c>
      <c r="G217" s="0" t="n">
        <f aca="false">F217+2+D217</f>
        <v>15</v>
      </c>
      <c r="H217" s="0" t="n">
        <f aca="false">Pemetaan!$B$2+E217</f>
        <v>20</v>
      </c>
      <c r="I217" s="0" t="str">
        <f aca="false">INDEX(Laporan!$A$1:$AZ$300,G217,1)</f>
        <v>Water Treatment</v>
      </c>
      <c r="J217" s="0" t="str">
        <f aca="false">INDEX(Laporan!$A$1:$AZ$300,G217,2)</f>
        <v>600 ml</v>
      </c>
      <c r="K217" s="0" t="str">
        <f aca="false">INDEX(Laporan!$A$1:$AZ$300,G217,3)</f>
        <v>Shift 1</v>
      </c>
      <c r="L217" s="0" t="n">
        <f aca="false">INDEX(Laporan!$A$1:$AZ$300,G217,4)</f>
        <v>3</v>
      </c>
      <c r="M217" s="1" t="n">
        <f aca="false">DATE(Pemetaan!$B$1,VALUE(RIGHT(INDEX(Laporan!$A$1:$AZ$300,F217+1,H217),2)),VALUE(LEFT(INDEX(Laporan!$A$1:$AZ$300,F217+1,H217),2)))</f>
        <v>46104</v>
      </c>
      <c r="N217" s="0" t="n">
        <f aca="false">INDEX(Laporan!$A$1:$AZ$300,G217,H217)</f>
        <v>2551</v>
      </c>
      <c r="O217" s="0" t="n">
        <f aca="false">IF(N217="","",IFERROR(VALUE(SUBSTITUTE(SUBSTITUTE(N217," btl",""),".","")),""))</f>
        <v>2551</v>
      </c>
      <c r="P217" s="0" t="str">
        <f aca="false">IF(B217="PRODUKSI","produced","reject")</f>
        <v>produced</v>
      </c>
    </row>
    <row r="218" customFormat="false" ht="15" hidden="false" customHeight="false" outlineLevel="0" collapsed="false">
      <c r="A218" s="0" t="n">
        <v>217</v>
      </c>
      <c r="B218" s="0" t="str">
        <f aca="false">IF(A218&lt;=36*25,"PRODUKSI","REJECT")</f>
        <v>PRODUKSI</v>
      </c>
      <c r="C218" s="0" t="n">
        <f aca="false">MOD(A218-1,Pemetaan!$B$3*Pemetaan!$B$4)</f>
        <v>216</v>
      </c>
      <c r="D218" s="0" t="n">
        <f aca="false">INT(C218/Pemetaan!$B$4)</f>
        <v>8</v>
      </c>
      <c r="E218" s="0" t="n">
        <f aca="false">MOD(C218,Pemetaan!$B$4)</f>
        <v>16</v>
      </c>
      <c r="F218" s="0" t="n">
        <f aca="false">IF(B218="PRODUKSI",Pemetaan!$B$5,Pemetaan!$B$6)</f>
        <v>5</v>
      </c>
      <c r="G218" s="0" t="n">
        <f aca="false">F218+2+D218</f>
        <v>15</v>
      </c>
      <c r="H218" s="0" t="n">
        <f aca="false">Pemetaan!$B$2+E218</f>
        <v>21</v>
      </c>
      <c r="I218" s="0" t="str">
        <f aca="false">INDEX(Laporan!$A$1:$AZ$300,G218,1)</f>
        <v>Water Treatment</v>
      </c>
      <c r="J218" s="0" t="str">
        <f aca="false">INDEX(Laporan!$A$1:$AZ$300,G218,2)</f>
        <v>600 ml</v>
      </c>
      <c r="K218" s="0" t="str">
        <f aca="false">INDEX(Laporan!$A$1:$AZ$300,G218,3)</f>
        <v>Shift 1</v>
      </c>
      <c r="L218" s="0" t="n">
        <f aca="false">INDEX(Laporan!$A$1:$AZ$300,G218,4)</f>
        <v>3</v>
      </c>
      <c r="M218" s="1" t="n">
        <f aca="false">DATE(Pemetaan!$B$1,VALUE(RIGHT(INDEX(Laporan!$A$1:$AZ$300,F218+1,H218),2)),VALUE(LEFT(INDEX(Laporan!$A$1:$AZ$300,F218+1,H218),2)))</f>
        <v>46105</v>
      </c>
      <c r="N218" s="0" t="n">
        <f aca="false">INDEX(Laporan!$A$1:$AZ$300,G218,H218)</f>
        <v>2883</v>
      </c>
      <c r="O218" s="0" t="n">
        <f aca="false">IF(N218="","",IFERROR(VALUE(SUBSTITUTE(SUBSTITUTE(N218," btl",""),".","")),""))</f>
        <v>2883</v>
      </c>
      <c r="P218" s="0" t="str">
        <f aca="false">IF(B218="PRODUKSI","produced","reject")</f>
        <v>produced</v>
      </c>
    </row>
    <row r="219" customFormat="false" ht="15" hidden="false" customHeight="false" outlineLevel="0" collapsed="false">
      <c r="A219" s="0" t="n">
        <v>218</v>
      </c>
      <c r="B219" s="0" t="str">
        <f aca="false">IF(A219&lt;=36*25,"PRODUKSI","REJECT")</f>
        <v>PRODUKSI</v>
      </c>
      <c r="C219" s="0" t="n">
        <f aca="false">MOD(A219-1,Pemetaan!$B$3*Pemetaan!$B$4)</f>
        <v>217</v>
      </c>
      <c r="D219" s="0" t="n">
        <f aca="false">INT(C219/Pemetaan!$B$4)</f>
        <v>8</v>
      </c>
      <c r="E219" s="0" t="n">
        <f aca="false">MOD(C219,Pemetaan!$B$4)</f>
        <v>17</v>
      </c>
      <c r="F219" s="0" t="n">
        <f aca="false">IF(B219="PRODUKSI",Pemetaan!$B$5,Pemetaan!$B$6)</f>
        <v>5</v>
      </c>
      <c r="G219" s="0" t="n">
        <f aca="false">F219+2+D219</f>
        <v>15</v>
      </c>
      <c r="H219" s="0" t="n">
        <f aca="false">Pemetaan!$B$2+E219</f>
        <v>22</v>
      </c>
      <c r="I219" s="0" t="str">
        <f aca="false">INDEX(Laporan!$A$1:$AZ$300,G219,1)</f>
        <v>Water Treatment</v>
      </c>
      <c r="J219" s="0" t="str">
        <f aca="false">INDEX(Laporan!$A$1:$AZ$300,G219,2)</f>
        <v>600 ml</v>
      </c>
      <c r="K219" s="0" t="str">
        <f aca="false">INDEX(Laporan!$A$1:$AZ$300,G219,3)</f>
        <v>Shift 1</v>
      </c>
      <c r="L219" s="0" t="n">
        <f aca="false">INDEX(Laporan!$A$1:$AZ$300,G219,4)</f>
        <v>3</v>
      </c>
      <c r="M219" s="1" t="n">
        <f aca="false">DATE(Pemetaan!$B$1,VALUE(RIGHT(INDEX(Laporan!$A$1:$AZ$300,F219+1,H219),2)),VALUE(LEFT(INDEX(Laporan!$A$1:$AZ$300,F219+1,H219),2)))</f>
        <v>46106</v>
      </c>
      <c r="N219" s="0" t="n">
        <f aca="false">INDEX(Laporan!$A$1:$AZ$300,G219,H219)</f>
        <v>3185</v>
      </c>
      <c r="O219" s="0" t="n">
        <f aca="false">IF(N219="","",IFERROR(VALUE(SUBSTITUTE(SUBSTITUTE(N219," btl",""),".","")),""))</f>
        <v>3185</v>
      </c>
      <c r="P219" s="0" t="str">
        <f aca="false">IF(B219="PRODUKSI","produced","reject")</f>
        <v>produced</v>
      </c>
    </row>
    <row r="220" customFormat="false" ht="15" hidden="false" customHeight="false" outlineLevel="0" collapsed="false">
      <c r="A220" s="0" t="n">
        <v>219</v>
      </c>
      <c r="B220" s="0" t="str">
        <f aca="false">IF(A220&lt;=36*25,"PRODUKSI","REJECT")</f>
        <v>PRODUKSI</v>
      </c>
      <c r="C220" s="0" t="n">
        <f aca="false">MOD(A220-1,Pemetaan!$B$3*Pemetaan!$B$4)</f>
        <v>218</v>
      </c>
      <c r="D220" s="0" t="n">
        <f aca="false">INT(C220/Pemetaan!$B$4)</f>
        <v>8</v>
      </c>
      <c r="E220" s="0" t="n">
        <f aca="false">MOD(C220,Pemetaan!$B$4)</f>
        <v>18</v>
      </c>
      <c r="F220" s="0" t="n">
        <f aca="false">IF(B220="PRODUKSI",Pemetaan!$B$5,Pemetaan!$B$6)</f>
        <v>5</v>
      </c>
      <c r="G220" s="0" t="n">
        <f aca="false">F220+2+D220</f>
        <v>15</v>
      </c>
      <c r="H220" s="0" t="n">
        <f aca="false">Pemetaan!$B$2+E220</f>
        <v>23</v>
      </c>
      <c r="I220" s="0" t="str">
        <f aca="false">INDEX(Laporan!$A$1:$AZ$300,G220,1)</f>
        <v>Water Treatment</v>
      </c>
      <c r="J220" s="0" t="str">
        <f aca="false">INDEX(Laporan!$A$1:$AZ$300,G220,2)</f>
        <v>600 ml</v>
      </c>
      <c r="K220" s="0" t="str">
        <f aca="false">INDEX(Laporan!$A$1:$AZ$300,G220,3)</f>
        <v>Shift 1</v>
      </c>
      <c r="L220" s="0" t="n">
        <f aca="false">INDEX(Laporan!$A$1:$AZ$300,G220,4)</f>
        <v>3</v>
      </c>
      <c r="M220" s="1" t="n">
        <f aca="false">DATE(Pemetaan!$B$1,VALUE(RIGHT(INDEX(Laporan!$A$1:$AZ$300,F220+1,H220),2)),VALUE(LEFT(INDEX(Laporan!$A$1:$AZ$300,F220+1,H220),2)))</f>
        <v>46107</v>
      </c>
      <c r="N220" s="0" t="n">
        <f aca="false">INDEX(Laporan!$A$1:$AZ$300,G220,H220)</f>
        <v>2851</v>
      </c>
      <c r="O220" s="0" t="n">
        <f aca="false">IF(N220="","",IFERROR(VALUE(SUBSTITUTE(SUBSTITUTE(N220," btl",""),".","")),""))</f>
        <v>2851</v>
      </c>
      <c r="P220" s="0" t="str">
        <f aca="false">IF(B220="PRODUKSI","produced","reject")</f>
        <v>produced</v>
      </c>
    </row>
    <row r="221" customFormat="false" ht="15" hidden="false" customHeight="false" outlineLevel="0" collapsed="false">
      <c r="A221" s="0" t="n">
        <v>220</v>
      </c>
      <c r="B221" s="0" t="str">
        <f aca="false">IF(A221&lt;=36*25,"PRODUKSI","REJECT")</f>
        <v>PRODUKSI</v>
      </c>
      <c r="C221" s="0" t="n">
        <f aca="false">MOD(A221-1,Pemetaan!$B$3*Pemetaan!$B$4)</f>
        <v>219</v>
      </c>
      <c r="D221" s="0" t="n">
        <f aca="false">INT(C221/Pemetaan!$B$4)</f>
        <v>8</v>
      </c>
      <c r="E221" s="0" t="n">
        <f aca="false">MOD(C221,Pemetaan!$B$4)</f>
        <v>19</v>
      </c>
      <c r="F221" s="0" t="n">
        <f aca="false">IF(B221="PRODUKSI",Pemetaan!$B$5,Pemetaan!$B$6)</f>
        <v>5</v>
      </c>
      <c r="G221" s="0" t="n">
        <f aca="false">F221+2+D221</f>
        <v>15</v>
      </c>
      <c r="H221" s="0" t="n">
        <f aca="false">Pemetaan!$B$2+E221</f>
        <v>24</v>
      </c>
      <c r="I221" s="0" t="str">
        <f aca="false">INDEX(Laporan!$A$1:$AZ$300,G221,1)</f>
        <v>Water Treatment</v>
      </c>
      <c r="J221" s="0" t="str">
        <f aca="false">INDEX(Laporan!$A$1:$AZ$300,G221,2)</f>
        <v>600 ml</v>
      </c>
      <c r="K221" s="0" t="str">
        <f aca="false">INDEX(Laporan!$A$1:$AZ$300,G221,3)</f>
        <v>Shift 1</v>
      </c>
      <c r="L221" s="0" t="n">
        <f aca="false">INDEX(Laporan!$A$1:$AZ$300,G221,4)</f>
        <v>3</v>
      </c>
      <c r="M221" s="1" t="n">
        <f aca="false">DATE(Pemetaan!$B$1,VALUE(RIGHT(INDEX(Laporan!$A$1:$AZ$300,F221+1,H221),2)),VALUE(LEFT(INDEX(Laporan!$A$1:$AZ$300,F221+1,H221),2)))</f>
        <v>46108</v>
      </c>
      <c r="N221" s="0" t="n">
        <f aca="false">INDEX(Laporan!$A$1:$AZ$300,G221,H221)</f>
        <v>2887</v>
      </c>
      <c r="O221" s="0" t="n">
        <f aca="false">IF(N221="","",IFERROR(VALUE(SUBSTITUTE(SUBSTITUTE(N221," btl",""),".","")),""))</f>
        <v>2887</v>
      </c>
      <c r="P221" s="0" t="str">
        <f aca="false">IF(B221="PRODUKSI","produced","reject")</f>
        <v>produced</v>
      </c>
    </row>
    <row r="222" customFormat="false" ht="15" hidden="false" customHeight="false" outlineLevel="0" collapsed="false">
      <c r="A222" s="0" t="n">
        <v>221</v>
      </c>
      <c r="B222" s="0" t="str">
        <f aca="false">IF(A222&lt;=36*25,"PRODUKSI","REJECT")</f>
        <v>PRODUKSI</v>
      </c>
      <c r="C222" s="0" t="n">
        <f aca="false">MOD(A222-1,Pemetaan!$B$3*Pemetaan!$B$4)</f>
        <v>220</v>
      </c>
      <c r="D222" s="0" t="n">
        <f aca="false">INT(C222/Pemetaan!$B$4)</f>
        <v>8</v>
      </c>
      <c r="E222" s="0" t="n">
        <f aca="false">MOD(C222,Pemetaan!$B$4)</f>
        <v>20</v>
      </c>
      <c r="F222" s="0" t="n">
        <f aca="false">IF(B222="PRODUKSI",Pemetaan!$B$5,Pemetaan!$B$6)</f>
        <v>5</v>
      </c>
      <c r="G222" s="0" t="n">
        <f aca="false">F222+2+D222</f>
        <v>15</v>
      </c>
      <c r="H222" s="0" t="n">
        <f aca="false">Pemetaan!$B$2+E222</f>
        <v>25</v>
      </c>
      <c r="I222" s="0" t="str">
        <f aca="false">INDEX(Laporan!$A$1:$AZ$300,G222,1)</f>
        <v>Water Treatment</v>
      </c>
      <c r="J222" s="0" t="str">
        <f aca="false">INDEX(Laporan!$A$1:$AZ$300,G222,2)</f>
        <v>600 ml</v>
      </c>
      <c r="K222" s="0" t="str">
        <f aca="false">INDEX(Laporan!$A$1:$AZ$300,G222,3)</f>
        <v>Shift 1</v>
      </c>
      <c r="L222" s="0" t="n">
        <f aca="false">INDEX(Laporan!$A$1:$AZ$300,G222,4)</f>
        <v>3</v>
      </c>
      <c r="M222" s="1" t="n">
        <f aca="false">DATE(Pemetaan!$B$1,VALUE(RIGHT(INDEX(Laporan!$A$1:$AZ$300,F222+1,H222),2)),VALUE(LEFT(INDEX(Laporan!$A$1:$AZ$300,F222+1,H222),2)))</f>
        <v>46111</v>
      </c>
      <c r="N222" s="0" t="n">
        <f aca="false">INDEX(Laporan!$A$1:$AZ$300,G222,H222)</f>
        <v>2596</v>
      </c>
      <c r="O222" s="0" t="n">
        <f aca="false">IF(N222="","",IFERROR(VALUE(SUBSTITUTE(SUBSTITUTE(N222," btl",""),".","")),""))</f>
        <v>2596</v>
      </c>
      <c r="P222" s="0" t="str">
        <f aca="false">IF(B222="PRODUKSI","produced","reject")</f>
        <v>produced</v>
      </c>
    </row>
    <row r="223" customFormat="false" ht="15" hidden="false" customHeight="false" outlineLevel="0" collapsed="false">
      <c r="A223" s="0" t="n">
        <v>222</v>
      </c>
      <c r="B223" s="0" t="str">
        <f aca="false">IF(A223&lt;=36*25,"PRODUKSI","REJECT")</f>
        <v>PRODUKSI</v>
      </c>
      <c r="C223" s="0" t="n">
        <f aca="false">MOD(A223-1,Pemetaan!$B$3*Pemetaan!$B$4)</f>
        <v>221</v>
      </c>
      <c r="D223" s="0" t="n">
        <f aca="false">INT(C223/Pemetaan!$B$4)</f>
        <v>8</v>
      </c>
      <c r="E223" s="0" t="n">
        <f aca="false">MOD(C223,Pemetaan!$B$4)</f>
        <v>21</v>
      </c>
      <c r="F223" s="0" t="n">
        <f aca="false">IF(B223="PRODUKSI",Pemetaan!$B$5,Pemetaan!$B$6)</f>
        <v>5</v>
      </c>
      <c r="G223" s="0" t="n">
        <f aca="false">F223+2+D223</f>
        <v>15</v>
      </c>
      <c r="H223" s="0" t="n">
        <f aca="false">Pemetaan!$B$2+E223</f>
        <v>26</v>
      </c>
      <c r="I223" s="0" t="str">
        <f aca="false">INDEX(Laporan!$A$1:$AZ$300,G223,1)</f>
        <v>Water Treatment</v>
      </c>
      <c r="J223" s="0" t="str">
        <f aca="false">INDEX(Laporan!$A$1:$AZ$300,G223,2)</f>
        <v>600 ml</v>
      </c>
      <c r="K223" s="0" t="str">
        <f aca="false">INDEX(Laporan!$A$1:$AZ$300,G223,3)</f>
        <v>Shift 1</v>
      </c>
      <c r="L223" s="0" t="n">
        <f aca="false">INDEX(Laporan!$A$1:$AZ$300,G223,4)</f>
        <v>3</v>
      </c>
      <c r="M223" s="1" t="n">
        <f aca="false">DATE(Pemetaan!$B$1,VALUE(RIGHT(INDEX(Laporan!$A$1:$AZ$300,F223+1,H223),2)),VALUE(LEFT(INDEX(Laporan!$A$1:$AZ$300,F223+1,H223),2)))</f>
        <v>46112</v>
      </c>
      <c r="N223" s="0" t="n">
        <f aca="false">INDEX(Laporan!$A$1:$AZ$300,G223,H223)</f>
        <v>2729</v>
      </c>
      <c r="O223" s="0" t="n">
        <f aca="false">IF(N223="","",IFERROR(VALUE(SUBSTITUTE(SUBSTITUTE(N223," btl",""),".","")),""))</f>
        <v>2729</v>
      </c>
      <c r="P223" s="0" t="str">
        <f aca="false">IF(B223="PRODUKSI","produced","reject")</f>
        <v>produced</v>
      </c>
    </row>
    <row r="224" customFormat="false" ht="15" hidden="false" customHeight="false" outlineLevel="0" collapsed="false">
      <c r="A224" s="0" t="n">
        <v>223</v>
      </c>
      <c r="B224" s="0" t="str">
        <f aca="false">IF(A224&lt;=36*25,"PRODUKSI","REJECT")</f>
        <v>PRODUKSI</v>
      </c>
      <c r="C224" s="0" t="n">
        <f aca="false">MOD(A224-1,Pemetaan!$B$3*Pemetaan!$B$4)</f>
        <v>222</v>
      </c>
      <c r="D224" s="0" t="n">
        <f aca="false">INT(C224/Pemetaan!$B$4)</f>
        <v>8</v>
      </c>
      <c r="E224" s="0" t="n">
        <f aca="false">MOD(C224,Pemetaan!$B$4)</f>
        <v>22</v>
      </c>
      <c r="F224" s="0" t="n">
        <f aca="false">IF(B224="PRODUKSI",Pemetaan!$B$5,Pemetaan!$B$6)</f>
        <v>5</v>
      </c>
      <c r="G224" s="0" t="n">
        <f aca="false">F224+2+D224</f>
        <v>15</v>
      </c>
      <c r="H224" s="0" t="n">
        <f aca="false">Pemetaan!$B$2+E224</f>
        <v>27</v>
      </c>
      <c r="I224" s="0" t="str">
        <f aca="false">INDEX(Laporan!$A$1:$AZ$300,G224,1)</f>
        <v>Water Treatment</v>
      </c>
      <c r="J224" s="0" t="str">
        <f aca="false">INDEX(Laporan!$A$1:$AZ$300,G224,2)</f>
        <v>600 ml</v>
      </c>
      <c r="K224" s="0" t="str">
        <f aca="false">INDEX(Laporan!$A$1:$AZ$300,G224,3)</f>
        <v>Shift 1</v>
      </c>
      <c r="L224" s="0" t="n">
        <f aca="false">INDEX(Laporan!$A$1:$AZ$300,G224,4)</f>
        <v>3</v>
      </c>
      <c r="M224" s="1" t="n">
        <f aca="false">DATE(Pemetaan!$B$1,VALUE(RIGHT(INDEX(Laporan!$A$1:$AZ$300,F224+1,H224),2)),VALUE(LEFT(INDEX(Laporan!$A$1:$AZ$300,F224+1,H224),2)))</f>
        <v>46113</v>
      </c>
      <c r="N224" s="0" t="n">
        <f aca="false">INDEX(Laporan!$A$1:$AZ$300,G224,H224)</f>
        <v>2618</v>
      </c>
      <c r="O224" s="0" t="n">
        <f aca="false">IF(N224="","",IFERROR(VALUE(SUBSTITUTE(SUBSTITUTE(N224," btl",""),".","")),""))</f>
        <v>2618</v>
      </c>
      <c r="P224" s="0" t="str">
        <f aca="false">IF(B224="PRODUKSI","produced","reject")</f>
        <v>produced</v>
      </c>
    </row>
    <row r="225" customFormat="false" ht="15" hidden="false" customHeight="false" outlineLevel="0" collapsed="false">
      <c r="A225" s="0" t="n">
        <v>224</v>
      </c>
      <c r="B225" s="0" t="str">
        <f aca="false">IF(A225&lt;=36*25,"PRODUKSI","REJECT")</f>
        <v>PRODUKSI</v>
      </c>
      <c r="C225" s="0" t="n">
        <f aca="false">MOD(A225-1,Pemetaan!$B$3*Pemetaan!$B$4)</f>
        <v>223</v>
      </c>
      <c r="D225" s="0" t="n">
        <f aca="false">INT(C225/Pemetaan!$B$4)</f>
        <v>8</v>
      </c>
      <c r="E225" s="0" t="n">
        <f aca="false">MOD(C225,Pemetaan!$B$4)</f>
        <v>23</v>
      </c>
      <c r="F225" s="0" t="n">
        <f aca="false">IF(B225="PRODUKSI",Pemetaan!$B$5,Pemetaan!$B$6)</f>
        <v>5</v>
      </c>
      <c r="G225" s="0" t="n">
        <f aca="false">F225+2+D225</f>
        <v>15</v>
      </c>
      <c r="H225" s="0" t="n">
        <f aca="false">Pemetaan!$B$2+E225</f>
        <v>28</v>
      </c>
      <c r="I225" s="0" t="str">
        <f aca="false">INDEX(Laporan!$A$1:$AZ$300,G225,1)</f>
        <v>Water Treatment</v>
      </c>
      <c r="J225" s="0" t="str">
        <f aca="false">INDEX(Laporan!$A$1:$AZ$300,G225,2)</f>
        <v>600 ml</v>
      </c>
      <c r="K225" s="0" t="str">
        <f aca="false">INDEX(Laporan!$A$1:$AZ$300,G225,3)</f>
        <v>Shift 1</v>
      </c>
      <c r="L225" s="0" t="n">
        <f aca="false">INDEX(Laporan!$A$1:$AZ$300,G225,4)</f>
        <v>3</v>
      </c>
      <c r="M225" s="1" t="n">
        <f aca="false">DATE(Pemetaan!$B$1,VALUE(RIGHT(INDEX(Laporan!$A$1:$AZ$300,F225+1,H225),2)),VALUE(LEFT(INDEX(Laporan!$A$1:$AZ$300,F225+1,H225),2)))</f>
        <v>46114</v>
      </c>
      <c r="N225" s="0" t="n">
        <f aca="false">INDEX(Laporan!$A$1:$AZ$300,G225,H225)</f>
        <v>2542</v>
      </c>
      <c r="O225" s="0" t="n">
        <f aca="false">IF(N225="","",IFERROR(VALUE(SUBSTITUTE(SUBSTITUTE(N225," btl",""),".","")),""))</f>
        <v>2542</v>
      </c>
      <c r="P225" s="0" t="str">
        <f aca="false">IF(B225="PRODUKSI","produced","reject")</f>
        <v>produced</v>
      </c>
    </row>
    <row r="226" customFormat="false" ht="15" hidden="false" customHeight="false" outlineLevel="0" collapsed="false">
      <c r="A226" s="0" t="n">
        <v>225</v>
      </c>
      <c r="B226" s="0" t="str">
        <f aca="false">IF(A226&lt;=36*25,"PRODUKSI","REJECT")</f>
        <v>PRODUKSI</v>
      </c>
      <c r="C226" s="0" t="n">
        <f aca="false">MOD(A226-1,Pemetaan!$B$3*Pemetaan!$B$4)</f>
        <v>224</v>
      </c>
      <c r="D226" s="0" t="n">
        <f aca="false">INT(C226/Pemetaan!$B$4)</f>
        <v>8</v>
      </c>
      <c r="E226" s="0" t="n">
        <f aca="false">MOD(C226,Pemetaan!$B$4)</f>
        <v>24</v>
      </c>
      <c r="F226" s="0" t="n">
        <f aca="false">IF(B226="PRODUKSI",Pemetaan!$B$5,Pemetaan!$B$6)</f>
        <v>5</v>
      </c>
      <c r="G226" s="0" t="n">
        <f aca="false">F226+2+D226</f>
        <v>15</v>
      </c>
      <c r="H226" s="0" t="n">
        <f aca="false">Pemetaan!$B$2+E226</f>
        <v>29</v>
      </c>
      <c r="I226" s="0" t="str">
        <f aca="false">INDEX(Laporan!$A$1:$AZ$300,G226,1)</f>
        <v>Water Treatment</v>
      </c>
      <c r="J226" s="0" t="str">
        <f aca="false">INDEX(Laporan!$A$1:$AZ$300,G226,2)</f>
        <v>600 ml</v>
      </c>
      <c r="K226" s="0" t="str">
        <f aca="false">INDEX(Laporan!$A$1:$AZ$300,G226,3)</f>
        <v>Shift 1</v>
      </c>
      <c r="L226" s="0" t="n">
        <f aca="false">INDEX(Laporan!$A$1:$AZ$300,G226,4)</f>
        <v>3</v>
      </c>
      <c r="M226" s="1" t="n">
        <f aca="false">DATE(Pemetaan!$B$1,VALUE(RIGHT(INDEX(Laporan!$A$1:$AZ$300,F226+1,H226),2)),VALUE(LEFT(INDEX(Laporan!$A$1:$AZ$300,F226+1,H226),2)))</f>
        <v>46115</v>
      </c>
      <c r="N226" s="0" t="n">
        <f aca="false">INDEX(Laporan!$A$1:$AZ$300,G226,H226)</f>
        <v>2605</v>
      </c>
      <c r="O226" s="0" t="n">
        <f aca="false">IF(N226="","",IFERROR(VALUE(SUBSTITUTE(SUBSTITUTE(N226," btl",""),".","")),""))</f>
        <v>2605</v>
      </c>
      <c r="P226" s="0" t="str">
        <f aca="false">IF(B226="PRODUKSI","produced","reject")</f>
        <v>produced</v>
      </c>
    </row>
    <row r="227" customFormat="false" ht="15" hidden="false" customHeight="false" outlineLevel="0" collapsed="false">
      <c r="A227" s="0" t="n">
        <v>226</v>
      </c>
      <c r="B227" s="0" t="str">
        <f aca="false">IF(A227&lt;=36*25,"PRODUKSI","REJECT")</f>
        <v>PRODUKSI</v>
      </c>
      <c r="C227" s="0" t="n">
        <f aca="false">MOD(A227-1,Pemetaan!$B$3*Pemetaan!$B$4)</f>
        <v>225</v>
      </c>
      <c r="D227" s="0" t="n">
        <f aca="false">INT(C227/Pemetaan!$B$4)</f>
        <v>9</v>
      </c>
      <c r="E227" s="0" t="n">
        <f aca="false">MOD(C227,Pemetaan!$B$4)</f>
        <v>0</v>
      </c>
      <c r="F227" s="0" t="n">
        <f aca="false">IF(B227="PRODUKSI",Pemetaan!$B$5,Pemetaan!$B$6)</f>
        <v>5</v>
      </c>
      <c r="G227" s="0" t="n">
        <f aca="false">F227+2+D227</f>
        <v>16</v>
      </c>
      <c r="H227" s="0" t="n">
        <f aca="false">Pemetaan!$B$2+E227</f>
        <v>5</v>
      </c>
      <c r="I227" s="0" t="str">
        <f aca="false">INDEX(Laporan!$A$1:$AZ$300,G227,1)</f>
        <v>Water Treatment</v>
      </c>
      <c r="J227" s="0" t="str">
        <f aca="false">INDEX(Laporan!$A$1:$AZ$300,G227,2)</f>
        <v>600 ml</v>
      </c>
      <c r="K227" s="0" t="str">
        <f aca="false">INDEX(Laporan!$A$1:$AZ$300,G227,3)</f>
        <v>Shift 2</v>
      </c>
      <c r="L227" s="0" t="n">
        <f aca="false">INDEX(Laporan!$A$1:$AZ$300,G227,4)</f>
        <v>1</v>
      </c>
      <c r="M227" s="1" t="n">
        <f aca="false">DATE(Pemetaan!$B$1,VALUE(RIGHT(INDEX(Laporan!$A$1:$AZ$300,F227+1,H227),2)),VALUE(LEFT(INDEX(Laporan!$A$1:$AZ$300,F227+1,H227),2)))</f>
        <v>46083</v>
      </c>
      <c r="N227" s="0" t="n">
        <f aca="false">INDEX(Laporan!$A$1:$AZ$300,G227,H227)</f>
        <v>2968</v>
      </c>
      <c r="O227" s="0" t="n">
        <f aca="false">IF(N227="","",IFERROR(VALUE(SUBSTITUTE(SUBSTITUTE(N227," btl",""),".","")),""))</f>
        <v>2968</v>
      </c>
      <c r="P227" s="0" t="str">
        <f aca="false">IF(B227="PRODUKSI","produced","reject")</f>
        <v>produced</v>
      </c>
    </row>
    <row r="228" customFormat="false" ht="15" hidden="false" customHeight="false" outlineLevel="0" collapsed="false">
      <c r="A228" s="0" t="n">
        <v>227</v>
      </c>
      <c r="B228" s="0" t="str">
        <f aca="false">IF(A228&lt;=36*25,"PRODUKSI","REJECT")</f>
        <v>PRODUKSI</v>
      </c>
      <c r="C228" s="0" t="n">
        <f aca="false">MOD(A228-1,Pemetaan!$B$3*Pemetaan!$B$4)</f>
        <v>226</v>
      </c>
      <c r="D228" s="0" t="n">
        <f aca="false">INT(C228/Pemetaan!$B$4)</f>
        <v>9</v>
      </c>
      <c r="E228" s="0" t="n">
        <f aca="false">MOD(C228,Pemetaan!$B$4)</f>
        <v>1</v>
      </c>
      <c r="F228" s="0" t="n">
        <f aca="false">IF(B228="PRODUKSI",Pemetaan!$B$5,Pemetaan!$B$6)</f>
        <v>5</v>
      </c>
      <c r="G228" s="0" t="n">
        <f aca="false">F228+2+D228</f>
        <v>16</v>
      </c>
      <c r="H228" s="0" t="n">
        <f aca="false">Pemetaan!$B$2+E228</f>
        <v>6</v>
      </c>
      <c r="I228" s="0" t="str">
        <f aca="false">INDEX(Laporan!$A$1:$AZ$300,G228,1)</f>
        <v>Water Treatment</v>
      </c>
      <c r="J228" s="0" t="str">
        <f aca="false">INDEX(Laporan!$A$1:$AZ$300,G228,2)</f>
        <v>600 ml</v>
      </c>
      <c r="K228" s="0" t="str">
        <f aca="false">INDEX(Laporan!$A$1:$AZ$300,G228,3)</f>
        <v>Shift 2</v>
      </c>
      <c r="L228" s="0" t="n">
        <f aca="false">INDEX(Laporan!$A$1:$AZ$300,G228,4)</f>
        <v>1</v>
      </c>
      <c r="M228" s="1" t="n">
        <f aca="false">DATE(Pemetaan!$B$1,VALUE(RIGHT(INDEX(Laporan!$A$1:$AZ$300,F228+1,H228),2)),VALUE(LEFT(INDEX(Laporan!$A$1:$AZ$300,F228+1,H228),2)))</f>
        <v>46084</v>
      </c>
      <c r="N228" s="0" t="n">
        <f aca="false">INDEX(Laporan!$A$1:$AZ$300,G228,H228)</f>
        <v>2311</v>
      </c>
      <c r="O228" s="0" t="n">
        <f aca="false">IF(N228="","",IFERROR(VALUE(SUBSTITUTE(SUBSTITUTE(N228," btl",""),".","")),""))</f>
        <v>2311</v>
      </c>
      <c r="P228" s="0" t="str">
        <f aca="false">IF(B228="PRODUKSI","produced","reject")</f>
        <v>produced</v>
      </c>
    </row>
    <row r="229" customFormat="false" ht="15" hidden="false" customHeight="false" outlineLevel="0" collapsed="false">
      <c r="A229" s="0" t="n">
        <v>228</v>
      </c>
      <c r="B229" s="0" t="str">
        <f aca="false">IF(A229&lt;=36*25,"PRODUKSI","REJECT")</f>
        <v>PRODUKSI</v>
      </c>
      <c r="C229" s="0" t="n">
        <f aca="false">MOD(A229-1,Pemetaan!$B$3*Pemetaan!$B$4)</f>
        <v>227</v>
      </c>
      <c r="D229" s="0" t="n">
        <f aca="false">INT(C229/Pemetaan!$B$4)</f>
        <v>9</v>
      </c>
      <c r="E229" s="0" t="n">
        <f aca="false">MOD(C229,Pemetaan!$B$4)</f>
        <v>2</v>
      </c>
      <c r="F229" s="0" t="n">
        <f aca="false">IF(B229="PRODUKSI",Pemetaan!$B$5,Pemetaan!$B$6)</f>
        <v>5</v>
      </c>
      <c r="G229" s="0" t="n">
        <f aca="false">F229+2+D229</f>
        <v>16</v>
      </c>
      <c r="H229" s="0" t="n">
        <f aca="false">Pemetaan!$B$2+E229</f>
        <v>7</v>
      </c>
      <c r="I229" s="0" t="str">
        <f aca="false">INDEX(Laporan!$A$1:$AZ$300,G229,1)</f>
        <v>Water Treatment</v>
      </c>
      <c r="J229" s="0" t="str">
        <f aca="false">INDEX(Laporan!$A$1:$AZ$300,G229,2)</f>
        <v>600 ml</v>
      </c>
      <c r="K229" s="0" t="str">
        <f aca="false">INDEX(Laporan!$A$1:$AZ$300,G229,3)</f>
        <v>Shift 2</v>
      </c>
      <c r="L229" s="0" t="n">
        <f aca="false">INDEX(Laporan!$A$1:$AZ$300,G229,4)</f>
        <v>1</v>
      </c>
      <c r="M229" s="1" t="n">
        <f aca="false">DATE(Pemetaan!$B$1,VALUE(RIGHT(INDEX(Laporan!$A$1:$AZ$300,F229+1,H229),2)),VALUE(LEFT(INDEX(Laporan!$A$1:$AZ$300,F229+1,H229),2)))</f>
        <v>46085</v>
      </c>
      <c r="N229" s="0" t="n">
        <f aca="false">INDEX(Laporan!$A$1:$AZ$300,G229,H229)</f>
        <v>3081</v>
      </c>
      <c r="O229" s="0" t="n">
        <f aca="false">IF(N229="","",IFERROR(VALUE(SUBSTITUTE(SUBSTITUTE(N229," btl",""),".","")),""))</f>
        <v>3081</v>
      </c>
      <c r="P229" s="0" t="str">
        <f aca="false">IF(B229="PRODUKSI","produced","reject")</f>
        <v>produced</v>
      </c>
    </row>
    <row r="230" customFormat="false" ht="15" hidden="false" customHeight="false" outlineLevel="0" collapsed="false">
      <c r="A230" s="0" t="n">
        <v>229</v>
      </c>
      <c r="B230" s="0" t="str">
        <f aca="false">IF(A230&lt;=36*25,"PRODUKSI","REJECT")</f>
        <v>PRODUKSI</v>
      </c>
      <c r="C230" s="0" t="n">
        <f aca="false">MOD(A230-1,Pemetaan!$B$3*Pemetaan!$B$4)</f>
        <v>228</v>
      </c>
      <c r="D230" s="0" t="n">
        <f aca="false">INT(C230/Pemetaan!$B$4)</f>
        <v>9</v>
      </c>
      <c r="E230" s="0" t="n">
        <f aca="false">MOD(C230,Pemetaan!$B$4)</f>
        <v>3</v>
      </c>
      <c r="F230" s="0" t="n">
        <f aca="false">IF(B230="PRODUKSI",Pemetaan!$B$5,Pemetaan!$B$6)</f>
        <v>5</v>
      </c>
      <c r="G230" s="0" t="n">
        <f aca="false">F230+2+D230</f>
        <v>16</v>
      </c>
      <c r="H230" s="0" t="n">
        <f aca="false">Pemetaan!$B$2+E230</f>
        <v>8</v>
      </c>
      <c r="I230" s="0" t="str">
        <f aca="false">INDEX(Laporan!$A$1:$AZ$300,G230,1)</f>
        <v>Water Treatment</v>
      </c>
      <c r="J230" s="0" t="str">
        <f aca="false">INDEX(Laporan!$A$1:$AZ$300,G230,2)</f>
        <v>600 ml</v>
      </c>
      <c r="K230" s="0" t="str">
        <f aca="false">INDEX(Laporan!$A$1:$AZ$300,G230,3)</f>
        <v>Shift 2</v>
      </c>
      <c r="L230" s="0" t="n">
        <f aca="false">INDEX(Laporan!$A$1:$AZ$300,G230,4)</f>
        <v>1</v>
      </c>
      <c r="M230" s="1" t="n">
        <f aca="false">DATE(Pemetaan!$B$1,VALUE(RIGHT(INDEX(Laporan!$A$1:$AZ$300,F230+1,H230),2)),VALUE(LEFT(INDEX(Laporan!$A$1:$AZ$300,F230+1,H230),2)))</f>
        <v>46086</v>
      </c>
      <c r="N230" s="0" t="n">
        <f aca="false">INDEX(Laporan!$A$1:$AZ$300,G230,H230)</f>
        <v>2324</v>
      </c>
      <c r="O230" s="0" t="n">
        <f aca="false">IF(N230="","",IFERROR(VALUE(SUBSTITUTE(SUBSTITUTE(N230," btl",""),".","")),""))</f>
        <v>2324</v>
      </c>
      <c r="P230" s="0" t="str">
        <f aca="false">IF(B230="PRODUKSI","produced","reject")</f>
        <v>produced</v>
      </c>
    </row>
    <row r="231" customFormat="false" ht="15" hidden="false" customHeight="false" outlineLevel="0" collapsed="false">
      <c r="A231" s="0" t="n">
        <v>230</v>
      </c>
      <c r="B231" s="0" t="str">
        <f aca="false">IF(A231&lt;=36*25,"PRODUKSI","REJECT")</f>
        <v>PRODUKSI</v>
      </c>
      <c r="C231" s="0" t="n">
        <f aca="false">MOD(A231-1,Pemetaan!$B$3*Pemetaan!$B$4)</f>
        <v>229</v>
      </c>
      <c r="D231" s="0" t="n">
        <f aca="false">INT(C231/Pemetaan!$B$4)</f>
        <v>9</v>
      </c>
      <c r="E231" s="0" t="n">
        <f aca="false">MOD(C231,Pemetaan!$B$4)</f>
        <v>4</v>
      </c>
      <c r="F231" s="0" t="n">
        <f aca="false">IF(B231="PRODUKSI",Pemetaan!$B$5,Pemetaan!$B$6)</f>
        <v>5</v>
      </c>
      <c r="G231" s="0" t="n">
        <f aca="false">F231+2+D231</f>
        <v>16</v>
      </c>
      <c r="H231" s="0" t="n">
        <f aca="false">Pemetaan!$B$2+E231</f>
        <v>9</v>
      </c>
      <c r="I231" s="0" t="str">
        <f aca="false">INDEX(Laporan!$A$1:$AZ$300,G231,1)</f>
        <v>Water Treatment</v>
      </c>
      <c r="J231" s="0" t="str">
        <f aca="false">INDEX(Laporan!$A$1:$AZ$300,G231,2)</f>
        <v>600 ml</v>
      </c>
      <c r="K231" s="0" t="str">
        <f aca="false">INDEX(Laporan!$A$1:$AZ$300,G231,3)</f>
        <v>Shift 2</v>
      </c>
      <c r="L231" s="0" t="n">
        <f aca="false">INDEX(Laporan!$A$1:$AZ$300,G231,4)</f>
        <v>1</v>
      </c>
      <c r="M231" s="1" t="n">
        <f aca="false">DATE(Pemetaan!$B$1,VALUE(RIGHT(INDEX(Laporan!$A$1:$AZ$300,F231+1,H231),2)),VALUE(LEFT(INDEX(Laporan!$A$1:$AZ$300,F231+1,H231),2)))</f>
        <v>46087</v>
      </c>
      <c r="N231" s="0" t="n">
        <f aca="false">INDEX(Laporan!$A$1:$AZ$300,G231,H231)</f>
        <v>2308</v>
      </c>
      <c r="O231" s="0" t="n">
        <f aca="false">IF(N231="","",IFERROR(VALUE(SUBSTITUTE(SUBSTITUTE(N231," btl",""),".","")),""))</f>
        <v>2308</v>
      </c>
      <c r="P231" s="0" t="str">
        <f aca="false">IF(B231="PRODUKSI","produced","reject")</f>
        <v>produced</v>
      </c>
    </row>
    <row r="232" customFormat="false" ht="15" hidden="false" customHeight="false" outlineLevel="0" collapsed="false">
      <c r="A232" s="0" t="n">
        <v>231</v>
      </c>
      <c r="B232" s="0" t="str">
        <f aca="false">IF(A232&lt;=36*25,"PRODUKSI","REJECT")</f>
        <v>PRODUKSI</v>
      </c>
      <c r="C232" s="0" t="n">
        <f aca="false">MOD(A232-1,Pemetaan!$B$3*Pemetaan!$B$4)</f>
        <v>230</v>
      </c>
      <c r="D232" s="0" t="n">
        <f aca="false">INT(C232/Pemetaan!$B$4)</f>
        <v>9</v>
      </c>
      <c r="E232" s="0" t="n">
        <f aca="false">MOD(C232,Pemetaan!$B$4)</f>
        <v>5</v>
      </c>
      <c r="F232" s="0" t="n">
        <f aca="false">IF(B232="PRODUKSI",Pemetaan!$B$5,Pemetaan!$B$6)</f>
        <v>5</v>
      </c>
      <c r="G232" s="0" t="n">
        <f aca="false">F232+2+D232</f>
        <v>16</v>
      </c>
      <c r="H232" s="0" t="n">
        <f aca="false">Pemetaan!$B$2+E232</f>
        <v>10</v>
      </c>
      <c r="I232" s="0" t="str">
        <f aca="false">INDEX(Laporan!$A$1:$AZ$300,G232,1)</f>
        <v>Water Treatment</v>
      </c>
      <c r="J232" s="0" t="str">
        <f aca="false">INDEX(Laporan!$A$1:$AZ$300,G232,2)</f>
        <v>600 ml</v>
      </c>
      <c r="K232" s="0" t="str">
        <f aca="false">INDEX(Laporan!$A$1:$AZ$300,G232,3)</f>
        <v>Shift 2</v>
      </c>
      <c r="L232" s="0" t="n">
        <f aca="false">INDEX(Laporan!$A$1:$AZ$300,G232,4)</f>
        <v>1</v>
      </c>
      <c r="M232" s="1" t="n">
        <f aca="false">DATE(Pemetaan!$B$1,VALUE(RIGHT(INDEX(Laporan!$A$1:$AZ$300,F232+1,H232),2)),VALUE(LEFT(INDEX(Laporan!$A$1:$AZ$300,F232+1,H232),2)))</f>
        <v>46090</v>
      </c>
      <c r="N232" s="0" t="n">
        <f aca="false">INDEX(Laporan!$A$1:$AZ$300,G232,H232)</f>
        <v>2460</v>
      </c>
      <c r="O232" s="0" t="n">
        <f aca="false">IF(N232="","",IFERROR(VALUE(SUBSTITUTE(SUBSTITUTE(N232," btl",""),".","")),""))</f>
        <v>2460</v>
      </c>
      <c r="P232" s="0" t="str">
        <f aca="false">IF(B232="PRODUKSI","produced","reject")</f>
        <v>produced</v>
      </c>
    </row>
    <row r="233" customFormat="false" ht="15" hidden="false" customHeight="false" outlineLevel="0" collapsed="false">
      <c r="A233" s="0" t="n">
        <v>232</v>
      </c>
      <c r="B233" s="0" t="str">
        <f aca="false">IF(A233&lt;=36*25,"PRODUKSI","REJECT")</f>
        <v>PRODUKSI</v>
      </c>
      <c r="C233" s="0" t="n">
        <f aca="false">MOD(A233-1,Pemetaan!$B$3*Pemetaan!$B$4)</f>
        <v>231</v>
      </c>
      <c r="D233" s="0" t="n">
        <f aca="false">INT(C233/Pemetaan!$B$4)</f>
        <v>9</v>
      </c>
      <c r="E233" s="0" t="n">
        <f aca="false">MOD(C233,Pemetaan!$B$4)</f>
        <v>6</v>
      </c>
      <c r="F233" s="0" t="n">
        <f aca="false">IF(B233="PRODUKSI",Pemetaan!$B$5,Pemetaan!$B$6)</f>
        <v>5</v>
      </c>
      <c r="G233" s="0" t="n">
        <f aca="false">F233+2+D233</f>
        <v>16</v>
      </c>
      <c r="H233" s="0" t="n">
        <f aca="false">Pemetaan!$B$2+E233</f>
        <v>11</v>
      </c>
      <c r="I233" s="0" t="str">
        <f aca="false">INDEX(Laporan!$A$1:$AZ$300,G233,1)</f>
        <v>Water Treatment</v>
      </c>
      <c r="J233" s="0" t="str">
        <f aca="false">INDEX(Laporan!$A$1:$AZ$300,G233,2)</f>
        <v>600 ml</v>
      </c>
      <c r="K233" s="0" t="str">
        <f aca="false">INDEX(Laporan!$A$1:$AZ$300,G233,3)</f>
        <v>Shift 2</v>
      </c>
      <c r="L233" s="0" t="n">
        <f aca="false">INDEX(Laporan!$A$1:$AZ$300,G233,4)</f>
        <v>1</v>
      </c>
      <c r="M233" s="1" t="n">
        <f aca="false">DATE(Pemetaan!$B$1,VALUE(RIGHT(INDEX(Laporan!$A$1:$AZ$300,F233+1,H233),2)),VALUE(LEFT(INDEX(Laporan!$A$1:$AZ$300,F233+1,H233),2)))</f>
        <v>46091</v>
      </c>
      <c r="N233" s="0" t="n">
        <f aca="false">INDEX(Laporan!$A$1:$AZ$300,G233,H233)</f>
        <v>2763</v>
      </c>
      <c r="O233" s="0" t="n">
        <f aca="false">IF(N233="","",IFERROR(VALUE(SUBSTITUTE(SUBSTITUTE(N233," btl",""),".","")),""))</f>
        <v>2763</v>
      </c>
      <c r="P233" s="0" t="str">
        <f aca="false">IF(B233="PRODUKSI","produced","reject")</f>
        <v>produced</v>
      </c>
    </row>
    <row r="234" customFormat="false" ht="15" hidden="false" customHeight="false" outlineLevel="0" collapsed="false">
      <c r="A234" s="0" t="n">
        <v>233</v>
      </c>
      <c r="B234" s="0" t="str">
        <f aca="false">IF(A234&lt;=36*25,"PRODUKSI","REJECT")</f>
        <v>PRODUKSI</v>
      </c>
      <c r="C234" s="0" t="n">
        <f aca="false">MOD(A234-1,Pemetaan!$B$3*Pemetaan!$B$4)</f>
        <v>232</v>
      </c>
      <c r="D234" s="0" t="n">
        <f aca="false">INT(C234/Pemetaan!$B$4)</f>
        <v>9</v>
      </c>
      <c r="E234" s="0" t="n">
        <f aca="false">MOD(C234,Pemetaan!$B$4)</f>
        <v>7</v>
      </c>
      <c r="F234" s="0" t="n">
        <f aca="false">IF(B234="PRODUKSI",Pemetaan!$B$5,Pemetaan!$B$6)</f>
        <v>5</v>
      </c>
      <c r="G234" s="0" t="n">
        <f aca="false">F234+2+D234</f>
        <v>16</v>
      </c>
      <c r="H234" s="0" t="n">
        <f aca="false">Pemetaan!$B$2+E234</f>
        <v>12</v>
      </c>
      <c r="I234" s="0" t="str">
        <f aca="false">INDEX(Laporan!$A$1:$AZ$300,G234,1)</f>
        <v>Water Treatment</v>
      </c>
      <c r="J234" s="0" t="str">
        <f aca="false">INDEX(Laporan!$A$1:$AZ$300,G234,2)</f>
        <v>600 ml</v>
      </c>
      <c r="K234" s="0" t="str">
        <f aca="false">INDEX(Laporan!$A$1:$AZ$300,G234,3)</f>
        <v>Shift 2</v>
      </c>
      <c r="L234" s="0" t="n">
        <f aca="false">INDEX(Laporan!$A$1:$AZ$300,G234,4)</f>
        <v>1</v>
      </c>
      <c r="M234" s="1" t="n">
        <f aca="false">DATE(Pemetaan!$B$1,VALUE(RIGHT(INDEX(Laporan!$A$1:$AZ$300,F234+1,H234),2)),VALUE(LEFT(INDEX(Laporan!$A$1:$AZ$300,F234+1,H234),2)))</f>
        <v>46092</v>
      </c>
      <c r="N234" s="0" t="n">
        <f aca="false">INDEX(Laporan!$A$1:$AZ$300,G234,H234)</f>
        <v>2809</v>
      </c>
      <c r="O234" s="0" t="n">
        <f aca="false">IF(N234="","",IFERROR(VALUE(SUBSTITUTE(SUBSTITUTE(N234," btl",""),".","")),""))</f>
        <v>2809</v>
      </c>
      <c r="P234" s="0" t="str">
        <f aca="false">IF(B234="PRODUKSI","produced","reject")</f>
        <v>produced</v>
      </c>
    </row>
    <row r="235" customFormat="false" ht="15" hidden="false" customHeight="false" outlineLevel="0" collapsed="false">
      <c r="A235" s="0" t="n">
        <v>234</v>
      </c>
      <c r="B235" s="0" t="str">
        <f aca="false">IF(A235&lt;=36*25,"PRODUKSI","REJECT")</f>
        <v>PRODUKSI</v>
      </c>
      <c r="C235" s="0" t="n">
        <f aca="false">MOD(A235-1,Pemetaan!$B$3*Pemetaan!$B$4)</f>
        <v>233</v>
      </c>
      <c r="D235" s="0" t="n">
        <f aca="false">INT(C235/Pemetaan!$B$4)</f>
        <v>9</v>
      </c>
      <c r="E235" s="0" t="n">
        <f aca="false">MOD(C235,Pemetaan!$B$4)</f>
        <v>8</v>
      </c>
      <c r="F235" s="0" t="n">
        <f aca="false">IF(B235="PRODUKSI",Pemetaan!$B$5,Pemetaan!$B$6)</f>
        <v>5</v>
      </c>
      <c r="G235" s="0" t="n">
        <f aca="false">F235+2+D235</f>
        <v>16</v>
      </c>
      <c r="H235" s="0" t="n">
        <f aca="false">Pemetaan!$B$2+E235</f>
        <v>13</v>
      </c>
      <c r="I235" s="0" t="str">
        <f aca="false">INDEX(Laporan!$A$1:$AZ$300,G235,1)</f>
        <v>Water Treatment</v>
      </c>
      <c r="J235" s="0" t="str">
        <f aca="false">INDEX(Laporan!$A$1:$AZ$300,G235,2)</f>
        <v>600 ml</v>
      </c>
      <c r="K235" s="0" t="str">
        <f aca="false">INDEX(Laporan!$A$1:$AZ$300,G235,3)</f>
        <v>Shift 2</v>
      </c>
      <c r="L235" s="0" t="n">
        <f aca="false">INDEX(Laporan!$A$1:$AZ$300,G235,4)</f>
        <v>1</v>
      </c>
      <c r="M235" s="1" t="n">
        <f aca="false">DATE(Pemetaan!$B$1,VALUE(RIGHT(INDEX(Laporan!$A$1:$AZ$300,F235+1,H235),2)),VALUE(LEFT(INDEX(Laporan!$A$1:$AZ$300,F235+1,H235),2)))</f>
        <v>46093</v>
      </c>
      <c r="N235" s="0" t="n">
        <f aca="false">INDEX(Laporan!$A$1:$AZ$300,G235,H235)</f>
        <v>2619</v>
      </c>
      <c r="O235" s="0" t="n">
        <f aca="false">IF(N235="","",IFERROR(VALUE(SUBSTITUTE(SUBSTITUTE(N235," btl",""),".","")),""))</f>
        <v>2619</v>
      </c>
      <c r="P235" s="0" t="str">
        <f aca="false">IF(B235="PRODUKSI","produced","reject")</f>
        <v>produced</v>
      </c>
    </row>
    <row r="236" customFormat="false" ht="15" hidden="false" customHeight="false" outlineLevel="0" collapsed="false">
      <c r="A236" s="0" t="n">
        <v>235</v>
      </c>
      <c r="B236" s="0" t="str">
        <f aca="false">IF(A236&lt;=36*25,"PRODUKSI","REJECT")</f>
        <v>PRODUKSI</v>
      </c>
      <c r="C236" s="0" t="n">
        <f aca="false">MOD(A236-1,Pemetaan!$B$3*Pemetaan!$B$4)</f>
        <v>234</v>
      </c>
      <c r="D236" s="0" t="n">
        <f aca="false">INT(C236/Pemetaan!$B$4)</f>
        <v>9</v>
      </c>
      <c r="E236" s="0" t="n">
        <f aca="false">MOD(C236,Pemetaan!$B$4)</f>
        <v>9</v>
      </c>
      <c r="F236" s="0" t="n">
        <f aca="false">IF(B236="PRODUKSI",Pemetaan!$B$5,Pemetaan!$B$6)</f>
        <v>5</v>
      </c>
      <c r="G236" s="0" t="n">
        <f aca="false">F236+2+D236</f>
        <v>16</v>
      </c>
      <c r="H236" s="0" t="n">
        <f aca="false">Pemetaan!$B$2+E236</f>
        <v>14</v>
      </c>
      <c r="I236" s="0" t="str">
        <f aca="false">INDEX(Laporan!$A$1:$AZ$300,G236,1)</f>
        <v>Water Treatment</v>
      </c>
      <c r="J236" s="0" t="str">
        <f aca="false">INDEX(Laporan!$A$1:$AZ$300,G236,2)</f>
        <v>600 ml</v>
      </c>
      <c r="K236" s="0" t="str">
        <f aca="false">INDEX(Laporan!$A$1:$AZ$300,G236,3)</f>
        <v>Shift 2</v>
      </c>
      <c r="L236" s="0" t="n">
        <f aca="false">INDEX(Laporan!$A$1:$AZ$300,G236,4)</f>
        <v>1</v>
      </c>
      <c r="M236" s="1" t="n">
        <f aca="false">DATE(Pemetaan!$B$1,VALUE(RIGHT(INDEX(Laporan!$A$1:$AZ$300,F236+1,H236),2)),VALUE(LEFT(INDEX(Laporan!$A$1:$AZ$300,F236+1,H236),2)))</f>
        <v>46094</v>
      </c>
      <c r="N236" s="0" t="n">
        <f aca="false">INDEX(Laporan!$A$1:$AZ$300,G236,H236)</f>
        <v>3117</v>
      </c>
      <c r="O236" s="0" t="n">
        <f aca="false">IF(N236="","",IFERROR(VALUE(SUBSTITUTE(SUBSTITUTE(N236," btl",""),".","")),""))</f>
        <v>3117</v>
      </c>
      <c r="P236" s="0" t="str">
        <f aca="false">IF(B236="PRODUKSI","produced","reject")</f>
        <v>produced</v>
      </c>
    </row>
    <row r="237" customFormat="false" ht="15" hidden="false" customHeight="false" outlineLevel="0" collapsed="false">
      <c r="A237" s="0" t="n">
        <v>236</v>
      </c>
      <c r="B237" s="0" t="str">
        <f aca="false">IF(A237&lt;=36*25,"PRODUKSI","REJECT")</f>
        <v>PRODUKSI</v>
      </c>
      <c r="C237" s="0" t="n">
        <f aca="false">MOD(A237-1,Pemetaan!$B$3*Pemetaan!$B$4)</f>
        <v>235</v>
      </c>
      <c r="D237" s="0" t="n">
        <f aca="false">INT(C237/Pemetaan!$B$4)</f>
        <v>9</v>
      </c>
      <c r="E237" s="0" t="n">
        <f aca="false">MOD(C237,Pemetaan!$B$4)</f>
        <v>10</v>
      </c>
      <c r="F237" s="0" t="n">
        <f aca="false">IF(B237="PRODUKSI",Pemetaan!$B$5,Pemetaan!$B$6)</f>
        <v>5</v>
      </c>
      <c r="G237" s="0" t="n">
        <f aca="false">F237+2+D237</f>
        <v>16</v>
      </c>
      <c r="H237" s="0" t="n">
        <f aca="false">Pemetaan!$B$2+E237</f>
        <v>15</v>
      </c>
      <c r="I237" s="0" t="str">
        <f aca="false">INDEX(Laporan!$A$1:$AZ$300,G237,1)</f>
        <v>Water Treatment</v>
      </c>
      <c r="J237" s="0" t="str">
        <f aca="false">INDEX(Laporan!$A$1:$AZ$300,G237,2)</f>
        <v>600 ml</v>
      </c>
      <c r="K237" s="0" t="str">
        <f aca="false">INDEX(Laporan!$A$1:$AZ$300,G237,3)</f>
        <v>Shift 2</v>
      </c>
      <c r="L237" s="0" t="n">
        <f aca="false">INDEX(Laporan!$A$1:$AZ$300,G237,4)</f>
        <v>1</v>
      </c>
      <c r="M237" s="1" t="n">
        <f aca="false">DATE(Pemetaan!$B$1,VALUE(RIGHT(INDEX(Laporan!$A$1:$AZ$300,F237+1,H237),2)),VALUE(LEFT(INDEX(Laporan!$A$1:$AZ$300,F237+1,H237),2)))</f>
        <v>46097</v>
      </c>
      <c r="N237" s="0" t="n">
        <f aca="false">INDEX(Laporan!$A$1:$AZ$300,G237,H237)</f>
        <v>2731</v>
      </c>
      <c r="O237" s="0" t="n">
        <f aca="false">IF(N237="","",IFERROR(VALUE(SUBSTITUTE(SUBSTITUTE(N237," btl",""),".","")),""))</f>
        <v>2731</v>
      </c>
      <c r="P237" s="0" t="str">
        <f aca="false">IF(B237="PRODUKSI","produced","reject")</f>
        <v>produced</v>
      </c>
    </row>
    <row r="238" customFormat="false" ht="15" hidden="false" customHeight="false" outlineLevel="0" collapsed="false">
      <c r="A238" s="0" t="n">
        <v>237</v>
      </c>
      <c r="B238" s="0" t="str">
        <f aca="false">IF(A238&lt;=36*25,"PRODUKSI","REJECT")</f>
        <v>PRODUKSI</v>
      </c>
      <c r="C238" s="0" t="n">
        <f aca="false">MOD(A238-1,Pemetaan!$B$3*Pemetaan!$B$4)</f>
        <v>236</v>
      </c>
      <c r="D238" s="0" t="n">
        <f aca="false">INT(C238/Pemetaan!$B$4)</f>
        <v>9</v>
      </c>
      <c r="E238" s="0" t="n">
        <f aca="false">MOD(C238,Pemetaan!$B$4)</f>
        <v>11</v>
      </c>
      <c r="F238" s="0" t="n">
        <f aca="false">IF(B238="PRODUKSI",Pemetaan!$B$5,Pemetaan!$B$6)</f>
        <v>5</v>
      </c>
      <c r="G238" s="0" t="n">
        <f aca="false">F238+2+D238</f>
        <v>16</v>
      </c>
      <c r="H238" s="0" t="n">
        <f aca="false">Pemetaan!$B$2+E238</f>
        <v>16</v>
      </c>
      <c r="I238" s="0" t="str">
        <f aca="false">INDEX(Laporan!$A$1:$AZ$300,G238,1)</f>
        <v>Water Treatment</v>
      </c>
      <c r="J238" s="0" t="str">
        <f aca="false">INDEX(Laporan!$A$1:$AZ$300,G238,2)</f>
        <v>600 ml</v>
      </c>
      <c r="K238" s="0" t="str">
        <f aca="false">INDEX(Laporan!$A$1:$AZ$300,G238,3)</f>
        <v>Shift 2</v>
      </c>
      <c r="L238" s="0" t="n">
        <f aca="false">INDEX(Laporan!$A$1:$AZ$300,G238,4)</f>
        <v>1</v>
      </c>
      <c r="M238" s="1" t="n">
        <f aca="false">DATE(Pemetaan!$B$1,VALUE(RIGHT(INDEX(Laporan!$A$1:$AZ$300,F238+1,H238),2)),VALUE(LEFT(INDEX(Laporan!$A$1:$AZ$300,F238+1,H238),2)))</f>
        <v>46098</v>
      </c>
      <c r="N238" s="0" t="n">
        <f aca="false">INDEX(Laporan!$A$1:$AZ$300,G238,H238)</f>
        <v>2894</v>
      </c>
      <c r="O238" s="0" t="n">
        <f aca="false">IF(N238="","",IFERROR(VALUE(SUBSTITUTE(SUBSTITUTE(N238," btl",""),".","")),""))</f>
        <v>2894</v>
      </c>
      <c r="P238" s="0" t="str">
        <f aca="false">IF(B238="PRODUKSI","produced","reject")</f>
        <v>produced</v>
      </c>
    </row>
    <row r="239" customFormat="false" ht="15" hidden="false" customHeight="false" outlineLevel="0" collapsed="false">
      <c r="A239" s="0" t="n">
        <v>238</v>
      </c>
      <c r="B239" s="0" t="str">
        <f aca="false">IF(A239&lt;=36*25,"PRODUKSI","REJECT")</f>
        <v>PRODUKSI</v>
      </c>
      <c r="C239" s="0" t="n">
        <f aca="false">MOD(A239-1,Pemetaan!$B$3*Pemetaan!$B$4)</f>
        <v>237</v>
      </c>
      <c r="D239" s="0" t="n">
        <f aca="false">INT(C239/Pemetaan!$B$4)</f>
        <v>9</v>
      </c>
      <c r="E239" s="0" t="n">
        <f aca="false">MOD(C239,Pemetaan!$B$4)</f>
        <v>12</v>
      </c>
      <c r="F239" s="0" t="n">
        <f aca="false">IF(B239="PRODUKSI",Pemetaan!$B$5,Pemetaan!$B$6)</f>
        <v>5</v>
      </c>
      <c r="G239" s="0" t="n">
        <f aca="false">F239+2+D239</f>
        <v>16</v>
      </c>
      <c r="H239" s="0" t="n">
        <f aca="false">Pemetaan!$B$2+E239</f>
        <v>17</v>
      </c>
      <c r="I239" s="0" t="str">
        <f aca="false">INDEX(Laporan!$A$1:$AZ$300,G239,1)</f>
        <v>Water Treatment</v>
      </c>
      <c r="J239" s="0" t="str">
        <f aca="false">INDEX(Laporan!$A$1:$AZ$300,G239,2)</f>
        <v>600 ml</v>
      </c>
      <c r="K239" s="0" t="str">
        <f aca="false">INDEX(Laporan!$A$1:$AZ$300,G239,3)</f>
        <v>Shift 2</v>
      </c>
      <c r="L239" s="0" t="n">
        <f aca="false">INDEX(Laporan!$A$1:$AZ$300,G239,4)</f>
        <v>1</v>
      </c>
      <c r="M239" s="1" t="n">
        <f aca="false">DATE(Pemetaan!$B$1,VALUE(RIGHT(INDEX(Laporan!$A$1:$AZ$300,F239+1,H239),2)),VALUE(LEFT(INDEX(Laporan!$A$1:$AZ$300,F239+1,H239),2)))</f>
        <v>46099</v>
      </c>
      <c r="N239" s="0" t="n">
        <f aca="false">INDEX(Laporan!$A$1:$AZ$300,G239,H239)</f>
        <v>2615</v>
      </c>
      <c r="O239" s="0" t="n">
        <f aca="false">IF(N239="","",IFERROR(VALUE(SUBSTITUTE(SUBSTITUTE(N239," btl",""),".","")),""))</f>
        <v>2615</v>
      </c>
      <c r="P239" s="0" t="str">
        <f aca="false">IF(B239="PRODUKSI","produced","reject")</f>
        <v>produced</v>
      </c>
    </row>
    <row r="240" customFormat="false" ht="15" hidden="false" customHeight="false" outlineLevel="0" collapsed="false">
      <c r="A240" s="0" t="n">
        <v>239</v>
      </c>
      <c r="B240" s="0" t="str">
        <f aca="false">IF(A240&lt;=36*25,"PRODUKSI","REJECT")</f>
        <v>PRODUKSI</v>
      </c>
      <c r="C240" s="0" t="n">
        <f aca="false">MOD(A240-1,Pemetaan!$B$3*Pemetaan!$B$4)</f>
        <v>238</v>
      </c>
      <c r="D240" s="0" t="n">
        <f aca="false">INT(C240/Pemetaan!$B$4)</f>
        <v>9</v>
      </c>
      <c r="E240" s="0" t="n">
        <f aca="false">MOD(C240,Pemetaan!$B$4)</f>
        <v>13</v>
      </c>
      <c r="F240" s="0" t="n">
        <f aca="false">IF(B240="PRODUKSI",Pemetaan!$B$5,Pemetaan!$B$6)</f>
        <v>5</v>
      </c>
      <c r="G240" s="0" t="n">
        <f aca="false">F240+2+D240</f>
        <v>16</v>
      </c>
      <c r="H240" s="0" t="n">
        <f aca="false">Pemetaan!$B$2+E240</f>
        <v>18</v>
      </c>
      <c r="I240" s="0" t="str">
        <f aca="false">INDEX(Laporan!$A$1:$AZ$300,G240,1)</f>
        <v>Water Treatment</v>
      </c>
      <c r="J240" s="0" t="str">
        <f aca="false">INDEX(Laporan!$A$1:$AZ$300,G240,2)</f>
        <v>600 ml</v>
      </c>
      <c r="K240" s="0" t="str">
        <f aca="false">INDEX(Laporan!$A$1:$AZ$300,G240,3)</f>
        <v>Shift 2</v>
      </c>
      <c r="L240" s="0" t="n">
        <f aca="false">INDEX(Laporan!$A$1:$AZ$300,G240,4)</f>
        <v>1</v>
      </c>
      <c r="M240" s="1" t="n">
        <f aca="false">DATE(Pemetaan!$B$1,VALUE(RIGHT(INDEX(Laporan!$A$1:$AZ$300,F240+1,H240),2)),VALUE(LEFT(INDEX(Laporan!$A$1:$AZ$300,F240+1,H240),2)))</f>
        <v>46100</v>
      </c>
      <c r="N240" s="0" t="n">
        <f aca="false">INDEX(Laporan!$A$1:$AZ$300,G240,H240)</f>
        <v>3234</v>
      </c>
      <c r="O240" s="0" t="n">
        <f aca="false">IF(N240="","",IFERROR(VALUE(SUBSTITUTE(SUBSTITUTE(N240," btl",""),".","")),""))</f>
        <v>3234</v>
      </c>
      <c r="P240" s="0" t="str">
        <f aca="false">IF(B240="PRODUKSI","produced","reject")</f>
        <v>produced</v>
      </c>
    </row>
    <row r="241" customFormat="false" ht="15" hidden="false" customHeight="false" outlineLevel="0" collapsed="false">
      <c r="A241" s="0" t="n">
        <v>240</v>
      </c>
      <c r="B241" s="0" t="str">
        <f aca="false">IF(A241&lt;=36*25,"PRODUKSI","REJECT")</f>
        <v>PRODUKSI</v>
      </c>
      <c r="C241" s="0" t="n">
        <f aca="false">MOD(A241-1,Pemetaan!$B$3*Pemetaan!$B$4)</f>
        <v>239</v>
      </c>
      <c r="D241" s="0" t="n">
        <f aca="false">INT(C241/Pemetaan!$B$4)</f>
        <v>9</v>
      </c>
      <c r="E241" s="0" t="n">
        <f aca="false">MOD(C241,Pemetaan!$B$4)</f>
        <v>14</v>
      </c>
      <c r="F241" s="0" t="n">
        <f aca="false">IF(B241="PRODUKSI",Pemetaan!$B$5,Pemetaan!$B$6)</f>
        <v>5</v>
      </c>
      <c r="G241" s="0" t="n">
        <f aca="false">F241+2+D241</f>
        <v>16</v>
      </c>
      <c r="H241" s="0" t="n">
        <f aca="false">Pemetaan!$B$2+E241</f>
        <v>19</v>
      </c>
      <c r="I241" s="0" t="str">
        <f aca="false">INDEX(Laporan!$A$1:$AZ$300,G241,1)</f>
        <v>Water Treatment</v>
      </c>
      <c r="J241" s="0" t="str">
        <f aca="false">INDEX(Laporan!$A$1:$AZ$300,G241,2)</f>
        <v>600 ml</v>
      </c>
      <c r="K241" s="0" t="str">
        <f aca="false">INDEX(Laporan!$A$1:$AZ$300,G241,3)</f>
        <v>Shift 2</v>
      </c>
      <c r="L241" s="0" t="n">
        <f aca="false">INDEX(Laporan!$A$1:$AZ$300,G241,4)</f>
        <v>1</v>
      </c>
      <c r="M241" s="1" t="n">
        <f aca="false">DATE(Pemetaan!$B$1,VALUE(RIGHT(INDEX(Laporan!$A$1:$AZ$300,F241+1,H241),2)),VALUE(LEFT(INDEX(Laporan!$A$1:$AZ$300,F241+1,H241),2)))</f>
        <v>46101</v>
      </c>
      <c r="N241" s="0" t="n">
        <f aca="false">INDEX(Laporan!$A$1:$AZ$300,G241,H241)</f>
        <v>2669</v>
      </c>
      <c r="O241" s="0" t="n">
        <f aca="false">IF(N241="","",IFERROR(VALUE(SUBSTITUTE(SUBSTITUTE(N241," btl",""),".","")),""))</f>
        <v>2669</v>
      </c>
      <c r="P241" s="0" t="str">
        <f aca="false">IF(B241="PRODUKSI","produced","reject")</f>
        <v>produced</v>
      </c>
    </row>
    <row r="242" customFormat="false" ht="15" hidden="false" customHeight="false" outlineLevel="0" collapsed="false">
      <c r="A242" s="0" t="n">
        <v>241</v>
      </c>
      <c r="B242" s="0" t="str">
        <f aca="false">IF(A242&lt;=36*25,"PRODUKSI","REJECT")</f>
        <v>PRODUKSI</v>
      </c>
      <c r="C242" s="0" t="n">
        <f aca="false">MOD(A242-1,Pemetaan!$B$3*Pemetaan!$B$4)</f>
        <v>240</v>
      </c>
      <c r="D242" s="0" t="n">
        <f aca="false">INT(C242/Pemetaan!$B$4)</f>
        <v>9</v>
      </c>
      <c r="E242" s="0" t="n">
        <f aca="false">MOD(C242,Pemetaan!$B$4)</f>
        <v>15</v>
      </c>
      <c r="F242" s="0" t="n">
        <f aca="false">IF(B242="PRODUKSI",Pemetaan!$B$5,Pemetaan!$B$6)</f>
        <v>5</v>
      </c>
      <c r="G242" s="0" t="n">
        <f aca="false">F242+2+D242</f>
        <v>16</v>
      </c>
      <c r="H242" s="0" t="n">
        <f aca="false">Pemetaan!$B$2+E242</f>
        <v>20</v>
      </c>
      <c r="I242" s="0" t="str">
        <f aca="false">INDEX(Laporan!$A$1:$AZ$300,G242,1)</f>
        <v>Water Treatment</v>
      </c>
      <c r="J242" s="0" t="str">
        <f aca="false">INDEX(Laporan!$A$1:$AZ$300,G242,2)</f>
        <v>600 ml</v>
      </c>
      <c r="K242" s="0" t="str">
        <f aca="false">INDEX(Laporan!$A$1:$AZ$300,G242,3)</f>
        <v>Shift 2</v>
      </c>
      <c r="L242" s="0" t="n">
        <f aca="false">INDEX(Laporan!$A$1:$AZ$300,G242,4)</f>
        <v>1</v>
      </c>
      <c r="M242" s="1" t="n">
        <f aca="false">DATE(Pemetaan!$B$1,VALUE(RIGHT(INDEX(Laporan!$A$1:$AZ$300,F242+1,H242),2)),VALUE(LEFT(INDEX(Laporan!$A$1:$AZ$300,F242+1,H242),2)))</f>
        <v>46104</v>
      </c>
      <c r="N242" s="0" t="n">
        <f aca="false">INDEX(Laporan!$A$1:$AZ$300,G242,H242)</f>
        <v>2518</v>
      </c>
      <c r="O242" s="0" t="n">
        <f aca="false">IF(N242="","",IFERROR(VALUE(SUBSTITUTE(SUBSTITUTE(N242," btl",""),".","")),""))</f>
        <v>2518</v>
      </c>
      <c r="P242" s="0" t="str">
        <f aca="false">IF(B242="PRODUKSI","produced","reject")</f>
        <v>produced</v>
      </c>
    </row>
    <row r="243" customFormat="false" ht="15" hidden="false" customHeight="false" outlineLevel="0" collapsed="false">
      <c r="A243" s="0" t="n">
        <v>242</v>
      </c>
      <c r="B243" s="0" t="str">
        <f aca="false">IF(A243&lt;=36*25,"PRODUKSI","REJECT")</f>
        <v>PRODUKSI</v>
      </c>
      <c r="C243" s="0" t="n">
        <f aca="false">MOD(A243-1,Pemetaan!$B$3*Pemetaan!$B$4)</f>
        <v>241</v>
      </c>
      <c r="D243" s="0" t="n">
        <f aca="false">INT(C243/Pemetaan!$B$4)</f>
        <v>9</v>
      </c>
      <c r="E243" s="0" t="n">
        <f aca="false">MOD(C243,Pemetaan!$B$4)</f>
        <v>16</v>
      </c>
      <c r="F243" s="0" t="n">
        <f aca="false">IF(B243="PRODUKSI",Pemetaan!$B$5,Pemetaan!$B$6)</f>
        <v>5</v>
      </c>
      <c r="G243" s="0" t="n">
        <f aca="false">F243+2+D243</f>
        <v>16</v>
      </c>
      <c r="H243" s="0" t="n">
        <f aca="false">Pemetaan!$B$2+E243</f>
        <v>21</v>
      </c>
      <c r="I243" s="0" t="str">
        <f aca="false">INDEX(Laporan!$A$1:$AZ$300,G243,1)</f>
        <v>Water Treatment</v>
      </c>
      <c r="J243" s="0" t="str">
        <f aca="false">INDEX(Laporan!$A$1:$AZ$300,G243,2)</f>
        <v>600 ml</v>
      </c>
      <c r="K243" s="0" t="str">
        <f aca="false">INDEX(Laporan!$A$1:$AZ$300,G243,3)</f>
        <v>Shift 2</v>
      </c>
      <c r="L243" s="0" t="n">
        <f aca="false">INDEX(Laporan!$A$1:$AZ$300,G243,4)</f>
        <v>1</v>
      </c>
      <c r="M243" s="1" t="n">
        <f aca="false">DATE(Pemetaan!$B$1,VALUE(RIGHT(INDEX(Laporan!$A$1:$AZ$300,F243+1,H243),2)),VALUE(LEFT(INDEX(Laporan!$A$1:$AZ$300,F243+1,H243),2)))</f>
        <v>46105</v>
      </c>
      <c r="N243" s="0" t="n">
        <f aca="false">INDEX(Laporan!$A$1:$AZ$300,G243,H243)</f>
        <v>3011</v>
      </c>
      <c r="O243" s="0" t="n">
        <f aca="false">IF(N243="","",IFERROR(VALUE(SUBSTITUTE(SUBSTITUTE(N243," btl",""),".","")),""))</f>
        <v>3011</v>
      </c>
      <c r="P243" s="0" t="str">
        <f aca="false">IF(B243="PRODUKSI","produced","reject")</f>
        <v>produced</v>
      </c>
    </row>
    <row r="244" customFormat="false" ht="15" hidden="false" customHeight="false" outlineLevel="0" collapsed="false">
      <c r="A244" s="0" t="n">
        <v>243</v>
      </c>
      <c r="B244" s="0" t="str">
        <f aca="false">IF(A244&lt;=36*25,"PRODUKSI","REJECT")</f>
        <v>PRODUKSI</v>
      </c>
      <c r="C244" s="0" t="n">
        <f aca="false">MOD(A244-1,Pemetaan!$B$3*Pemetaan!$B$4)</f>
        <v>242</v>
      </c>
      <c r="D244" s="0" t="n">
        <f aca="false">INT(C244/Pemetaan!$B$4)</f>
        <v>9</v>
      </c>
      <c r="E244" s="0" t="n">
        <f aca="false">MOD(C244,Pemetaan!$B$4)</f>
        <v>17</v>
      </c>
      <c r="F244" s="0" t="n">
        <f aca="false">IF(B244="PRODUKSI",Pemetaan!$B$5,Pemetaan!$B$6)</f>
        <v>5</v>
      </c>
      <c r="G244" s="0" t="n">
        <f aca="false">F244+2+D244</f>
        <v>16</v>
      </c>
      <c r="H244" s="0" t="n">
        <f aca="false">Pemetaan!$B$2+E244</f>
        <v>22</v>
      </c>
      <c r="I244" s="0" t="str">
        <f aca="false">INDEX(Laporan!$A$1:$AZ$300,G244,1)</f>
        <v>Water Treatment</v>
      </c>
      <c r="J244" s="0" t="str">
        <f aca="false">INDEX(Laporan!$A$1:$AZ$300,G244,2)</f>
        <v>600 ml</v>
      </c>
      <c r="K244" s="0" t="str">
        <f aca="false">INDEX(Laporan!$A$1:$AZ$300,G244,3)</f>
        <v>Shift 2</v>
      </c>
      <c r="L244" s="0" t="n">
        <f aca="false">INDEX(Laporan!$A$1:$AZ$300,G244,4)</f>
        <v>1</v>
      </c>
      <c r="M244" s="1" t="n">
        <f aca="false">DATE(Pemetaan!$B$1,VALUE(RIGHT(INDEX(Laporan!$A$1:$AZ$300,F244+1,H244),2)),VALUE(LEFT(INDEX(Laporan!$A$1:$AZ$300,F244+1,H244),2)))</f>
        <v>46106</v>
      </c>
      <c r="N244" s="0" t="n">
        <f aca="false">INDEX(Laporan!$A$1:$AZ$300,G244,H244)</f>
        <v>2908</v>
      </c>
      <c r="O244" s="0" t="n">
        <f aca="false">IF(N244="","",IFERROR(VALUE(SUBSTITUTE(SUBSTITUTE(N244," btl",""),".","")),""))</f>
        <v>2908</v>
      </c>
      <c r="P244" s="0" t="str">
        <f aca="false">IF(B244="PRODUKSI","produced","reject")</f>
        <v>produced</v>
      </c>
    </row>
    <row r="245" customFormat="false" ht="15" hidden="false" customHeight="false" outlineLevel="0" collapsed="false">
      <c r="A245" s="0" t="n">
        <v>244</v>
      </c>
      <c r="B245" s="0" t="str">
        <f aca="false">IF(A245&lt;=36*25,"PRODUKSI","REJECT")</f>
        <v>PRODUKSI</v>
      </c>
      <c r="C245" s="0" t="n">
        <f aca="false">MOD(A245-1,Pemetaan!$B$3*Pemetaan!$B$4)</f>
        <v>243</v>
      </c>
      <c r="D245" s="0" t="n">
        <f aca="false">INT(C245/Pemetaan!$B$4)</f>
        <v>9</v>
      </c>
      <c r="E245" s="0" t="n">
        <f aca="false">MOD(C245,Pemetaan!$B$4)</f>
        <v>18</v>
      </c>
      <c r="F245" s="0" t="n">
        <f aca="false">IF(B245="PRODUKSI",Pemetaan!$B$5,Pemetaan!$B$6)</f>
        <v>5</v>
      </c>
      <c r="G245" s="0" t="n">
        <f aca="false">F245+2+D245</f>
        <v>16</v>
      </c>
      <c r="H245" s="0" t="n">
        <f aca="false">Pemetaan!$B$2+E245</f>
        <v>23</v>
      </c>
      <c r="I245" s="0" t="str">
        <f aca="false">INDEX(Laporan!$A$1:$AZ$300,G245,1)</f>
        <v>Water Treatment</v>
      </c>
      <c r="J245" s="0" t="str">
        <f aca="false">INDEX(Laporan!$A$1:$AZ$300,G245,2)</f>
        <v>600 ml</v>
      </c>
      <c r="K245" s="0" t="str">
        <f aca="false">INDEX(Laporan!$A$1:$AZ$300,G245,3)</f>
        <v>Shift 2</v>
      </c>
      <c r="L245" s="0" t="n">
        <f aca="false">INDEX(Laporan!$A$1:$AZ$300,G245,4)</f>
        <v>1</v>
      </c>
      <c r="M245" s="1" t="n">
        <f aca="false">DATE(Pemetaan!$B$1,VALUE(RIGHT(INDEX(Laporan!$A$1:$AZ$300,F245+1,H245),2)),VALUE(LEFT(INDEX(Laporan!$A$1:$AZ$300,F245+1,H245),2)))</f>
        <v>46107</v>
      </c>
      <c r="N245" s="0" t="n">
        <f aca="false">INDEX(Laporan!$A$1:$AZ$300,G245,H245)</f>
        <v>2417</v>
      </c>
      <c r="O245" s="0" t="n">
        <f aca="false">IF(N245="","",IFERROR(VALUE(SUBSTITUTE(SUBSTITUTE(N245," btl",""),".","")),""))</f>
        <v>2417</v>
      </c>
      <c r="P245" s="0" t="str">
        <f aca="false">IF(B245="PRODUKSI","produced","reject")</f>
        <v>produced</v>
      </c>
    </row>
    <row r="246" customFormat="false" ht="15" hidden="false" customHeight="false" outlineLevel="0" collapsed="false">
      <c r="A246" s="0" t="n">
        <v>245</v>
      </c>
      <c r="B246" s="0" t="str">
        <f aca="false">IF(A246&lt;=36*25,"PRODUKSI","REJECT")</f>
        <v>PRODUKSI</v>
      </c>
      <c r="C246" s="0" t="n">
        <f aca="false">MOD(A246-1,Pemetaan!$B$3*Pemetaan!$B$4)</f>
        <v>244</v>
      </c>
      <c r="D246" s="0" t="n">
        <f aca="false">INT(C246/Pemetaan!$B$4)</f>
        <v>9</v>
      </c>
      <c r="E246" s="0" t="n">
        <f aca="false">MOD(C246,Pemetaan!$B$4)</f>
        <v>19</v>
      </c>
      <c r="F246" s="0" t="n">
        <f aca="false">IF(B246="PRODUKSI",Pemetaan!$B$5,Pemetaan!$B$6)</f>
        <v>5</v>
      </c>
      <c r="G246" s="0" t="n">
        <f aca="false">F246+2+D246</f>
        <v>16</v>
      </c>
      <c r="H246" s="0" t="n">
        <f aca="false">Pemetaan!$B$2+E246</f>
        <v>24</v>
      </c>
      <c r="I246" s="0" t="str">
        <f aca="false">INDEX(Laporan!$A$1:$AZ$300,G246,1)</f>
        <v>Water Treatment</v>
      </c>
      <c r="J246" s="0" t="str">
        <f aca="false">INDEX(Laporan!$A$1:$AZ$300,G246,2)</f>
        <v>600 ml</v>
      </c>
      <c r="K246" s="0" t="str">
        <f aca="false">INDEX(Laporan!$A$1:$AZ$300,G246,3)</f>
        <v>Shift 2</v>
      </c>
      <c r="L246" s="0" t="n">
        <f aca="false">INDEX(Laporan!$A$1:$AZ$300,G246,4)</f>
        <v>1</v>
      </c>
      <c r="M246" s="1" t="n">
        <f aca="false">DATE(Pemetaan!$B$1,VALUE(RIGHT(INDEX(Laporan!$A$1:$AZ$300,F246+1,H246),2)),VALUE(LEFT(INDEX(Laporan!$A$1:$AZ$300,F246+1,H246),2)))</f>
        <v>46108</v>
      </c>
      <c r="N246" s="0" t="n">
        <f aca="false">INDEX(Laporan!$A$1:$AZ$300,G246,H246)</f>
        <v>2682</v>
      </c>
      <c r="O246" s="0" t="n">
        <f aca="false">IF(N246="","",IFERROR(VALUE(SUBSTITUTE(SUBSTITUTE(N246," btl",""),".","")),""))</f>
        <v>2682</v>
      </c>
      <c r="P246" s="0" t="str">
        <f aca="false">IF(B246="PRODUKSI","produced","reject")</f>
        <v>produced</v>
      </c>
    </row>
    <row r="247" customFormat="false" ht="15" hidden="false" customHeight="false" outlineLevel="0" collapsed="false">
      <c r="A247" s="0" t="n">
        <v>246</v>
      </c>
      <c r="B247" s="0" t="str">
        <f aca="false">IF(A247&lt;=36*25,"PRODUKSI","REJECT")</f>
        <v>PRODUKSI</v>
      </c>
      <c r="C247" s="0" t="n">
        <f aca="false">MOD(A247-1,Pemetaan!$B$3*Pemetaan!$B$4)</f>
        <v>245</v>
      </c>
      <c r="D247" s="0" t="n">
        <f aca="false">INT(C247/Pemetaan!$B$4)</f>
        <v>9</v>
      </c>
      <c r="E247" s="0" t="n">
        <f aca="false">MOD(C247,Pemetaan!$B$4)</f>
        <v>20</v>
      </c>
      <c r="F247" s="0" t="n">
        <f aca="false">IF(B247="PRODUKSI",Pemetaan!$B$5,Pemetaan!$B$6)</f>
        <v>5</v>
      </c>
      <c r="G247" s="0" t="n">
        <f aca="false">F247+2+D247</f>
        <v>16</v>
      </c>
      <c r="H247" s="0" t="n">
        <f aca="false">Pemetaan!$B$2+E247</f>
        <v>25</v>
      </c>
      <c r="I247" s="0" t="str">
        <f aca="false">INDEX(Laporan!$A$1:$AZ$300,G247,1)</f>
        <v>Water Treatment</v>
      </c>
      <c r="J247" s="0" t="str">
        <f aca="false">INDEX(Laporan!$A$1:$AZ$300,G247,2)</f>
        <v>600 ml</v>
      </c>
      <c r="K247" s="0" t="str">
        <f aca="false">INDEX(Laporan!$A$1:$AZ$300,G247,3)</f>
        <v>Shift 2</v>
      </c>
      <c r="L247" s="0" t="n">
        <f aca="false">INDEX(Laporan!$A$1:$AZ$300,G247,4)</f>
        <v>1</v>
      </c>
      <c r="M247" s="1" t="n">
        <f aca="false">DATE(Pemetaan!$B$1,VALUE(RIGHT(INDEX(Laporan!$A$1:$AZ$300,F247+1,H247),2)),VALUE(LEFT(INDEX(Laporan!$A$1:$AZ$300,F247+1,H247),2)))</f>
        <v>46111</v>
      </c>
      <c r="N247" s="0" t="n">
        <f aca="false">INDEX(Laporan!$A$1:$AZ$300,G247,H247)</f>
        <v>2659</v>
      </c>
      <c r="O247" s="0" t="n">
        <f aca="false">IF(N247="","",IFERROR(VALUE(SUBSTITUTE(SUBSTITUTE(N247," btl",""),".","")),""))</f>
        <v>2659</v>
      </c>
      <c r="P247" s="0" t="str">
        <f aca="false">IF(B247="PRODUKSI","produced","reject")</f>
        <v>produced</v>
      </c>
    </row>
    <row r="248" customFormat="false" ht="15" hidden="false" customHeight="false" outlineLevel="0" collapsed="false">
      <c r="A248" s="0" t="n">
        <v>247</v>
      </c>
      <c r="B248" s="0" t="str">
        <f aca="false">IF(A248&lt;=36*25,"PRODUKSI","REJECT")</f>
        <v>PRODUKSI</v>
      </c>
      <c r="C248" s="0" t="n">
        <f aca="false">MOD(A248-1,Pemetaan!$B$3*Pemetaan!$B$4)</f>
        <v>246</v>
      </c>
      <c r="D248" s="0" t="n">
        <f aca="false">INT(C248/Pemetaan!$B$4)</f>
        <v>9</v>
      </c>
      <c r="E248" s="0" t="n">
        <f aca="false">MOD(C248,Pemetaan!$B$4)</f>
        <v>21</v>
      </c>
      <c r="F248" s="0" t="n">
        <f aca="false">IF(B248="PRODUKSI",Pemetaan!$B$5,Pemetaan!$B$6)</f>
        <v>5</v>
      </c>
      <c r="G248" s="0" t="n">
        <f aca="false">F248+2+D248</f>
        <v>16</v>
      </c>
      <c r="H248" s="0" t="n">
        <f aca="false">Pemetaan!$B$2+E248</f>
        <v>26</v>
      </c>
      <c r="I248" s="0" t="str">
        <f aca="false">INDEX(Laporan!$A$1:$AZ$300,G248,1)</f>
        <v>Water Treatment</v>
      </c>
      <c r="J248" s="0" t="str">
        <f aca="false">INDEX(Laporan!$A$1:$AZ$300,G248,2)</f>
        <v>600 ml</v>
      </c>
      <c r="K248" s="0" t="str">
        <f aca="false">INDEX(Laporan!$A$1:$AZ$300,G248,3)</f>
        <v>Shift 2</v>
      </c>
      <c r="L248" s="0" t="n">
        <f aca="false">INDEX(Laporan!$A$1:$AZ$300,G248,4)</f>
        <v>1</v>
      </c>
      <c r="M248" s="1" t="n">
        <f aca="false">DATE(Pemetaan!$B$1,VALUE(RIGHT(INDEX(Laporan!$A$1:$AZ$300,F248+1,H248),2)),VALUE(LEFT(INDEX(Laporan!$A$1:$AZ$300,F248+1,H248),2)))</f>
        <v>46112</v>
      </c>
      <c r="N248" s="0" t="n">
        <f aca="false">INDEX(Laporan!$A$1:$AZ$300,G248,H248)</f>
        <v>2755</v>
      </c>
      <c r="O248" s="0" t="n">
        <f aca="false">IF(N248="","",IFERROR(VALUE(SUBSTITUTE(SUBSTITUTE(N248," btl",""),".","")),""))</f>
        <v>2755</v>
      </c>
      <c r="P248" s="0" t="str">
        <f aca="false">IF(B248="PRODUKSI","produced","reject")</f>
        <v>produced</v>
      </c>
    </row>
    <row r="249" customFormat="false" ht="15" hidden="false" customHeight="false" outlineLevel="0" collapsed="false">
      <c r="A249" s="0" t="n">
        <v>248</v>
      </c>
      <c r="B249" s="0" t="str">
        <f aca="false">IF(A249&lt;=36*25,"PRODUKSI","REJECT")</f>
        <v>PRODUKSI</v>
      </c>
      <c r="C249" s="0" t="n">
        <f aca="false">MOD(A249-1,Pemetaan!$B$3*Pemetaan!$B$4)</f>
        <v>247</v>
      </c>
      <c r="D249" s="0" t="n">
        <f aca="false">INT(C249/Pemetaan!$B$4)</f>
        <v>9</v>
      </c>
      <c r="E249" s="0" t="n">
        <f aca="false">MOD(C249,Pemetaan!$B$4)</f>
        <v>22</v>
      </c>
      <c r="F249" s="0" t="n">
        <f aca="false">IF(B249="PRODUKSI",Pemetaan!$B$5,Pemetaan!$B$6)</f>
        <v>5</v>
      </c>
      <c r="G249" s="0" t="n">
        <f aca="false">F249+2+D249</f>
        <v>16</v>
      </c>
      <c r="H249" s="0" t="n">
        <f aca="false">Pemetaan!$B$2+E249</f>
        <v>27</v>
      </c>
      <c r="I249" s="0" t="str">
        <f aca="false">INDEX(Laporan!$A$1:$AZ$300,G249,1)</f>
        <v>Water Treatment</v>
      </c>
      <c r="J249" s="0" t="str">
        <f aca="false">INDEX(Laporan!$A$1:$AZ$300,G249,2)</f>
        <v>600 ml</v>
      </c>
      <c r="K249" s="0" t="str">
        <f aca="false">INDEX(Laporan!$A$1:$AZ$300,G249,3)</f>
        <v>Shift 2</v>
      </c>
      <c r="L249" s="0" t="n">
        <f aca="false">INDEX(Laporan!$A$1:$AZ$300,G249,4)</f>
        <v>1</v>
      </c>
      <c r="M249" s="1" t="n">
        <f aca="false">DATE(Pemetaan!$B$1,VALUE(RIGHT(INDEX(Laporan!$A$1:$AZ$300,F249+1,H249),2)),VALUE(LEFT(INDEX(Laporan!$A$1:$AZ$300,F249+1,H249),2)))</f>
        <v>46113</v>
      </c>
      <c r="N249" s="0" t="n">
        <f aca="false">INDEX(Laporan!$A$1:$AZ$300,G249,H249)</f>
        <v>3063</v>
      </c>
      <c r="O249" s="0" t="n">
        <f aca="false">IF(N249="","",IFERROR(VALUE(SUBSTITUTE(SUBSTITUTE(N249," btl",""),".","")),""))</f>
        <v>3063</v>
      </c>
      <c r="P249" s="0" t="str">
        <f aca="false">IF(B249="PRODUKSI","produced","reject")</f>
        <v>produced</v>
      </c>
    </row>
    <row r="250" customFormat="false" ht="15" hidden="false" customHeight="false" outlineLevel="0" collapsed="false">
      <c r="A250" s="0" t="n">
        <v>249</v>
      </c>
      <c r="B250" s="0" t="str">
        <f aca="false">IF(A250&lt;=36*25,"PRODUKSI","REJECT")</f>
        <v>PRODUKSI</v>
      </c>
      <c r="C250" s="0" t="n">
        <f aca="false">MOD(A250-1,Pemetaan!$B$3*Pemetaan!$B$4)</f>
        <v>248</v>
      </c>
      <c r="D250" s="0" t="n">
        <f aca="false">INT(C250/Pemetaan!$B$4)</f>
        <v>9</v>
      </c>
      <c r="E250" s="0" t="n">
        <f aca="false">MOD(C250,Pemetaan!$B$4)</f>
        <v>23</v>
      </c>
      <c r="F250" s="0" t="n">
        <f aca="false">IF(B250="PRODUKSI",Pemetaan!$B$5,Pemetaan!$B$6)</f>
        <v>5</v>
      </c>
      <c r="G250" s="0" t="n">
        <f aca="false">F250+2+D250</f>
        <v>16</v>
      </c>
      <c r="H250" s="0" t="n">
        <f aca="false">Pemetaan!$B$2+E250</f>
        <v>28</v>
      </c>
      <c r="I250" s="0" t="str">
        <f aca="false">INDEX(Laporan!$A$1:$AZ$300,G250,1)</f>
        <v>Water Treatment</v>
      </c>
      <c r="J250" s="0" t="str">
        <f aca="false">INDEX(Laporan!$A$1:$AZ$300,G250,2)</f>
        <v>600 ml</v>
      </c>
      <c r="K250" s="0" t="str">
        <f aca="false">INDEX(Laporan!$A$1:$AZ$300,G250,3)</f>
        <v>Shift 2</v>
      </c>
      <c r="L250" s="0" t="n">
        <f aca="false">INDEX(Laporan!$A$1:$AZ$300,G250,4)</f>
        <v>1</v>
      </c>
      <c r="M250" s="1" t="n">
        <f aca="false">DATE(Pemetaan!$B$1,VALUE(RIGHT(INDEX(Laporan!$A$1:$AZ$300,F250+1,H250),2)),VALUE(LEFT(INDEX(Laporan!$A$1:$AZ$300,F250+1,H250),2)))</f>
        <v>46114</v>
      </c>
      <c r="N250" s="0" t="n">
        <f aca="false">INDEX(Laporan!$A$1:$AZ$300,G250,H250)</f>
        <v>2775</v>
      </c>
      <c r="O250" s="0" t="n">
        <f aca="false">IF(N250="","",IFERROR(VALUE(SUBSTITUTE(SUBSTITUTE(N250," btl",""),".","")),""))</f>
        <v>2775</v>
      </c>
      <c r="P250" s="0" t="str">
        <f aca="false">IF(B250="PRODUKSI","produced","reject")</f>
        <v>produced</v>
      </c>
    </row>
    <row r="251" customFormat="false" ht="15" hidden="false" customHeight="false" outlineLevel="0" collapsed="false">
      <c r="A251" s="0" t="n">
        <v>250</v>
      </c>
      <c r="B251" s="0" t="str">
        <f aca="false">IF(A251&lt;=36*25,"PRODUKSI","REJECT")</f>
        <v>PRODUKSI</v>
      </c>
      <c r="C251" s="0" t="n">
        <f aca="false">MOD(A251-1,Pemetaan!$B$3*Pemetaan!$B$4)</f>
        <v>249</v>
      </c>
      <c r="D251" s="0" t="n">
        <f aca="false">INT(C251/Pemetaan!$B$4)</f>
        <v>9</v>
      </c>
      <c r="E251" s="0" t="n">
        <f aca="false">MOD(C251,Pemetaan!$B$4)</f>
        <v>24</v>
      </c>
      <c r="F251" s="0" t="n">
        <f aca="false">IF(B251="PRODUKSI",Pemetaan!$B$5,Pemetaan!$B$6)</f>
        <v>5</v>
      </c>
      <c r="G251" s="0" t="n">
        <f aca="false">F251+2+D251</f>
        <v>16</v>
      </c>
      <c r="H251" s="0" t="n">
        <f aca="false">Pemetaan!$B$2+E251</f>
        <v>29</v>
      </c>
      <c r="I251" s="0" t="str">
        <f aca="false">INDEX(Laporan!$A$1:$AZ$300,G251,1)</f>
        <v>Water Treatment</v>
      </c>
      <c r="J251" s="0" t="str">
        <f aca="false">INDEX(Laporan!$A$1:$AZ$300,G251,2)</f>
        <v>600 ml</v>
      </c>
      <c r="K251" s="0" t="str">
        <f aca="false">INDEX(Laporan!$A$1:$AZ$300,G251,3)</f>
        <v>Shift 2</v>
      </c>
      <c r="L251" s="0" t="n">
        <f aca="false">INDEX(Laporan!$A$1:$AZ$300,G251,4)</f>
        <v>1</v>
      </c>
      <c r="M251" s="1" t="n">
        <f aca="false">DATE(Pemetaan!$B$1,VALUE(RIGHT(INDEX(Laporan!$A$1:$AZ$300,F251+1,H251),2)),VALUE(LEFT(INDEX(Laporan!$A$1:$AZ$300,F251+1,H251),2)))</f>
        <v>46115</v>
      </c>
      <c r="N251" s="0" t="n">
        <f aca="false">INDEX(Laporan!$A$1:$AZ$300,G251,H251)</f>
        <v>2940</v>
      </c>
      <c r="O251" s="0" t="n">
        <f aca="false">IF(N251="","",IFERROR(VALUE(SUBSTITUTE(SUBSTITUTE(N251," btl",""),".","")),""))</f>
        <v>2940</v>
      </c>
      <c r="P251" s="0" t="str">
        <f aca="false">IF(B251="PRODUKSI","produced","reject")</f>
        <v>produced</v>
      </c>
    </row>
    <row r="252" customFormat="false" ht="15" hidden="false" customHeight="false" outlineLevel="0" collapsed="false">
      <c r="A252" s="0" t="n">
        <v>251</v>
      </c>
      <c r="B252" s="0" t="str">
        <f aca="false">IF(A252&lt;=36*25,"PRODUKSI","REJECT")</f>
        <v>PRODUKSI</v>
      </c>
      <c r="C252" s="0" t="n">
        <f aca="false">MOD(A252-1,Pemetaan!$B$3*Pemetaan!$B$4)</f>
        <v>250</v>
      </c>
      <c r="D252" s="0" t="n">
        <f aca="false">INT(C252/Pemetaan!$B$4)</f>
        <v>10</v>
      </c>
      <c r="E252" s="0" t="n">
        <f aca="false">MOD(C252,Pemetaan!$B$4)</f>
        <v>0</v>
      </c>
      <c r="F252" s="0" t="n">
        <f aca="false">IF(B252="PRODUKSI",Pemetaan!$B$5,Pemetaan!$B$6)</f>
        <v>5</v>
      </c>
      <c r="G252" s="0" t="n">
        <f aca="false">F252+2+D252</f>
        <v>17</v>
      </c>
      <c r="H252" s="0" t="n">
        <f aca="false">Pemetaan!$B$2+E252</f>
        <v>5</v>
      </c>
      <c r="I252" s="0" t="str">
        <f aca="false">INDEX(Laporan!$A$1:$AZ$300,G252,1)</f>
        <v>Water Treatment</v>
      </c>
      <c r="J252" s="0" t="str">
        <f aca="false">INDEX(Laporan!$A$1:$AZ$300,G252,2)</f>
        <v>600 ml</v>
      </c>
      <c r="K252" s="0" t="str">
        <f aca="false">INDEX(Laporan!$A$1:$AZ$300,G252,3)</f>
        <v>Shift 2</v>
      </c>
      <c r="L252" s="0" t="n">
        <f aca="false">INDEX(Laporan!$A$1:$AZ$300,G252,4)</f>
        <v>2</v>
      </c>
      <c r="M252" s="1" t="n">
        <f aca="false">DATE(Pemetaan!$B$1,VALUE(RIGHT(INDEX(Laporan!$A$1:$AZ$300,F252+1,H252),2)),VALUE(LEFT(INDEX(Laporan!$A$1:$AZ$300,F252+1,H252),2)))</f>
        <v>46083</v>
      </c>
      <c r="N252" s="0" t="n">
        <f aca="false">INDEX(Laporan!$A$1:$AZ$300,G252,H252)</f>
        <v>2886</v>
      </c>
      <c r="O252" s="0" t="n">
        <f aca="false">IF(N252="","",IFERROR(VALUE(SUBSTITUTE(SUBSTITUTE(N252," btl",""),".","")),""))</f>
        <v>2886</v>
      </c>
      <c r="P252" s="0" t="str">
        <f aca="false">IF(B252="PRODUKSI","produced","reject")</f>
        <v>produced</v>
      </c>
    </row>
    <row r="253" customFormat="false" ht="15" hidden="false" customHeight="false" outlineLevel="0" collapsed="false">
      <c r="A253" s="0" t="n">
        <v>252</v>
      </c>
      <c r="B253" s="0" t="str">
        <f aca="false">IF(A253&lt;=36*25,"PRODUKSI","REJECT")</f>
        <v>PRODUKSI</v>
      </c>
      <c r="C253" s="0" t="n">
        <f aca="false">MOD(A253-1,Pemetaan!$B$3*Pemetaan!$B$4)</f>
        <v>251</v>
      </c>
      <c r="D253" s="0" t="n">
        <f aca="false">INT(C253/Pemetaan!$B$4)</f>
        <v>10</v>
      </c>
      <c r="E253" s="0" t="n">
        <f aca="false">MOD(C253,Pemetaan!$B$4)</f>
        <v>1</v>
      </c>
      <c r="F253" s="0" t="n">
        <f aca="false">IF(B253="PRODUKSI",Pemetaan!$B$5,Pemetaan!$B$6)</f>
        <v>5</v>
      </c>
      <c r="G253" s="0" t="n">
        <f aca="false">F253+2+D253</f>
        <v>17</v>
      </c>
      <c r="H253" s="0" t="n">
        <f aca="false">Pemetaan!$B$2+E253</f>
        <v>6</v>
      </c>
      <c r="I253" s="0" t="str">
        <f aca="false">INDEX(Laporan!$A$1:$AZ$300,G253,1)</f>
        <v>Water Treatment</v>
      </c>
      <c r="J253" s="0" t="str">
        <f aca="false">INDEX(Laporan!$A$1:$AZ$300,G253,2)</f>
        <v>600 ml</v>
      </c>
      <c r="K253" s="0" t="str">
        <f aca="false">INDEX(Laporan!$A$1:$AZ$300,G253,3)</f>
        <v>Shift 2</v>
      </c>
      <c r="L253" s="0" t="n">
        <f aca="false">INDEX(Laporan!$A$1:$AZ$300,G253,4)</f>
        <v>2</v>
      </c>
      <c r="M253" s="1" t="n">
        <f aca="false">DATE(Pemetaan!$B$1,VALUE(RIGHT(INDEX(Laporan!$A$1:$AZ$300,F253+1,H253),2)),VALUE(LEFT(INDEX(Laporan!$A$1:$AZ$300,F253+1,H253),2)))</f>
        <v>46084</v>
      </c>
      <c r="N253" s="0" t="n">
        <f aca="false">INDEX(Laporan!$A$1:$AZ$300,G253,H253)</f>
        <v>3225</v>
      </c>
      <c r="O253" s="0" t="n">
        <f aca="false">IF(N253="","",IFERROR(VALUE(SUBSTITUTE(SUBSTITUTE(N253," btl",""),".","")),""))</f>
        <v>3225</v>
      </c>
      <c r="P253" s="0" t="str">
        <f aca="false">IF(B253="PRODUKSI","produced","reject")</f>
        <v>produced</v>
      </c>
    </row>
    <row r="254" customFormat="false" ht="15" hidden="false" customHeight="false" outlineLevel="0" collapsed="false">
      <c r="A254" s="0" t="n">
        <v>253</v>
      </c>
      <c r="B254" s="0" t="str">
        <f aca="false">IF(A254&lt;=36*25,"PRODUKSI","REJECT")</f>
        <v>PRODUKSI</v>
      </c>
      <c r="C254" s="0" t="n">
        <f aca="false">MOD(A254-1,Pemetaan!$B$3*Pemetaan!$B$4)</f>
        <v>252</v>
      </c>
      <c r="D254" s="0" t="n">
        <f aca="false">INT(C254/Pemetaan!$B$4)</f>
        <v>10</v>
      </c>
      <c r="E254" s="0" t="n">
        <f aca="false">MOD(C254,Pemetaan!$B$4)</f>
        <v>2</v>
      </c>
      <c r="F254" s="0" t="n">
        <f aca="false">IF(B254="PRODUKSI",Pemetaan!$B$5,Pemetaan!$B$6)</f>
        <v>5</v>
      </c>
      <c r="G254" s="0" t="n">
        <f aca="false">F254+2+D254</f>
        <v>17</v>
      </c>
      <c r="H254" s="0" t="n">
        <f aca="false">Pemetaan!$B$2+E254</f>
        <v>7</v>
      </c>
      <c r="I254" s="0" t="str">
        <f aca="false">INDEX(Laporan!$A$1:$AZ$300,G254,1)</f>
        <v>Water Treatment</v>
      </c>
      <c r="J254" s="0" t="str">
        <f aca="false">INDEX(Laporan!$A$1:$AZ$300,G254,2)</f>
        <v>600 ml</v>
      </c>
      <c r="K254" s="0" t="str">
        <f aca="false">INDEX(Laporan!$A$1:$AZ$300,G254,3)</f>
        <v>Shift 2</v>
      </c>
      <c r="L254" s="0" t="n">
        <f aca="false">INDEX(Laporan!$A$1:$AZ$300,G254,4)</f>
        <v>2</v>
      </c>
      <c r="M254" s="1" t="n">
        <f aca="false">DATE(Pemetaan!$B$1,VALUE(RIGHT(INDEX(Laporan!$A$1:$AZ$300,F254+1,H254),2)),VALUE(LEFT(INDEX(Laporan!$A$1:$AZ$300,F254+1,H254),2)))</f>
        <v>46085</v>
      </c>
      <c r="N254" s="0" t="n">
        <f aca="false">INDEX(Laporan!$A$1:$AZ$300,G254,H254)</f>
        <v>2913</v>
      </c>
      <c r="O254" s="0" t="n">
        <f aca="false">IF(N254="","",IFERROR(VALUE(SUBSTITUTE(SUBSTITUTE(N254," btl",""),".","")),""))</f>
        <v>2913</v>
      </c>
      <c r="P254" s="0" t="str">
        <f aca="false">IF(B254="PRODUKSI","produced","reject")</f>
        <v>produced</v>
      </c>
    </row>
    <row r="255" customFormat="false" ht="15" hidden="false" customHeight="false" outlineLevel="0" collapsed="false">
      <c r="A255" s="0" t="n">
        <v>254</v>
      </c>
      <c r="B255" s="0" t="str">
        <f aca="false">IF(A255&lt;=36*25,"PRODUKSI","REJECT")</f>
        <v>PRODUKSI</v>
      </c>
      <c r="C255" s="0" t="n">
        <f aca="false">MOD(A255-1,Pemetaan!$B$3*Pemetaan!$B$4)</f>
        <v>253</v>
      </c>
      <c r="D255" s="0" t="n">
        <f aca="false">INT(C255/Pemetaan!$B$4)</f>
        <v>10</v>
      </c>
      <c r="E255" s="0" t="n">
        <f aca="false">MOD(C255,Pemetaan!$B$4)</f>
        <v>3</v>
      </c>
      <c r="F255" s="0" t="n">
        <f aca="false">IF(B255="PRODUKSI",Pemetaan!$B$5,Pemetaan!$B$6)</f>
        <v>5</v>
      </c>
      <c r="G255" s="0" t="n">
        <f aca="false">F255+2+D255</f>
        <v>17</v>
      </c>
      <c r="H255" s="0" t="n">
        <f aca="false">Pemetaan!$B$2+E255</f>
        <v>8</v>
      </c>
      <c r="I255" s="0" t="str">
        <f aca="false">INDEX(Laporan!$A$1:$AZ$300,G255,1)</f>
        <v>Water Treatment</v>
      </c>
      <c r="J255" s="0" t="str">
        <f aca="false">INDEX(Laporan!$A$1:$AZ$300,G255,2)</f>
        <v>600 ml</v>
      </c>
      <c r="K255" s="0" t="str">
        <f aca="false">INDEX(Laporan!$A$1:$AZ$300,G255,3)</f>
        <v>Shift 2</v>
      </c>
      <c r="L255" s="0" t="n">
        <f aca="false">INDEX(Laporan!$A$1:$AZ$300,G255,4)</f>
        <v>2</v>
      </c>
      <c r="M255" s="1" t="n">
        <f aca="false">DATE(Pemetaan!$B$1,VALUE(RIGHT(INDEX(Laporan!$A$1:$AZ$300,F255+1,H255),2)),VALUE(LEFT(INDEX(Laporan!$A$1:$AZ$300,F255+1,H255),2)))</f>
        <v>46086</v>
      </c>
      <c r="N255" s="0" t="n">
        <f aca="false">INDEX(Laporan!$A$1:$AZ$300,G255,H255)</f>
        <v>2774</v>
      </c>
      <c r="O255" s="0" t="n">
        <f aca="false">IF(N255="","",IFERROR(VALUE(SUBSTITUTE(SUBSTITUTE(N255," btl",""),".","")),""))</f>
        <v>2774</v>
      </c>
      <c r="P255" s="0" t="str">
        <f aca="false">IF(B255="PRODUKSI","produced","reject")</f>
        <v>produced</v>
      </c>
    </row>
    <row r="256" customFormat="false" ht="15" hidden="false" customHeight="false" outlineLevel="0" collapsed="false">
      <c r="A256" s="0" t="n">
        <v>255</v>
      </c>
      <c r="B256" s="0" t="str">
        <f aca="false">IF(A256&lt;=36*25,"PRODUKSI","REJECT")</f>
        <v>PRODUKSI</v>
      </c>
      <c r="C256" s="0" t="n">
        <f aca="false">MOD(A256-1,Pemetaan!$B$3*Pemetaan!$B$4)</f>
        <v>254</v>
      </c>
      <c r="D256" s="0" t="n">
        <f aca="false">INT(C256/Pemetaan!$B$4)</f>
        <v>10</v>
      </c>
      <c r="E256" s="0" t="n">
        <f aca="false">MOD(C256,Pemetaan!$B$4)</f>
        <v>4</v>
      </c>
      <c r="F256" s="0" t="n">
        <f aca="false">IF(B256="PRODUKSI",Pemetaan!$B$5,Pemetaan!$B$6)</f>
        <v>5</v>
      </c>
      <c r="G256" s="0" t="n">
        <f aca="false">F256+2+D256</f>
        <v>17</v>
      </c>
      <c r="H256" s="0" t="n">
        <f aca="false">Pemetaan!$B$2+E256</f>
        <v>9</v>
      </c>
      <c r="I256" s="0" t="str">
        <f aca="false">INDEX(Laporan!$A$1:$AZ$300,G256,1)</f>
        <v>Water Treatment</v>
      </c>
      <c r="J256" s="0" t="str">
        <f aca="false">INDEX(Laporan!$A$1:$AZ$300,G256,2)</f>
        <v>600 ml</v>
      </c>
      <c r="K256" s="0" t="str">
        <f aca="false">INDEX(Laporan!$A$1:$AZ$300,G256,3)</f>
        <v>Shift 2</v>
      </c>
      <c r="L256" s="0" t="n">
        <f aca="false">INDEX(Laporan!$A$1:$AZ$300,G256,4)</f>
        <v>2</v>
      </c>
      <c r="M256" s="1" t="n">
        <f aca="false">DATE(Pemetaan!$B$1,VALUE(RIGHT(INDEX(Laporan!$A$1:$AZ$300,F256+1,H256),2)),VALUE(LEFT(INDEX(Laporan!$A$1:$AZ$300,F256+1,H256),2)))</f>
        <v>46087</v>
      </c>
      <c r="N256" s="0" t="n">
        <f aca="false">INDEX(Laporan!$A$1:$AZ$300,G256,H256)</f>
        <v>2765</v>
      </c>
      <c r="O256" s="0" t="n">
        <f aca="false">IF(N256="","",IFERROR(VALUE(SUBSTITUTE(SUBSTITUTE(N256," btl",""),".","")),""))</f>
        <v>2765</v>
      </c>
      <c r="P256" s="0" t="str">
        <f aca="false">IF(B256="PRODUKSI","produced","reject")</f>
        <v>produced</v>
      </c>
    </row>
    <row r="257" customFormat="false" ht="15" hidden="false" customHeight="false" outlineLevel="0" collapsed="false">
      <c r="A257" s="0" t="n">
        <v>256</v>
      </c>
      <c r="B257" s="0" t="str">
        <f aca="false">IF(A257&lt;=36*25,"PRODUKSI","REJECT")</f>
        <v>PRODUKSI</v>
      </c>
      <c r="C257" s="0" t="n">
        <f aca="false">MOD(A257-1,Pemetaan!$B$3*Pemetaan!$B$4)</f>
        <v>255</v>
      </c>
      <c r="D257" s="0" t="n">
        <f aca="false">INT(C257/Pemetaan!$B$4)</f>
        <v>10</v>
      </c>
      <c r="E257" s="0" t="n">
        <f aca="false">MOD(C257,Pemetaan!$B$4)</f>
        <v>5</v>
      </c>
      <c r="F257" s="0" t="n">
        <f aca="false">IF(B257="PRODUKSI",Pemetaan!$B$5,Pemetaan!$B$6)</f>
        <v>5</v>
      </c>
      <c r="G257" s="0" t="n">
        <f aca="false">F257+2+D257</f>
        <v>17</v>
      </c>
      <c r="H257" s="0" t="n">
        <f aca="false">Pemetaan!$B$2+E257</f>
        <v>10</v>
      </c>
      <c r="I257" s="0" t="str">
        <f aca="false">INDEX(Laporan!$A$1:$AZ$300,G257,1)</f>
        <v>Water Treatment</v>
      </c>
      <c r="J257" s="0" t="str">
        <f aca="false">INDEX(Laporan!$A$1:$AZ$300,G257,2)</f>
        <v>600 ml</v>
      </c>
      <c r="K257" s="0" t="str">
        <f aca="false">INDEX(Laporan!$A$1:$AZ$300,G257,3)</f>
        <v>Shift 2</v>
      </c>
      <c r="L257" s="0" t="n">
        <f aca="false">INDEX(Laporan!$A$1:$AZ$300,G257,4)</f>
        <v>2</v>
      </c>
      <c r="M257" s="1" t="n">
        <f aca="false">DATE(Pemetaan!$B$1,VALUE(RIGHT(INDEX(Laporan!$A$1:$AZ$300,F257+1,H257),2)),VALUE(LEFT(INDEX(Laporan!$A$1:$AZ$300,F257+1,H257),2)))</f>
        <v>46090</v>
      </c>
      <c r="N257" s="0" t="n">
        <f aca="false">INDEX(Laporan!$A$1:$AZ$300,G257,H257)</f>
        <v>2892</v>
      </c>
      <c r="O257" s="0" t="n">
        <f aca="false">IF(N257="","",IFERROR(VALUE(SUBSTITUTE(SUBSTITUTE(N257," btl",""),".","")),""))</f>
        <v>2892</v>
      </c>
      <c r="P257" s="0" t="str">
        <f aca="false">IF(B257="PRODUKSI","produced","reject")</f>
        <v>produced</v>
      </c>
    </row>
    <row r="258" customFormat="false" ht="15" hidden="false" customHeight="false" outlineLevel="0" collapsed="false">
      <c r="A258" s="0" t="n">
        <v>257</v>
      </c>
      <c r="B258" s="0" t="str">
        <f aca="false">IF(A258&lt;=36*25,"PRODUKSI","REJECT")</f>
        <v>PRODUKSI</v>
      </c>
      <c r="C258" s="0" t="n">
        <f aca="false">MOD(A258-1,Pemetaan!$B$3*Pemetaan!$B$4)</f>
        <v>256</v>
      </c>
      <c r="D258" s="0" t="n">
        <f aca="false">INT(C258/Pemetaan!$B$4)</f>
        <v>10</v>
      </c>
      <c r="E258" s="0" t="n">
        <f aca="false">MOD(C258,Pemetaan!$B$4)</f>
        <v>6</v>
      </c>
      <c r="F258" s="0" t="n">
        <f aca="false">IF(B258="PRODUKSI",Pemetaan!$B$5,Pemetaan!$B$6)</f>
        <v>5</v>
      </c>
      <c r="G258" s="0" t="n">
        <f aca="false">F258+2+D258</f>
        <v>17</v>
      </c>
      <c r="H258" s="0" t="n">
        <f aca="false">Pemetaan!$B$2+E258</f>
        <v>11</v>
      </c>
      <c r="I258" s="0" t="str">
        <f aca="false">INDEX(Laporan!$A$1:$AZ$300,G258,1)</f>
        <v>Water Treatment</v>
      </c>
      <c r="J258" s="0" t="str">
        <f aca="false">INDEX(Laporan!$A$1:$AZ$300,G258,2)</f>
        <v>600 ml</v>
      </c>
      <c r="K258" s="0" t="str">
        <f aca="false">INDEX(Laporan!$A$1:$AZ$300,G258,3)</f>
        <v>Shift 2</v>
      </c>
      <c r="L258" s="0" t="n">
        <f aca="false">INDEX(Laporan!$A$1:$AZ$300,G258,4)</f>
        <v>2</v>
      </c>
      <c r="M258" s="1" t="n">
        <f aca="false">DATE(Pemetaan!$B$1,VALUE(RIGHT(INDEX(Laporan!$A$1:$AZ$300,F258+1,H258),2)),VALUE(LEFT(INDEX(Laporan!$A$1:$AZ$300,F258+1,H258),2)))</f>
        <v>46091</v>
      </c>
      <c r="N258" s="0" t="n">
        <f aca="false">INDEX(Laporan!$A$1:$AZ$300,G258,H258)</f>
        <v>3144</v>
      </c>
      <c r="O258" s="0" t="n">
        <f aca="false">IF(N258="","",IFERROR(VALUE(SUBSTITUTE(SUBSTITUTE(N258," btl",""),".","")),""))</f>
        <v>3144</v>
      </c>
      <c r="P258" s="0" t="str">
        <f aca="false">IF(B258="PRODUKSI","produced","reject")</f>
        <v>produced</v>
      </c>
    </row>
    <row r="259" customFormat="false" ht="15" hidden="false" customHeight="false" outlineLevel="0" collapsed="false">
      <c r="A259" s="0" t="n">
        <v>258</v>
      </c>
      <c r="B259" s="0" t="str">
        <f aca="false">IF(A259&lt;=36*25,"PRODUKSI","REJECT")</f>
        <v>PRODUKSI</v>
      </c>
      <c r="C259" s="0" t="n">
        <f aca="false">MOD(A259-1,Pemetaan!$B$3*Pemetaan!$B$4)</f>
        <v>257</v>
      </c>
      <c r="D259" s="0" t="n">
        <f aca="false">INT(C259/Pemetaan!$B$4)</f>
        <v>10</v>
      </c>
      <c r="E259" s="0" t="n">
        <f aca="false">MOD(C259,Pemetaan!$B$4)</f>
        <v>7</v>
      </c>
      <c r="F259" s="0" t="n">
        <f aca="false">IF(B259="PRODUKSI",Pemetaan!$B$5,Pemetaan!$B$6)</f>
        <v>5</v>
      </c>
      <c r="G259" s="0" t="n">
        <f aca="false">F259+2+D259</f>
        <v>17</v>
      </c>
      <c r="H259" s="0" t="n">
        <f aca="false">Pemetaan!$B$2+E259</f>
        <v>12</v>
      </c>
      <c r="I259" s="0" t="str">
        <f aca="false">INDEX(Laporan!$A$1:$AZ$300,G259,1)</f>
        <v>Water Treatment</v>
      </c>
      <c r="J259" s="0" t="str">
        <f aca="false">INDEX(Laporan!$A$1:$AZ$300,G259,2)</f>
        <v>600 ml</v>
      </c>
      <c r="K259" s="0" t="str">
        <f aca="false">INDEX(Laporan!$A$1:$AZ$300,G259,3)</f>
        <v>Shift 2</v>
      </c>
      <c r="L259" s="0" t="n">
        <f aca="false">INDEX(Laporan!$A$1:$AZ$300,G259,4)</f>
        <v>2</v>
      </c>
      <c r="M259" s="1" t="n">
        <f aca="false">DATE(Pemetaan!$B$1,VALUE(RIGHT(INDEX(Laporan!$A$1:$AZ$300,F259+1,H259),2)),VALUE(LEFT(INDEX(Laporan!$A$1:$AZ$300,F259+1,H259),2)))</f>
        <v>46092</v>
      </c>
      <c r="N259" s="0" t="n">
        <f aca="false">INDEX(Laporan!$A$1:$AZ$300,G259,H259)</f>
        <v>2880</v>
      </c>
      <c r="O259" s="0" t="n">
        <f aca="false">IF(N259="","",IFERROR(VALUE(SUBSTITUTE(SUBSTITUTE(N259," btl",""),".","")),""))</f>
        <v>2880</v>
      </c>
      <c r="P259" s="0" t="str">
        <f aca="false">IF(B259="PRODUKSI","produced","reject")</f>
        <v>produced</v>
      </c>
    </row>
    <row r="260" customFormat="false" ht="15" hidden="false" customHeight="false" outlineLevel="0" collapsed="false">
      <c r="A260" s="0" t="n">
        <v>259</v>
      </c>
      <c r="B260" s="0" t="str">
        <f aca="false">IF(A260&lt;=36*25,"PRODUKSI","REJECT")</f>
        <v>PRODUKSI</v>
      </c>
      <c r="C260" s="0" t="n">
        <f aca="false">MOD(A260-1,Pemetaan!$B$3*Pemetaan!$B$4)</f>
        <v>258</v>
      </c>
      <c r="D260" s="0" t="n">
        <f aca="false">INT(C260/Pemetaan!$B$4)</f>
        <v>10</v>
      </c>
      <c r="E260" s="0" t="n">
        <f aca="false">MOD(C260,Pemetaan!$B$4)</f>
        <v>8</v>
      </c>
      <c r="F260" s="0" t="n">
        <f aca="false">IF(B260="PRODUKSI",Pemetaan!$B$5,Pemetaan!$B$6)</f>
        <v>5</v>
      </c>
      <c r="G260" s="0" t="n">
        <f aca="false">F260+2+D260</f>
        <v>17</v>
      </c>
      <c r="H260" s="0" t="n">
        <f aca="false">Pemetaan!$B$2+E260</f>
        <v>13</v>
      </c>
      <c r="I260" s="0" t="str">
        <f aca="false">INDEX(Laporan!$A$1:$AZ$300,G260,1)</f>
        <v>Water Treatment</v>
      </c>
      <c r="J260" s="0" t="str">
        <f aca="false">INDEX(Laporan!$A$1:$AZ$300,G260,2)</f>
        <v>600 ml</v>
      </c>
      <c r="K260" s="0" t="str">
        <f aca="false">INDEX(Laporan!$A$1:$AZ$300,G260,3)</f>
        <v>Shift 2</v>
      </c>
      <c r="L260" s="0" t="n">
        <f aca="false">INDEX(Laporan!$A$1:$AZ$300,G260,4)</f>
        <v>2</v>
      </c>
      <c r="M260" s="1" t="n">
        <f aca="false">DATE(Pemetaan!$B$1,VALUE(RIGHT(INDEX(Laporan!$A$1:$AZ$300,F260+1,H260),2)),VALUE(LEFT(INDEX(Laporan!$A$1:$AZ$300,F260+1,H260),2)))</f>
        <v>46093</v>
      </c>
      <c r="N260" s="0" t="n">
        <f aca="false">INDEX(Laporan!$A$1:$AZ$300,G260,H260)</f>
        <v>3122</v>
      </c>
      <c r="O260" s="0" t="n">
        <f aca="false">IF(N260="","",IFERROR(VALUE(SUBSTITUTE(SUBSTITUTE(N260," btl",""),".","")),""))</f>
        <v>3122</v>
      </c>
      <c r="P260" s="0" t="str">
        <f aca="false">IF(B260="PRODUKSI","produced","reject")</f>
        <v>produced</v>
      </c>
    </row>
    <row r="261" customFormat="false" ht="15" hidden="false" customHeight="false" outlineLevel="0" collapsed="false">
      <c r="A261" s="0" t="n">
        <v>260</v>
      </c>
      <c r="B261" s="0" t="str">
        <f aca="false">IF(A261&lt;=36*25,"PRODUKSI","REJECT")</f>
        <v>PRODUKSI</v>
      </c>
      <c r="C261" s="0" t="n">
        <f aca="false">MOD(A261-1,Pemetaan!$B$3*Pemetaan!$B$4)</f>
        <v>259</v>
      </c>
      <c r="D261" s="0" t="n">
        <f aca="false">INT(C261/Pemetaan!$B$4)</f>
        <v>10</v>
      </c>
      <c r="E261" s="0" t="n">
        <f aca="false">MOD(C261,Pemetaan!$B$4)</f>
        <v>9</v>
      </c>
      <c r="F261" s="0" t="n">
        <f aca="false">IF(B261="PRODUKSI",Pemetaan!$B$5,Pemetaan!$B$6)</f>
        <v>5</v>
      </c>
      <c r="G261" s="0" t="n">
        <f aca="false">F261+2+D261</f>
        <v>17</v>
      </c>
      <c r="H261" s="0" t="n">
        <f aca="false">Pemetaan!$B$2+E261</f>
        <v>14</v>
      </c>
      <c r="I261" s="0" t="str">
        <f aca="false">INDEX(Laporan!$A$1:$AZ$300,G261,1)</f>
        <v>Water Treatment</v>
      </c>
      <c r="J261" s="0" t="str">
        <f aca="false">INDEX(Laporan!$A$1:$AZ$300,G261,2)</f>
        <v>600 ml</v>
      </c>
      <c r="K261" s="0" t="str">
        <f aca="false">INDEX(Laporan!$A$1:$AZ$300,G261,3)</f>
        <v>Shift 2</v>
      </c>
      <c r="L261" s="0" t="n">
        <f aca="false">INDEX(Laporan!$A$1:$AZ$300,G261,4)</f>
        <v>2</v>
      </c>
      <c r="M261" s="1" t="n">
        <f aca="false">DATE(Pemetaan!$B$1,VALUE(RIGHT(INDEX(Laporan!$A$1:$AZ$300,F261+1,H261),2)),VALUE(LEFT(INDEX(Laporan!$A$1:$AZ$300,F261+1,H261),2)))</f>
        <v>46094</v>
      </c>
      <c r="N261" s="0" t="n">
        <f aca="false">INDEX(Laporan!$A$1:$AZ$300,G261,H261)</f>
        <v>3228</v>
      </c>
      <c r="O261" s="0" t="n">
        <f aca="false">IF(N261="","",IFERROR(VALUE(SUBSTITUTE(SUBSTITUTE(N261," btl",""),".","")),""))</f>
        <v>3228</v>
      </c>
      <c r="P261" s="0" t="str">
        <f aca="false">IF(B261="PRODUKSI","produced","reject")</f>
        <v>produced</v>
      </c>
    </row>
    <row r="262" customFormat="false" ht="15" hidden="false" customHeight="false" outlineLevel="0" collapsed="false">
      <c r="A262" s="0" t="n">
        <v>261</v>
      </c>
      <c r="B262" s="0" t="str">
        <f aca="false">IF(A262&lt;=36*25,"PRODUKSI","REJECT")</f>
        <v>PRODUKSI</v>
      </c>
      <c r="C262" s="0" t="n">
        <f aca="false">MOD(A262-1,Pemetaan!$B$3*Pemetaan!$B$4)</f>
        <v>260</v>
      </c>
      <c r="D262" s="0" t="n">
        <f aca="false">INT(C262/Pemetaan!$B$4)</f>
        <v>10</v>
      </c>
      <c r="E262" s="0" t="n">
        <f aca="false">MOD(C262,Pemetaan!$B$4)</f>
        <v>10</v>
      </c>
      <c r="F262" s="0" t="n">
        <f aca="false">IF(B262="PRODUKSI",Pemetaan!$B$5,Pemetaan!$B$6)</f>
        <v>5</v>
      </c>
      <c r="G262" s="0" t="n">
        <f aca="false">F262+2+D262</f>
        <v>17</v>
      </c>
      <c r="H262" s="0" t="n">
        <f aca="false">Pemetaan!$B$2+E262</f>
        <v>15</v>
      </c>
      <c r="I262" s="0" t="str">
        <f aca="false">INDEX(Laporan!$A$1:$AZ$300,G262,1)</f>
        <v>Water Treatment</v>
      </c>
      <c r="J262" s="0" t="str">
        <f aca="false">INDEX(Laporan!$A$1:$AZ$300,G262,2)</f>
        <v>600 ml</v>
      </c>
      <c r="K262" s="0" t="str">
        <f aca="false">INDEX(Laporan!$A$1:$AZ$300,G262,3)</f>
        <v>Shift 2</v>
      </c>
      <c r="L262" s="0" t="n">
        <f aca="false">INDEX(Laporan!$A$1:$AZ$300,G262,4)</f>
        <v>2</v>
      </c>
      <c r="M262" s="1" t="n">
        <f aca="false">DATE(Pemetaan!$B$1,VALUE(RIGHT(INDEX(Laporan!$A$1:$AZ$300,F262+1,H262),2)),VALUE(LEFT(INDEX(Laporan!$A$1:$AZ$300,F262+1,H262),2)))</f>
        <v>46097</v>
      </c>
      <c r="N262" s="0" t="n">
        <f aca="false">INDEX(Laporan!$A$1:$AZ$300,G262,H262)</f>
        <v>2378</v>
      </c>
      <c r="O262" s="0" t="n">
        <f aca="false">IF(N262="","",IFERROR(VALUE(SUBSTITUTE(SUBSTITUTE(N262," btl",""),".","")),""))</f>
        <v>2378</v>
      </c>
      <c r="P262" s="0" t="str">
        <f aca="false">IF(B262="PRODUKSI","produced","reject")</f>
        <v>produced</v>
      </c>
    </row>
    <row r="263" customFormat="false" ht="15" hidden="false" customHeight="false" outlineLevel="0" collapsed="false">
      <c r="A263" s="0" t="n">
        <v>262</v>
      </c>
      <c r="B263" s="0" t="str">
        <f aca="false">IF(A263&lt;=36*25,"PRODUKSI","REJECT")</f>
        <v>PRODUKSI</v>
      </c>
      <c r="C263" s="0" t="n">
        <f aca="false">MOD(A263-1,Pemetaan!$B$3*Pemetaan!$B$4)</f>
        <v>261</v>
      </c>
      <c r="D263" s="0" t="n">
        <f aca="false">INT(C263/Pemetaan!$B$4)</f>
        <v>10</v>
      </c>
      <c r="E263" s="0" t="n">
        <f aca="false">MOD(C263,Pemetaan!$B$4)</f>
        <v>11</v>
      </c>
      <c r="F263" s="0" t="n">
        <f aca="false">IF(B263="PRODUKSI",Pemetaan!$B$5,Pemetaan!$B$6)</f>
        <v>5</v>
      </c>
      <c r="G263" s="0" t="n">
        <f aca="false">F263+2+D263</f>
        <v>17</v>
      </c>
      <c r="H263" s="0" t="n">
        <f aca="false">Pemetaan!$B$2+E263</f>
        <v>16</v>
      </c>
      <c r="I263" s="0" t="str">
        <f aca="false">INDEX(Laporan!$A$1:$AZ$300,G263,1)</f>
        <v>Water Treatment</v>
      </c>
      <c r="J263" s="0" t="str">
        <f aca="false">INDEX(Laporan!$A$1:$AZ$300,G263,2)</f>
        <v>600 ml</v>
      </c>
      <c r="K263" s="0" t="str">
        <f aca="false">INDEX(Laporan!$A$1:$AZ$300,G263,3)</f>
        <v>Shift 2</v>
      </c>
      <c r="L263" s="0" t="n">
        <f aca="false">INDEX(Laporan!$A$1:$AZ$300,G263,4)</f>
        <v>2</v>
      </c>
      <c r="M263" s="1" t="n">
        <f aca="false">DATE(Pemetaan!$B$1,VALUE(RIGHT(INDEX(Laporan!$A$1:$AZ$300,F263+1,H263),2)),VALUE(LEFT(INDEX(Laporan!$A$1:$AZ$300,F263+1,H263),2)))</f>
        <v>46098</v>
      </c>
      <c r="N263" s="0" t="n">
        <f aca="false">INDEX(Laporan!$A$1:$AZ$300,G263,H263)</f>
        <v>2579</v>
      </c>
      <c r="O263" s="0" t="n">
        <f aca="false">IF(N263="","",IFERROR(VALUE(SUBSTITUTE(SUBSTITUTE(N263," btl",""),".","")),""))</f>
        <v>2579</v>
      </c>
      <c r="P263" s="0" t="str">
        <f aca="false">IF(B263="PRODUKSI","produced","reject")</f>
        <v>produced</v>
      </c>
    </row>
    <row r="264" customFormat="false" ht="15" hidden="false" customHeight="false" outlineLevel="0" collapsed="false">
      <c r="A264" s="0" t="n">
        <v>263</v>
      </c>
      <c r="B264" s="0" t="str">
        <f aca="false">IF(A264&lt;=36*25,"PRODUKSI","REJECT")</f>
        <v>PRODUKSI</v>
      </c>
      <c r="C264" s="0" t="n">
        <f aca="false">MOD(A264-1,Pemetaan!$B$3*Pemetaan!$B$4)</f>
        <v>262</v>
      </c>
      <c r="D264" s="0" t="n">
        <f aca="false">INT(C264/Pemetaan!$B$4)</f>
        <v>10</v>
      </c>
      <c r="E264" s="0" t="n">
        <f aca="false">MOD(C264,Pemetaan!$B$4)</f>
        <v>12</v>
      </c>
      <c r="F264" s="0" t="n">
        <f aca="false">IF(B264="PRODUKSI",Pemetaan!$B$5,Pemetaan!$B$6)</f>
        <v>5</v>
      </c>
      <c r="G264" s="0" t="n">
        <f aca="false">F264+2+D264</f>
        <v>17</v>
      </c>
      <c r="H264" s="0" t="n">
        <f aca="false">Pemetaan!$B$2+E264</f>
        <v>17</v>
      </c>
      <c r="I264" s="0" t="str">
        <f aca="false">INDEX(Laporan!$A$1:$AZ$300,G264,1)</f>
        <v>Water Treatment</v>
      </c>
      <c r="J264" s="0" t="str">
        <f aca="false">INDEX(Laporan!$A$1:$AZ$300,G264,2)</f>
        <v>600 ml</v>
      </c>
      <c r="K264" s="0" t="str">
        <f aca="false">INDEX(Laporan!$A$1:$AZ$300,G264,3)</f>
        <v>Shift 2</v>
      </c>
      <c r="L264" s="0" t="n">
        <f aca="false">INDEX(Laporan!$A$1:$AZ$300,G264,4)</f>
        <v>2</v>
      </c>
      <c r="M264" s="1" t="n">
        <f aca="false">DATE(Pemetaan!$B$1,VALUE(RIGHT(INDEX(Laporan!$A$1:$AZ$300,F264+1,H264),2)),VALUE(LEFT(INDEX(Laporan!$A$1:$AZ$300,F264+1,H264),2)))</f>
        <v>46099</v>
      </c>
      <c r="N264" s="0" t="n">
        <f aca="false">INDEX(Laporan!$A$1:$AZ$300,G264,H264)</f>
        <v>2662</v>
      </c>
      <c r="O264" s="0" t="n">
        <f aca="false">IF(N264="","",IFERROR(VALUE(SUBSTITUTE(SUBSTITUTE(N264," btl",""),".","")),""))</f>
        <v>2662</v>
      </c>
      <c r="P264" s="0" t="str">
        <f aca="false">IF(B264="PRODUKSI","produced","reject")</f>
        <v>produced</v>
      </c>
    </row>
    <row r="265" customFormat="false" ht="15" hidden="false" customHeight="false" outlineLevel="0" collapsed="false">
      <c r="A265" s="0" t="n">
        <v>264</v>
      </c>
      <c r="B265" s="0" t="str">
        <f aca="false">IF(A265&lt;=36*25,"PRODUKSI","REJECT")</f>
        <v>PRODUKSI</v>
      </c>
      <c r="C265" s="0" t="n">
        <f aca="false">MOD(A265-1,Pemetaan!$B$3*Pemetaan!$B$4)</f>
        <v>263</v>
      </c>
      <c r="D265" s="0" t="n">
        <f aca="false">INT(C265/Pemetaan!$B$4)</f>
        <v>10</v>
      </c>
      <c r="E265" s="0" t="n">
        <f aca="false">MOD(C265,Pemetaan!$B$4)</f>
        <v>13</v>
      </c>
      <c r="F265" s="0" t="n">
        <f aca="false">IF(B265="PRODUKSI",Pemetaan!$B$5,Pemetaan!$B$6)</f>
        <v>5</v>
      </c>
      <c r="G265" s="0" t="n">
        <f aca="false">F265+2+D265</f>
        <v>17</v>
      </c>
      <c r="H265" s="0" t="n">
        <f aca="false">Pemetaan!$B$2+E265</f>
        <v>18</v>
      </c>
      <c r="I265" s="0" t="str">
        <f aca="false">INDEX(Laporan!$A$1:$AZ$300,G265,1)</f>
        <v>Water Treatment</v>
      </c>
      <c r="J265" s="0" t="str">
        <f aca="false">INDEX(Laporan!$A$1:$AZ$300,G265,2)</f>
        <v>600 ml</v>
      </c>
      <c r="K265" s="0" t="str">
        <f aca="false">INDEX(Laporan!$A$1:$AZ$300,G265,3)</f>
        <v>Shift 2</v>
      </c>
      <c r="L265" s="0" t="n">
        <f aca="false">INDEX(Laporan!$A$1:$AZ$300,G265,4)</f>
        <v>2</v>
      </c>
      <c r="M265" s="1" t="n">
        <f aca="false">DATE(Pemetaan!$B$1,VALUE(RIGHT(INDEX(Laporan!$A$1:$AZ$300,F265+1,H265),2)),VALUE(LEFT(INDEX(Laporan!$A$1:$AZ$300,F265+1,H265),2)))</f>
        <v>46100</v>
      </c>
      <c r="N265" s="0" t="n">
        <f aca="false">INDEX(Laporan!$A$1:$AZ$300,G265,H265)</f>
        <v>3246</v>
      </c>
      <c r="O265" s="0" t="n">
        <f aca="false">IF(N265="","",IFERROR(VALUE(SUBSTITUTE(SUBSTITUTE(N265," btl",""),".","")),""))</f>
        <v>3246</v>
      </c>
      <c r="P265" s="0" t="str">
        <f aca="false">IF(B265="PRODUKSI","produced","reject")</f>
        <v>produced</v>
      </c>
    </row>
    <row r="266" customFormat="false" ht="15" hidden="false" customHeight="false" outlineLevel="0" collapsed="false">
      <c r="A266" s="0" t="n">
        <v>265</v>
      </c>
      <c r="B266" s="0" t="str">
        <f aca="false">IF(A266&lt;=36*25,"PRODUKSI","REJECT")</f>
        <v>PRODUKSI</v>
      </c>
      <c r="C266" s="0" t="n">
        <f aca="false">MOD(A266-1,Pemetaan!$B$3*Pemetaan!$B$4)</f>
        <v>264</v>
      </c>
      <c r="D266" s="0" t="n">
        <f aca="false">INT(C266/Pemetaan!$B$4)</f>
        <v>10</v>
      </c>
      <c r="E266" s="0" t="n">
        <f aca="false">MOD(C266,Pemetaan!$B$4)</f>
        <v>14</v>
      </c>
      <c r="F266" s="0" t="n">
        <f aca="false">IF(B266="PRODUKSI",Pemetaan!$B$5,Pemetaan!$B$6)</f>
        <v>5</v>
      </c>
      <c r="G266" s="0" t="n">
        <f aca="false">F266+2+D266</f>
        <v>17</v>
      </c>
      <c r="H266" s="0" t="n">
        <f aca="false">Pemetaan!$B$2+E266</f>
        <v>19</v>
      </c>
      <c r="I266" s="0" t="str">
        <f aca="false">INDEX(Laporan!$A$1:$AZ$300,G266,1)</f>
        <v>Water Treatment</v>
      </c>
      <c r="J266" s="0" t="str">
        <f aca="false">INDEX(Laporan!$A$1:$AZ$300,G266,2)</f>
        <v>600 ml</v>
      </c>
      <c r="K266" s="0" t="str">
        <f aca="false">INDEX(Laporan!$A$1:$AZ$300,G266,3)</f>
        <v>Shift 2</v>
      </c>
      <c r="L266" s="0" t="n">
        <f aca="false">INDEX(Laporan!$A$1:$AZ$300,G266,4)</f>
        <v>2</v>
      </c>
      <c r="M266" s="1" t="n">
        <f aca="false">DATE(Pemetaan!$B$1,VALUE(RIGHT(INDEX(Laporan!$A$1:$AZ$300,F266+1,H266),2)),VALUE(LEFT(INDEX(Laporan!$A$1:$AZ$300,F266+1,H266),2)))</f>
        <v>46101</v>
      </c>
      <c r="N266" s="0" t="n">
        <f aca="false">INDEX(Laporan!$A$1:$AZ$300,G266,H266)</f>
        <v>2763</v>
      </c>
      <c r="O266" s="0" t="n">
        <f aca="false">IF(N266="","",IFERROR(VALUE(SUBSTITUTE(SUBSTITUTE(N266," btl",""),".","")),""))</f>
        <v>2763</v>
      </c>
      <c r="P266" s="0" t="str">
        <f aca="false">IF(B266="PRODUKSI","produced","reject")</f>
        <v>produced</v>
      </c>
    </row>
    <row r="267" customFormat="false" ht="15" hidden="false" customHeight="false" outlineLevel="0" collapsed="false">
      <c r="A267" s="0" t="n">
        <v>266</v>
      </c>
      <c r="B267" s="0" t="str">
        <f aca="false">IF(A267&lt;=36*25,"PRODUKSI","REJECT")</f>
        <v>PRODUKSI</v>
      </c>
      <c r="C267" s="0" t="n">
        <f aca="false">MOD(A267-1,Pemetaan!$B$3*Pemetaan!$B$4)</f>
        <v>265</v>
      </c>
      <c r="D267" s="0" t="n">
        <f aca="false">INT(C267/Pemetaan!$B$4)</f>
        <v>10</v>
      </c>
      <c r="E267" s="0" t="n">
        <f aca="false">MOD(C267,Pemetaan!$B$4)</f>
        <v>15</v>
      </c>
      <c r="F267" s="0" t="n">
        <f aca="false">IF(B267="PRODUKSI",Pemetaan!$B$5,Pemetaan!$B$6)</f>
        <v>5</v>
      </c>
      <c r="G267" s="0" t="n">
        <f aca="false">F267+2+D267</f>
        <v>17</v>
      </c>
      <c r="H267" s="0" t="n">
        <f aca="false">Pemetaan!$B$2+E267</f>
        <v>20</v>
      </c>
      <c r="I267" s="0" t="str">
        <f aca="false">INDEX(Laporan!$A$1:$AZ$300,G267,1)</f>
        <v>Water Treatment</v>
      </c>
      <c r="J267" s="0" t="str">
        <f aca="false">INDEX(Laporan!$A$1:$AZ$300,G267,2)</f>
        <v>600 ml</v>
      </c>
      <c r="K267" s="0" t="str">
        <f aca="false">INDEX(Laporan!$A$1:$AZ$300,G267,3)</f>
        <v>Shift 2</v>
      </c>
      <c r="L267" s="0" t="n">
        <f aca="false">INDEX(Laporan!$A$1:$AZ$300,G267,4)</f>
        <v>2</v>
      </c>
      <c r="M267" s="1" t="n">
        <f aca="false">DATE(Pemetaan!$B$1,VALUE(RIGHT(INDEX(Laporan!$A$1:$AZ$300,F267+1,H267),2)),VALUE(LEFT(INDEX(Laporan!$A$1:$AZ$300,F267+1,H267),2)))</f>
        <v>46104</v>
      </c>
      <c r="N267" s="0" t="n">
        <f aca="false">INDEX(Laporan!$A$1:$AZ$300,G267,H267)</f>
        <v>2748</v>
      </c>
      <c r="O267" s="0" t="n">
        <f aca="false">IF(N267="","",IFERROR(VALUE(SUBSTITUTE(SUBSTITUTE(N267," btl",""),".","")),""))</f>
        <v>2748</v>
      </c>
      <c r="P267" s="0" t="str">
        <f aca="false">IF(B267="PRODUKSI","produced","reject")</f>
        <v>produced</v>
      </c>
    </row>
    <row r="268" customFormat="false" ht="15" hidden="false" customHeight="false" outlineLevel="0" collapsed="false">
      <c r="A268" s="0" t="n">
        <v>267</v>
      </c>
      <c r="B268" s="0" t="str">
        <f aca="false">IF(A268&lt;=36*25,"PRODUKSI","REJECT")</f>
        <v>PRODUKSI</v>
      </c>
      <c r="C268" s="0" t="n">
        <f aca="false">MOD(A268-1,Pemetaan!$B$3*Pemetaan!$B$4)</f>
        <v>266</v>
      </c>
      <c r="D268" s="0" t="n">
        <f aca="false">INT(C268/Pemetaan!$B$4)</f>
        <v>10</v>
      </c>
      <c r="E268" s="0" t="n">
        <f aca="false">MOD(C268,Pemetaan!$B$4)</f>
        <v>16</v>
      </c>
      <c r="F268" s="0" t="n">
        <f aca="false">IF(B268="PRODUKSI",Pemetaan!$B$5,Pemetaan!$B$6)</f>
        <v>5</v>
      </c>
      <c r="G268" s="0" t="n">
        <f aca="false">F268+2+D268</f>
        <v>17</v>
      </c>
      <c r="H268" s="0" t="n">
        <f aca="false">Pemetaan!$B$2+E268</f>
        <v>21</v>
      </c>
      <c r="I268" s="0" t="str">
        <f aca="false">INDEX(Laporan!$A$1:$AZ$300,G268,1)</f>
        <v>Water Treatment</v>
      </c>
      <c r="J268" s="0" t="str">
        <f aca="false">INDEX(Laporan!$A$1:$AZ$300,G268,2)</f>
        <v>600 ml</v>
      </c>
      <c r="K268" s="0" t="str">
        <f aca="false">INDEX(Laporan!$A$1:$AZ$300,G268,3)</f>
        <v>Shift 2</v>
      </c>
      <c r="L268" s="0" t="n">
        <f aca="false">INDEX(Laporan!$A$1:$AZ$300,G268,4)</f>
        <v>2</v>
      </c>
      <c r="M268" s="1" t="n">
        <f aca="false">DATE(Pemetaan!$B$1,VALUE(RIGHT(INDEX(Laporan!$A$1:$AZ$300,F268+1,H268),2)),VALUE(LEFT(INDEX(Laporan!$A$1:$AZ$300,F268+1,H268),2)))</f>
        <v>46105</v>
      </c>
      <c r="N268" s="0" t="n">
        <f aca="false">INDEX(Laporan!$A$1:$AZ$300,G268,H268)</f>
        <v>3058</v>
      </c>
      <c r="O268" s="0" t="n">
        <f aca="false">IF(N268="","",IFERROR(VALUE(SUBSTITUTE(SUBSTITUTE(N268," btl",""),".","")),""))</f>
        <v>3058</v>
      </c>
      <c r="P268" s="0" t="str">
        <f aca="false">IF(B268="PRODUKSI","produced","reject")</f>
        <v>produced</v>
      </c>
    </row>
    <row r="269" customFormat="false" ht="15" hidden="false" customHeight="false" outlineLevel="0" collapsed="false">
      <c r="A269" s="0" t="n">
        <v>268</v>
      </c>
      <c r="B269" s="0" t="str">
        <f aca="false">IF(A269&lt;=36*25,"PRODUKSI","REJECT")</f>
        <v>PRODUKSI</v>
      </c>
      <c r="C269" s="0" t="n">
        <f aca="false">MOD(A269-1,Pemetaan!$B$3*Pemetaan!$B$4)</f>
        <v>267</v>
      </c>
      <c r="D269" s="0" t="n">
        <f aca="false">INT(C269/Pemetaan!$B$4)</f>
        <v>10</v>
      </c>
      <c r="E269" s="0" t="n">
        <f aca="false">MOD(C269,Pemetaan!$B$4)</f>
        <v>17</v>
      </c>
      <c r="F269" s="0" t="n">
        <f aca="false">IF(B269="PRODUKSI",Pemetaan!$B$5,Pemetaan!$B$6)</f>
        <v>5</v>
      </c>
      <c r="G269" s="0" t="n">
        <f aca="false">F269+2+D269</f>
        <v>17</v>
      </c>
      <c r="H269" s="0" t="n">
        <f aca="false">Pemetaan!$B$2+E269</f>
        <v>22</v>
      </c>
      <c r="I269" s="0" t="str">
        <f aca="false">INDEX(Laporan!$A$1:$AZ$300,G269,1)</f>
        <v>Water Treatment</v>
      </c>
      <c r="J269" s="0" t="str">
        <f aca="false">INDEX(Laporan!$A$1:$AZ$300,G269,2)</f>
        <v>600 ml</v>
      </c>
      <c r="K269" s="0" t="str">
        <f aca="false">INDEX(Laporan!$A$1:$AZ$300,G269,3)</f>
        <v>Shift 2</v>
      </c>
      <c r="L269" s="0" t="n">
        <f aca="false">INDEX(Laporan!$A$1:$AZ$300,G269,4)</f>
        <v>2</v>
      </c>
      <c r="M269" s="1" t="n">
        <f aca="false">DATE(Pemetaan!$B$1,VALUE(RIGHT(INDEX(Laporan!$A$1:$AZ$300,F269+1,H269),2)),VALUE(LEFT(INDEX(Laporan!$A$1:$AZ$300,F269+1,H269),2)))</f>
        <v>46106</v>
      </c>
      <c r="N269" s="0" t="n">
        <f aca="false">INDEX(Laporan!$A$1:$AZ$300,G269,H269)</f>
        <v>2847</v>
      </c>
      <c r="O269" s="0" t="n">
        <f aca="false">IF(N269="","",IFERROR(VALUE(SUBSTITUTE(SUBSTITUTE(N269," btl",""),".","")),""))</f>
        <v>2847</v>
      </c>
      <c r="P269" s="0" t="str">
        <f aca="false">IF(B269="PRODUKSI","produced","reject")</f>
        <v>produced</v>
      </c>
    </row>
    <row r="270" customFormat="false" ht="15" hidden="false" customHeight="false" outlineLevel="0" collapsed="false">
      <c r="A270" s="0" t="n">
        <v>269</v>
      </c>
      <c r="B270" s="0" t="str">
        <f aca="false">IF(A270&lt;=36*25,"PRODUKSI","REJECT")</f>
        <v>PRODUKSI</v>
      </c>
      <c r="C270" s="0" t="n">
        <f aca="false">MOD(A270-1,Pemetaan!$B$3*Pemetaan!$B$4)</f>
        <v>268</v>
      </c>
      <c r="D270" s="0" t="n">
        <f aca="false">INT(C270/Pemetaan!$B$4)</f>
        <v>10</v>
      </c>
      <c r="E270" s="0" t="n">
        <f aca="false">MOD(C270,Pemetaan!$B$4)</f>
        <v>18</v>
      </c>
      <c r="F270" s="0" t="n">
        <f aca="false">IF(B270="PRODUKSI",Pemetaan!$B$5,Pemetaan!$B$6)</f>
        <v>5</v>
      </c>
      <c r="G270" s="0" t="n">
        <f aca="false">F270+2+D270</f>
        <v>17</v>
      </c>
      <c r="H270" s="0" t="n">
        <f aca="false">Pemetaan!$B$2+E270</f>
        <v>23</v>
      </c>
      <c r="I270" s="0" t="str">
        <f aca="false">INDEX(Laporan!$A$1:$AZ$300,G270,1)</f>
        <v>Water Treatment</v>
      </c>
      <c r="J270" s="0" t="str">
        <f aca="false">INDEX(Laporan!$A$1:$AZ$300,G270,2)</f>
        <v>600 ml</v>
      </c>
      <c r="K270" s="0" t="str">
        <f aca="false">INDEX(Laporan!$A$1:$AZ$300,G270,3)</f>
        <v>Shift 2</v>
      </c>
      <c r="L270" s="0" t="n">
        <f aca="false">INDEX(Laporan!$A$1:$AZ$300,G270,4)</f>
        <v>2</v>
      </c>
      <c r="M270" s="1" t="n">
        <f aca="false">DATE(Pemetaan!$B$1,VALUE(RIGHT(INDEX(Laporan!$A$1:$AZ$300,F270+1,H270),2)),VALUE(LEFT(INDEX(Laporan!$A$1:$AZ$300,F270+1,H270),2)))</f>
        <v>46107</v>
      </c>
      <c r="N270" s="0" t="n">
        <f aca="false">INDEX(Laporan!$A$1:$AZ$300,G270,H270)</f>
        <v>2677</v>
      </c>
      <c r="O270" s="0" t="n">
        <f aca="false">IF(N270="","",IFERROR(VALUE(SUBSTITUTE(SUBSTITUTE(N270," btl",""),".","")),""))</f>
        <v>2677</v>
      </c>
      <c r="P270" s="0" t="str">
        <f aca="false">IF(B270="PRODUKSI","produced","reject")</f>
        <v>produced</v>
      </c>
    </row>
    <row r="271" customFormat="false" ht="15" hidden="false" customHeight="false" outlineLevel="0" collapsed="false">
      <c r="A271" s="0" t="n">
        <v>270</v>
      </c>
      <c r="B271" s="0" t="str">
        <f aca="false">IF(A271&lt;=36*25,"PRODUKSI","REJECT")</f>
        <v>PRODUKSI</v>
      </c>
      <c r="C271" s="0" t="n">
        <f aca="false">MOD(A271-1,Pemetaan!$B$3*Pemetaan!$B$4)</f>
        <v>269</v>
      </c>
      <c r="D271" s="0" t="n">
        <f aca="false">INT(C271/Pemetaan!$B$4)</f>
        <v>10</v>
      </c>
      <c r="E271" s="0" t="n">
        <f aca="false">MOD(C271,Pemetaan!$B$4)</f>
        <v>19</v>
      </c>
      <c r="F271" s="0" t="n">
        <f aca="false">IF(B271="PRODUKSI",Pemetaan!$B$5,Pemetaan!$B$6)</f>
        <v>5</v>
      </c>
      <c r="G271" s="0" t="n">
        <f aca="false">F271+2+D271</f>
        <v>17</v>
      </c>
      <c r="H271" s="0" t="n">
        <f aca="false">Pemetaan!$B$2+E271</f>
        <v>24</v>
      </c>
      <c r="I271" s="0" t="str">
        <f aca="false">INDEX(Laporan!$A$1:$AZ$300,G271,1)</f>
        <v>Water Treatment</v>
      </c>
      <c r="J271" s="0" t="str">
        <f aca="false">INDEX(Laporan!$A$1:$AZ$300,G271,2)</f>
        <v>600 ml</v>
      </c>
      <c r="K271" s="0" t="str">
        <f aca="false">INDEX(Laporan!$A$1:$AZ$300,G271,3)</f>
        <v>Shift 2</v>
      </c>
      <c r="L271" s="0" t="n">
        <f aca="false">INDEX(Laporan!$A$1:$AZ$300,G271,4)</f>
        <v>2</v>
      </c>
      <c r="M271" s="1" t="n">
        <f aca="false">DATE(Pemetaan!$B$1,VALUE(RIGHT(INDEX(Laporan!$A$1:$AZ$300,F271+1,H271),2)),VALUE(LEFT(INDEX(Laporan!$A$1:$AZ$300,F271+1,H271),2)))</f>
        <v>46108</v>
      </c>
      <c r="N271" s="0" t="n">
        <f aca="false">INDEX(Laporan!$A$1:$AZ$300,G271,H271)</f>
        <v>2899</v>
      </c>
      <c r="O271" s="0" t="n">
        <f aca="false">IF(N271="","",IFERROR(VALUE(SUBSTITUTE(SUBSTITUTE(N271," btl",""),".","")),""))</f>
        <v>2899</v>
      </c>
      <c r="P271" s="0" t="str">
        <f aca="false">IF(B271="PRODUKSI","produced","reject")</f>
        <v>produced</v>
      </c>
    </row>
    <row r="272" customFormat="false" ht="15" hidden="false" customHeight="false" outlineLevel="0" collapsed="false">
      <c r="A272" s="0" t="n">
        <v>271</v>
      </c>
      <c r="B272" s="0" t="str">
        <f aca="false">IF(A272&lt;=36*25,"PRODUKSI","REJECT")</f>
        <v>PRODUKSI</v>
      </c>
      <c r="C272" s="0" t="n">
        <f aca="false">MOD(A272-1,Pemetaan!$B$3*Pemetaan!$B$4)</f>
        <v>270</v>
      </c>
      <c r="D272" s="0" t="n">
        <f aca="false">INT(C272/Pemetaan!$B$4)</f>
        <v>10</v>
      </c>
      <c r="E272" s="0" t="n">
        <f aca="false">MOD(C272,Pemetaan!$B$4)</f>
        <v>20</v>
      </c>
      <c r="F272" s="0" t="n">
        <f aca="false">IF(B272="PRODUKSI",Pemetaan!$B$5,Pemetaan!$B$6)</f>
        <v>5</v>
      </c>
      <c r="G272" s="0" t="n">
        <f aca="false">F272+2+D272</f>
        <v>17</v>
      </c>
      <c r="H272" s="0" t="n">
        <f aca="false">Pemetaan!$B$2+E272</f>
        <v>25</v>
      </c>
      <c r="I272" s="0" t="str">
        <f aca="false">INDEX(Laporan!$A$1:$AZ$300,G272,1)</f>
        <v>Water Treatment</v>
      </c>
      <c r="J272" s="0" t="str">
        <f aca="false">INDEX(Laporan!$A$1:$AZ$300,G272,2)</f>
        <v>600 ml</v>
      </c>
      <c r="K272" s="0" t="str">
        <f aca="false">INDEX(Laporan!$A$1:$AZ$300,G272,3)</f>
        <v>Shift 2</v>
      </c>
      <c r="L272" s="0" t="n">
        <f aca="false">INDEX(Laporan!$A$1:$AZ$300,G272,4)</f>
        <v>2</v>
      </c>
      <c r="M272" s="1" t="n">
        <f aca="false">DATE(Pemetaan!$B$1,VALUE(RIGHT(INDEX(Laporan!$A$1:$AZ$300,F272+1,H272),2)),VALUE(LEFT(INDEX(Laporan!$A$1:$AZ$300,F272+1,H272),2)))</f>
        <v>46111</v>
      </c>
      <c r="N272" s="0" t="n">
        <f aca="false">INDEX(Laporan!$A$1:$AZ$300,G272,H272)</f>
        <v>3021</v>
      </c>
      <c r="O272" s="0" t="n">
        <f aca="false">IF(N272="","",IFERROR(VALUE(SUBSTITUTE(SUBSTITUTE(N272," btl",""),".","")),""))</f>
        <v>3021</v>
      </c>
      <c r="P272" s="0" t="str">
        <f aca="false">IF(B272="PRODUKSI","produced","reject")</f>
        <v>produced</v>
      </c>
    </row>
    <row r="273" customFormat="false" ht="15" hidden="false" customHeight="false" outlineLevel="0" collapsed="false">
      <c r="A273" s="0" t="n">
        <v>272</v>
      </c>
      <c r="B273" s="0" t="str">
        <f aca="false">IF(A273&lt;=36*25,"PRODUKSI","REJECT")</f>
        <v>PRODUKSI</v>
      </c>
      <c r="C273" s="0" t="n">
        <f aca="false">MOD(A273-1,Pemetaan!$B$3*Pemetaan!$B$4)</f>
        <v>271</v>
      </c>
      <c r="D273" s="0" t="n">
        <f aca="false">INT(C273/Pemetaan!$B$4)</f>
        <v>10</v>
      </c>
      <c r="E273" s="0" t="n">
        <f aca="false">MOD(C273,Pemetaan!$B$4)</f>
        <v>21</v>
      </c>
      <c r="F273" s="0" t="n">
        <f aca="false">IF(B273="PRODUKSI",Pemetaan!$B$5,Pemetaan!$B$6)</f>
        <v>5</v>
      </c>
      <c r="G273" s="0" t="n">
        <f aca="false">F273+2+D273</f>
        <v>17</v>
      </c>
      <c r="H273" s="0" t="n">
        <f aca="false">Pemetaan!$B$2+E273</f>
        <v>26</v>
      </c>
      <c r="I273" s="0" t="str">
        <f aca="false">INDEX(Laporan!$A$1:$AZ$300,G273,1)</f>
        <v>Water Treatment</v>
      </c>
      <c r="J273" s="0" t="str">
        <f aca="false">INDEX(Laporan!$A$1:$AZ$300,G273,2)</f>
        <v>600 ml</v>
      </c>
      <c r="K273" s="0" t="str">
        <f aca="false">INDEX(Laporan!$A$1:$AZ$300,G273,3)</f>
        <v>Shift 2</v>
      </c>
      <c r="L273" s="0" t="n">
        <f aca="false">INDEX(Laporan!$A$1:$AZ$300,G273,4)</f>
        <v>2</v>
      </c>
      <c r="M273" s="1" t="n">
        <f aca="false">DATE(Pemetaan!$B$1,VALUE(RIGHT(INDEX(Laporan!$A$1:$AZ$300,F273+1,H273),2)),VALUE(LEFT(INDEX(Laporan!$A$1:$AZ$300,F273+1,H273),2)))</f>
        <v>46112</v>
      </c>
      <c r="N273" s="0" t="n">
        <f aca="false">INDEX(Laporan!$A$1:$AZ$300,G273,H273)</f>
        <v>3010</v>
      </c>
      <c r="O273" s="0" t="n">
        <f aca="false">IF(N273="","",IFERROR(VALUE(SUBSTITUTE(SUBSTITUTE(N273," btl",""),".","")),""))</f>
        <v>3010</v>
      </c>
      <c r="P273" s="0" t="str">
        <f aca="false">IF(B273="PRODUKSI","produced","reject")</f>
        <v>produced</v>
      </c>
    </row>
    <row r="274" customFormat="false" ht="15" hidden="false" customHeight="false" outlineLevel="0" collapsed="false">
      <c r="A274" s="0" t="n">
        <v>273</v>
      </c>
      <c r="B274" s="0" t="str">
        <f aca="false">IF(A274&lt;=36*25,"PRODUKSI","REJECT")</f>
        <v>PRODUKSI</v>
      </c>
      <c r="C274" s="0" t="n">
        <f aca="false">MOD(A274-1,Pemetaan!$B$3*Pemetaan!$B$4)</f>
        <v>272</v>
      </c>
      <c r="D274" s="0" t="n">
        <f aca="false">INT(C274/Pemetaan!$B$4)</f>
        <v>10</v>
      </c>
      <c r="E274" s="0" t="n">
        <f aca="false">MOD(C274,Pemetaan!$B$4)</f>
        <v>22</v>
      </c>
      <c r="F274" s="0" t="n">
        <f aca="false">IF(B274="PRODUKSI",Pemetaan!$B$5,Pemetaan!$B$6)</f>
        <v>5</v>
      </c>
      <c r="G274" s="0" t="n">
        <f aca="false">F274+2+D274</f>
        <v>17</v>
      </c>
      <c r="H274" s="0" t="n">
        <f aca="false">Pemetaan!$B$2+E274</f>
        <v>27</v>
      </c>
      <c r="I274" s="0" t="str">
        <f aca="false">INDEX(Laporan!$A$1:$AZ$300,G274,1)</f>
        <v>Water Treatment</v>
      </c>
      <c r="J274" s="0" t="str">
        <f aca="false">INDEX(Laporan!$A$1:$AZ$300,G274,2)</f>
        <v>600 ml</v>
      </c>
      <c r="K274" s="0" t="str">
        <f aca="false">INDEX(Laporan!$A$1:$AZ$300,G274,3)</f>
        <v>Shift 2</v>
      </c>
      <c r="L274" s="0" t="n">
        <f aca="false">INDEX(Laporan!$A$1:$AZ$300,G274,4)</f>
        <v>2</v>
      </c>
      <c r="M274" s="1" t="n">
        <f aca="false">DATE(Pemetaan!$B$1,VALUE(RIGHT(INDEX(Laporan!$A$1:$AZ$300,F274+1,H274),2)),VALUE(LEFT(INDEX(Laporan!$A$1:$AZ$300,F274+1,H274),2)))</f>
        <v>46113</v>
      </c>
      <c r="N274" s="0" t="n">
        <f aca="false">INDEX(Laporan!$A$1:$AZ$300,G274,H274)</f>
        <v>2824</v>
      </c>
      <c r="O274" s="0" t="n">
        <f aca="false">IF(N274="","",IFERROR(VALUE(SUBSTITUTE(SUBSTITUTE(N274," btl",""),".","")),""))</f>
        <v>2824</v>
      </c>
      <c r="P274" s="0" t="str">
        <f aca="false">IF(B274="PRODUKSI","produced","reject")</f>
        <v>produced</v>
      </c>
    </row>
    <row r="275" customFormat="false" ht="15" hidden="false" customHeight="false" outlineLevel="0" collapsed="false">
      <c r="A275" s="0" t="n">
        <v>274</v>
      </c>
      <c r="B275" s="0" t="str">
        <f aca="false">IF(A275&lt;=36*25,"PRODUKSI","REJECT")</f>
        <v>PRODUKSI</v>
      </c>
      <c r="C275" s="0" t="n">
        <f aca="false">MOD(A275-1,Pemetaan!$B$3*Pemetaan!$B$4)</f>
        <v>273</v>
      </c>
      <c r="D275" s="0" t="n">
        <f aca="false">INT(C275/Pemetaan!$B$4)</f>
        <v>10</v>
      </c>
      <c r="E275" s="0" t="n">
        <f aca="false">MOD(C275,Pemetaan!$B$4)</f>
        <v>23</v>
      </c>
      <c r="F275" s="0" t="n">
        <f aca="false">IF(B275="PRODUKSI",Pemetaan!$B$5,Pemetaan!$B$6)</f>
        <v>5</v>
      </c>
      <c r="G275" s="0" t="n">
        <f aca="false">F275+2+D275</f>
        <v>17</v>
      </c>
      <c r="H275" s="0" t="n">
        <f aca="false">Pemetaan!$B$2+E275</f>
        <v>28</v>
      </c>
      <c r="I275" s="0" t="str">
        <f aca="false">INDEX(Laporan!$A$1:$AZ$300,G275,1)</f>
        <v>Water Treatment</v>
      </c>
      <c r="J275" s="0" t="str">
        <f aca="false">INDEX(Laporan!$A$1:$AZ$300,G275,2)</f>
        <v>600 ml</v>
      </c>
      <c r="K275" s="0" t="str">
        <f aca="false">INDEX(Laporan!$A$1:$AZ$300,G275,3)</f>
        <v>Shift 2</v>
      </c>
      <c r="L275" s="0" t="n">
        <f aca="false">INDEX(Laporan!$A$1:$AZ$300,G275,4)</f>
        <v>2</v>
      </c>
      <c r="M275" s="1" t="n">
        <f aca="false">DATE(Pemetaan!$B$1,VALUE(RIGHT(INDEX(Laporan!$A$1:$AZ$300,F275+1,H275),2)),VALUE(LEFT(INDEX(Laporan!$A$1:$AZ$300,F275+1,H275),2)))</f>
        <v>46114</v>
      </c>
      <c r="N275" s="0" t="n">
        <f aca="false">INDEX(Laporan!$A$1:$AZ$300,G275,H275)</f>
        <v>2627</v>
      </c>
      <c r="O275" s="0" t="n">
        <f aca="false">IF(N275="","",IFERROR(VALUE(SUBSTITUTE(SUBSTITUTE(N275," btl",""),".","")),""))</f>
        <v>2627</v>
      </c>
      <c r="P275" s="0" t="str">
        <f aca="false">IF(B275="PRODUKSI","produced","reject")</f>
        <v>produced</v>
      </c>
    </row>
    <row r="276" customFormat="false" ht="15" hidden="false" customHeight="false" outlineLevel="0" collapsed="false">
      <c r="A276" s="0" t="n">
        <v>275</v>
      </c>
      <c r="B276" s="0" t="str">
        <f aca="false">IF(A276&lt;=36*25,"PRODUKSI","REJECT")</f>
        <v>PRODUKSI</v>
      </c>
      <c r="C276" s="0" t="n">
        <f aca="false">MOD(A276-1,Pemetaan!$B$3*Pemetaan!$B$4)</f>
        <v>274</v>
      </c>
      <c r="D276" s="0" t="n">
        <f aca="false">INT(C276/Pemetaan!$B$4)</f>
        <v>10</v>
      </c>
      <c r="E276" s="0" t="n">
        <f aca="false">MOD(C276,Pemetaan!$B$4)</f>
        <v>24</v>
      </c>
      <c r="F276" s="0" t="n">
        <f aca="false">IF(B276="PRODUKSI",Pemetaan!$B$5,Pemetaan!$B$6)</f>
        <v>5</v>
      </c>
      <c r="G276" s="0" t="n">
        <f aca="false">F276+2+D276</f>
        <v>17</v>
      </c>
      <c r="H276" s="0" t="n">
        <f aca="false">Pemetaan!$B$2+E276</f>
        <v>29</v>
      </c>
      <c r="I276" s="0" t="str">
        <f aca="false">INDEX(Laporan!$A$1:$AZ$300,G276,1)</f>
        <v>Water Treatment</v>
      </c>
      <c r="J276" s="0" t="str">
        <f aca="false">INDEX(Laporan!$A$1:$AZ$300,G276,2)</f>
        <v>600 ml</v>
      </c>
      <c r="K276" s="0" t="str">
        <f aca="false">INDEX(Laporan!$A$1:$AZ$300,G276,3)</f>
        <v>Shift 2</v>
      </c>
      <c r="L276" s="0" t="n">
        <f aca="false">INDEX(Laporan!$A$1:$AZ$300,G276,4)</f>
        <v>2</v>
      </c>
      <c r="M276" s="1" t="n">
        <f aca="false">DATE(Pemetaan!$B$1,VALUE(RIGHT(INDEX(Laporan!$A$1:$AZ$300,F276+1,H276),2)),VALUE(LEFT(INDEX(Laporan!$A$1:$AZ$300,F276+1,H276),2)))</f>
        <v>46115</v>
      </c>
      <c r="N276" s="0" t="n">
        <f aca="false">INDEX(Laporan!$A$1:$AZ$300,G276,H276)</f>
        <v>2619</v>
      </c>
      <c r="O276" s="0" t="n">
        <f aca="false">IF(N276="","",IFERROR(VALUE(SUBSTITUTE(SUBSTITUTE(N276," btl",""),".","")),""))</f>
        <v>2619</v>
      </c>
      <c r="P276" s="0" t="str">
        <f aca="false">IF(B276="PRODUKSI","produced","reject")</f>
        <v>produced</v>
      </c>
    </row>
    <row r="277" customFormat="false" ht="15" hidden="false" customHeight="false" outlineLevel="0" collapsed="false">
      <c r="A277" s="0" t="n">
        <v>276</v>
      </c>
      <c r="B277" s="0" t="str">
        <f aca="false">IF(A277&lt;=36*25,"PRODUKSI","REJECT")</f>
        <v>PRODUKSI</v>
      </c>
      <c r="C277" s="0" t="n">
        <f aca="false">MOD(A277-1,Pemetaan!$B$3*Pemetaan!$B$4)</f>
        <v>275</v>
      </c>
      <c r="D277" s="0" t="n">
        <f aca="false">INT(C277/Pemetaan!$B$4)</f>
        <v>11</v>
      </c>
      <c r="E277" s="0" t="n">
        <f aca="false">MOD(C277,Pemetaan!$B$4)</f>
        <v>0</v>
      </c>
      <c r="F277" s="0" t="n">
        <f aca="false">IF(B277="PRODUKSI",Pemetaan!$B$5,Pemetaan!$B$6)</f>
        <v>5</v>
      </c>
      <c r="G277" s="0" t="n">
        <f aca="false">F277+2+D277</f>
        <v>18</v>
      </c>
      <c r="H277" s="0" t="n">
        <f aca="false">Pemetaan!$B$2+E277</f>
        <v>5</v>
      </c>
      <c r="I277" s="0" t="str">
        <f aca="false">INDEX(Laporan!$A$1:$AZ$300,G277,1)</f>
        <v>Water Treatment</v>
      </c>
      <c r="J277" s="0" t="str">
        <f aca="false">INDEX(Laporan!$A$1:$AZ$300,G277,2)</f>
        <v>600 ml</v>
      </c>
      <c r="K277" s="0" t="str">
        <f aca="false">INDEX(Laporan!$A$1:$AZ$300,G277,3)</f>
        <v>Shift 2</v>
      </c>
      <c r="L277" s="0" t="n">
        <f aca="false">INDEX(Laporan!$A$1:$AZ$300,G277,4)</f>
        <v>3</v>
      </c>
      <c r="M277" s="1" t="n">
        <f aca="false">DATE(Pemetaan!$B$1,VALUE(RIGHT(INDEX(Laporan!$A$1:$AZ$300,F277+1,H277),2)),VALUE(LEFT(INDEX(Laporan!$A$1:$AZ$300,F277+1,H277),2)))</f>
        <v>46083</v>
      </c>
      <c r="N277" s="0" t="n">
        <f aca="false">INDEX(Laporan!$A$1:$AZ$300,G277,H277)</f>
        <v>3095</v>
      </c>
      <c r="O277" s="0" t="n">
        <f aca="false">IF(N277="","",IFERROR(VALUE(SUBSTITUTE(SUBSTITUTE(N277," btl",""),".","")),""))</f>
        <v>3095</v>
      </c>
      <c r="P277" s="0" t="str">
        <f aca="false">IF(B277="PRODUKSI","produced","reject")</f>
        <v>produced</v>
      </c>
    </row>
    <row r="278" customFormat="false" ht="15" hidden="false" customHeight="false" outlineLevel="0" collapsed="false">
      <c r="A278" s="0" t="n">
        <v>277</v>
      </c>
      <c r="B278" s="0" t="str">
        <f aca="false">IF(A278&lt;=36*25,"PRODUKSI","REJECT")</f>
        <v>PRODUKSI</v>
      </c>
      <c r="C278" s="0" t="n">
        <f aca="false">MOD(A278-1,Pemetaan!$B$3*Pemetaan!$B$4)</f>
        <v>276</v>
      </c>
      <c r="D278" s="0" t="n">
        <f aca="false">INT(C278/Pemetaan!$B$4)</f>
        <v>11</v>
      </c>
      <c r="E278" s="0" t="n">
        <f aca="false">MOD(C278,Pemetaan!$B$4)</f>
        <v>1</v>
      </c>
      <c r="F278" s="0" t="n">
        <f aca="false">IF(B278="PRODUKSI",Pemetaan!$B$5,Pemetaan!$B$6)</f>
        <v>5</v>
      </c>
      <c r="G278" s="0" t="n">
        <f aca="false">F278+2+D278</f>
        <v>18</v>
      </c>
      <c r="H278" s="0" t="n">
        <f aca="false">Pemetaan!$B$2+E278</f>
        <v>6</v>
      </c>
      <c r="I278" s="0" t="str">
        <f aca="false">INDEX(Laporan!$A$1:$AZ$300,G278,1)</f>
        <v>Water Treatment</v>
      </c>
      <c r="J278" s="0" t="str">
        <f aca="false">INDEX(Laporan!$A$1:$AZ$300,G278,2)</f>
        <v>600 ml</v>
      </c>
      <c r="K278" s="0" t="str">
        <f aca="false">INDEX(Laporan!$A$1:$AZ$300,G278,3)</f>
        <v>Shift 2</v>
      </c>
      <c r="L278" s="0" t="n">
        <f aca="false">INDEX(Laporan!$A$1:$AZ$300,G278,4)</f>
        <v>3</v>
      </c>
      <c r="M278" s="1" t="n">
        <f aca="false">DATE(Pemetaan!$B$1,VALUE(RIGHT(INDEX(Laporan!$A$1:$AZ$300,F278+1,H278),2)),VALUE(LEFT(INDEX(Laporan!$A$1:$AZ$300,F278+1,H278),2)))</f>
        <v>46084</v>
      </c>
      <c r="N278" s="0" t="n">
        <f aca="false">INDEX(Laporan!$A$1:$AZ$300,G278,H278)</f>
        <v>2803</v>
      </c>
      <c r="O278" s="0" t="n">
        <f aca="false">IF(N278="","",IFERROR(VALUE(SUBSTITUTE(SUBSTITUTE(N278," btl",""),".","")),""))</f>
        <v>2803</v>
      </c>
      <c r="P278" s="0" t="str">
        <f aca="false">IF(B278="PRODUKSI","produced","reject")</f>
        <v>produced</v>
      </c>
    </row>
    <row r="279" customFormat="false" ht="15" hidden="false" customHeight="false" outlineLevel="0" collapsed="false">
      <c r="A279" s="0" t="n">
        <v>278</v>
      </c>
      <c r="B279" s="0" t="str">
        <f aca="false">IF(A279&lt;=36*25,"PRODUKSI","REJECT")</f>
        <v>PRODUKSI</v>
      </c>
      <c r="C279" s="0" t="n">
        <f aca="false">MOD(A279-1,Pemetaan!$B$3*Pemetaan!$B$4)</f>
        <v>277</v>
      </c>
      <c r="D279" s="0" t="n">
        <f aca="false">INT(C279/Pemetaan!$B$4)</f>
        <v>11</v>
      </c>
      <c r="E279" s="0" t="n">
        <f aca="false">MOD(C279,Pemetaan!$B$4)</f>
        <v>2</v>
      </c>
      <c r="F279" s="0" t="n">
        <f aca="false">IF(B279="PRODUKSI",Pemetaan!$B$5,Pemetaan!$B$6)</f>
        <v>5</v>
      </c>
      <c r="G279" s="0" t="n">
        <f aca="false">F279+2+D279</f>
        <v>18</v>
      </c>
      <c r="H279" s="0" t="n">
        <f aca="false">Pemetaan!$B$2+E279</f>
        <v>7</v>
      </c>
      <c r="I279" s="0" t="str">
        <f aca="false">INDEX(Laporan!$A$1:$AZ$300,G279,1)</f>
        <v>Water Treatment</v>
      </c>
      <c r="J279" s="0" t="str">
        <f aca="false">INDEX(Laporan!$A$1:$AZ$300,G279,2)</f>
        <v>600 ml</v>
      </c>
      <c r="K279" s="0" t="str">
        <f aca="false">INDEX(Laporan!$A$1:$AZ$300,G279,3)</f>
        <v>Shift 2</v>
      </c>
      <c r="L279" s="0" t="n">
        <f aca="false">INDEX(Laporan!$A$1:$AZ$300,G279,4)</f>
        <v>3</v>
      </c>
      <c r="M279" s="1" t="n">
        <f aca="false">DATE(Pemetaan!$B$1,VALUE(RIGHT(INDEX(Laporan!$A$1:$AZ$300,F279+1,H279),2)),VALUE(LEFT(INDEX(Laporan!$A$1:$AZ$300,F279+1,H279),2)))</f>
        <v>46085</v>
      </c>
      <c r="N279" s="0" t="n">
        <f aca="false">INDEX(Laporan!$A$1:$AZ$300,G279,H279)</f>
        <v>2949</v>
      </c>
      <c r="O279" s="0" t="n">
        <f aca="false">IF(N279="","",IFERROR(VALUE(SUBSTITUTE(SUBSTITUTE(N279," btl",""),".","")),""))</f>
        <v>2949</v>
      </c>
      <c r="P279" s="0" t="str">
        <f aca="false">IF(B279="PRODUKSI","produced","reject")</f>
        <v>produced</v>
      </c>
    </row>
    <row r="280" customFormat="false" ht="15" hidden="false" customHeight="false" outlineLevel="0" collapsed="false">
      <c r="A280" s="0" t="n">
        <v>279</v>
      </c>
      <c r="B280" s="0" t="str">
        <f aca="false">IF(A280&lt;=36*25,"PRODUKSI","REJECT")</f>
        <v>PRODUKSI</v>
      </c>
      <c r="C280" s="0" t="n">
        <f aca="false">MOD(A280-1,Pemetaan!$B$3*Pemetaan!$B$4)</f>
        <v>278</v>
      </c>
      <c r="D280" s="0" t="n">
        <f aca="false">INT(C280/Pemetaan!$B$4)</f>
        <v>11</v>
      </c>
      <c r="E280" s="0" t="n">
        <f aca="false">MOD(C280,Pemetaan!$B$4)</f>
        <v>3</v>
      </c>
      <c r="F280" s="0" t="n">
        <f aca="false">IF(B280="PRODUKSI",Pemetaan!$B$5,Pemetaan!$B$6)</f>
        <v>5</v>
      </c>
      <c r="G280" s="0" t="n">
        <f aca="false">F280+2+D280</f>
        <v>18</v>
      </c>
      <c r="H280" s="0" t="n">
        <f aca="false">Pemetaan!$B$2+E280</f>
        <v>8</v>
      </c>
      <c r="I280" s="0" t="str">
        <f aca="false">INDEX(Laporan!$A$1:$AZ$300,G280,1)</f>
        <v>Water Treatment</v>
      </c>
      <c r="J280" s="0" t="str">
        <f aca="false">INDEX(Laporan!$A$1:$AZ$300,G280,2)</f>
        <v>600 ml</v>
      </c>
      <c r="K280" s="0" t="str">
        <f aca="false">INDEX(Laporan!$A$1:$AZ$300,G280,3)</f>
        <v>Shift 2</v>
      </c>
      <c r="L280" s="0" t="n">
        <f aca="false">INDEX(Laporan!$A$1:$AZ$300,G280,4)</f>
        <v>3</v>
      </c>
      <c r="M280" s="1" t="n">
        <f aca="false">DATE(Pemetaan!$B$1,VALUE(RIGHT(INDEX(Laporan!$A$1:$AZ$300,F280+1,H280),2)),VALUE(LEFT(INDEX(Laporan!$A$1:$AZ$300,F280+1,H280),2)))</f>
        <v>46086</v>
      </c>
      <c r="N280" s="0" t="n">
        <f aca="false">INDEX(Laporan!$A$1:$AZ$300,G280,H280)</f>
        <v>2945</v>
      </c>
      <c r="O280" s="0" t="n">
        <f aca="false">IF(N280="","",IFERROR(VALUE(SUBSTITUTE(SUBSTITUTE(N280," btl",""),".","")),""))</f>
        <v>2945</v>
      </c>
      <c r="P280" s="0" t="str">
        <f aca="false">IF(B280="PRODUKSI","produced","reject")</f>
        <v>produced</v>
      </c>
    </row>
    <row r="281" customFormat="false" ht="15" hidden="false" customHeight="false" outlineLevel="0" collapsed="false">
      <c r="A281" s="0" t="n">
        <v>280</v>
      </c>
      <c r="B281" s="0" t="str">
        <f aca="false">IF(A281&lt;=36*25,"PRODUKSI","REJECT")</f>
        <v>PRODUKSI</v>
      </c>
      <c r="C281" s="0" t="n">
        <f aca="false">MOD(A281-1,Pemetaan!$B$3*Pemetaan!$B$4)</f>
        <v>279</v>
      </c>
      <c r="D281" s="0" t="n">
        <f aca="false">INT(C281/Pemetaan!$B$4)</f>
        <v>11</v>
      </c>
      <c r="E281" s="0" t="n">
        <f aca="false">MOD(C281,Pemetaan!$B$4)</f>
        <v>4</v>
      </c>
      <c r="F281" s="0" t="n">
        <f aca="false">IF(B281="PRODUKSI",Pemetaan!$B$5,Pemetaan!$B$6)</f>
        <v>5</v>
      </c>
      <c r="G281" s="0" t="n">
        <f aca="false">F281+2+D281</f>
        <v>18</v>
      </c>
      <c r="H281" s="0" t="n">
        <f aca="false">Pemetaan!$B$2+E281</f>
        <v>9</v>
      </c>
      <c r="I281" s="0" t="str">
        <f aca="false">INDEX(Laporan!$A$1:$AZ$300,G281,1)</f>
        <v>Water Treatment</v>
      </c>
      <c r="J281" s="0" t="str">
        <f aca="false">INDEX(Laporan!$A$1:$AZ$300,G281,2)</f>
        <v>600 ml</v>
      </c>
      <c r="K281" s="0" t="str">
        <f aca="false">INDEX(Laporan!$A$1:$AZ$300,G281,3)</f>
        <v>Shift 2</v>
      </c>
      <c r="L281" s="0" t="n">
        <f aca="false">INDEX(Laporan!$A$1:$AZ$300,G281,4)</f>
        <v>3</v>
      </c>
      <c r="M281" s="1" t="n">
        <f aca="false">DATE(Pemetaan!$B$1,VALUE(RIGHT(INDEX(Laporan!$A$1:$AZ$300,F281+1,H281),2)),VALUE(LEFT(INDEX(Laporan!$A$1:$AZ$300,F281+1,H281),2)))</f>
        <v>46087</v>
      </c>
      <c r="N281" s="0" t="n">
        <f aca="false">INDEX(Laporan!$A$1:$AZ$300,G281,H281)</f>
        <v>3072</v>
      </c>
      <c r="O281" s="0" t="n">
        <f aca="false">IF(N281="","",IFERROR(VALUE(SUBSTITUTE(SUBSTITUTE(N281," btl",""),".","")),""))</f>
        <v>3072</v>
      </c>
      <c r="P281" s="0" t="str">
        <f aca="false">IF(B281="PRODUKSI","produced","reject")</f>
        <v>produced</v>
      </c>
    </row>
    <row r="282" customFormat="false" ht="15" hidden="false" customHeight="false" outlineLevel="0" collapsed="false">
      <c r="A282" s="0" t="n">
        <v>281</v>
      </c>
      <c r="B282" s="0" t="str">
        <f aca="false">IF(A282&lt;=36*25,"PRODUKSI","REJECT")</f>
        <v>PRODUKSI</v>
      </c>
      <c r="C282" s="0" t="n">
        <f aca="false">MOD(A282-1,Pemetaan!$B$3*Pemetaan!$B$4)</f>
        <v>280</v>
      </c>
      <c r="D282" s="0" t="n">
        <f aca="false">INT(C282/Pemetaan!$B$4)</f>
        <v>11</v>
      </c>
      <c r="E282" s="0" t="n">
        <f aca="false">MOD(C282,Pemetaan!$B$4)</f>
        <v>5</v>
      </c>
      <c r="F282" s="0" t="n">
        <f aca="false">IF(B282="PRODUKSI",Pemetaan!$B$5,Pemetaan!$B$6)</f>
        <v>5</v>
      </c>
      <c r="G282" s="0" t="n">
        <f aca="false">F282+2+D282</f>
        <v>18</v>
      </c>
      <c r="H282" s="0" t="n">
        <f aca="false">Pemetaan!$B$2+E282</f>
        <v>10</v>
      </c>
      <c r="I282" s="0" t="str">
        <f aca="false">INDEX(Laporan!$A$1:$AZ$300,G282,1)</f>
        <v>Water Treatment</v>
      </c>
      <c r="J282" s="0" t="str">
        <f aca="false">INDEX(Laporan!$A$1:$AZ$300,G282,2)</f>
        <v>600 ml</v>
      </c>
      <c r="K282" s="0" t="str">
        <f aca="false">INDEX(Laporan!$A$1:$AZ$300,G282,3)</f>
        <v>Shift 2</v>
      </c>
      <c r="L282" s="0" t="n">
        <f aca="false">INDEX(Laporan!$A$1:$AZ$300,G282,4)</f>
        <v>3</v>
      </c>
      <c r="M282" s="1" t="n">
        <f aca="false">DATE(Pemetaan!$B$1,VALUE(RIGHT(INDEX(Laporan!$A$1:$AZ$300,F282+1,H282),2)),VALUE(LEFT(INDEX(Laporan!$A$1:$AZ$300,F282+1,H282),2)))</f>
        <v>46090</v>
      </c>
      <c r="N282" s="0" t="n">
        <f aca="false">INDEX(Laporan!$A$1:$AZ$300,G282,H282)</f>
        <v>2475</v>
      </c>
      <c r="O282" s="0" t="n">
        <f aca="false">IF(N282="","",IFERROR(VALUE(SUBSTITUTE(SUBSTITUTE(N282," btl",""),".","")),""))</f>
        <v>2475</v>
      </c>
      <c r="P282" s="0" t="str">
        <f aca="false">IF(B282="PRODUKSI","produced","reject")</f>
        <v>produced</v>
      </c>
    </row>
    <row r="283" customFormat="false" ht="15" hidden="false" customHeight="false" outlineLevel="0" collapsed="false">
      <c r="A283" s="0" t="n">
        <v>282</v>
      </c>
      <c r="B283" s="0" t="str">
        <f aca="false">IF(A283&lt;=36*25,"PRODUKSI","REJECT")</f>
        <v>PRODUKSI</v>
      </c>
      <c r="C283" s="0" t="n">
        <f aca="false">MOD(A283-1,Pemetaan!$B$3*Pemetaan!$B$4)</f>
        <v>281</v>
      </c>
      <c r="D283" s="0" t="n">
        <f aca="false">INT(C283/Pemetaan!$B$4)</f>
        <v>11</v>
      </c>
      <c r="E283" s="0" t="n">
        <f aca="false">MOD(C283,Pemetaan!$B$4)</f>
        <v>6</v>
      </c>
      <c r="F283" s="0" t="n">
        <f aca="false">IF(B283="PRODUKSI",Pemetaan!$B$5,Pemetaan!$B$6)</f>
        <v>5</v>
      </c>
      <c r="G283" s="0" t="n">
        <f aca="false">F283+2+D283</f>
        <v>18</v>
      </c>
      <c r="H283" s="0" t="n">
        <f aca="false">Pemetaan!$B$2+E283</f>
        <v>11</v>
      </c>
      <c r="I283" s="0" t="str">
        <f aca="false">INDEX(Laporan!$A$1:$AZ$300,G283,1)</f>
        <v>Water Treatment</v>
      </c>
      <c r="J283" s="0" t="str">
        <f aca="false">INDEX(Laporan!$A$1:$AZ$300,G283,2)</f>
        <v>600 ml</v>
      </c>
      <c r="K283" s="0" t="str">
        <f aca="false">INDEX(Laporan!$A$1:$AZ$300,G283,3)</f>
        <v>Shift 2</v>
      </c>
      <c r="L283" s="0" t="n">
        <f aca="false">INDEX(Laporan!$A$1:$AZ$300,G283,4)</f>
        <v>3</v>
      </c>
      <c r="M283" s="1" t="n">
        <f aca="false">DATE(Pemetaan!$B$1,VALUE(RIGHT(INDEX(Laporan!$A$1:$AZ$300,F283+1,H283),2)),VALUE(LEFT(INDEX(Laporan!$A$1:$AZ$300,F283+1,H283),2)))</f>
        <v>46091</v>
      </c>
      <c r="N283" s="0" t="n">
        <f aca="false">INDEX(Laporan!$A$1:$AZ$300,G283,H283)</f>
        <v>2843</v>
      </c>
      <c r="O283" s="0" t="n">
        <f aca="false">IF(N283="","",IFERROR(VALUE(SUBSTITUTE(SUBSTITUTE(N283," btl",""),".","")),""))</f>
        <v>2843</v>
      </c>
      <c r="P283" s="0" t="str">
        <f aca="false">IF(B283="PRODUKSI","produced","reject")</f>
        <v>produced</v>
      </c>
    </row>
    <row r="284" customFormat="false" ht="15" hidden="false" customHeight="false" outlineLevel="0" collapsed="false">
      <c r="A284" s="0" t="n">
        <v>283</v>
      </c>
      <c r="B284" s="0" t="str">
        <f aca="false">IF(A284&lt;=36*25,"PRODUKSI","REJECT")</f>
        <v>PRODUKSI</v>
      </c>
      <c r="C284" s="0" t="n">
        <f aca="false">MOD(A284-1,Pemetaan!$B$3*Pemetaan!$B$4)</f>
        <v>282</v>
      </c>
      <c r="D284" s="0" t="n">
        <f aca="false">INT(C284/Pemetaan!$B$4)</f>
        <v>11</v>
      </c>
      <c r="E284" s="0" t="n">
        <f aca="false">MOD(C284,Pemetaan!$B$4)</f>
        <v>7</v>
      </c>
      <c r="F284" s="0" t="n">
        <f aca="false">IF(B284="PRODUKSI",Pemetaan!$B$5,Pemetaan!$B$6)</f>
        <v>5</v>
      </c>
      <c r="G284" s="0" t="n">
        <f aca="false">F284+2+D284</f>
        <v>18</v>
      </c>
      <c r="H284" s="0" t="n">
        <f aca="false">Pemetaan!$B$2+E284</f>
        <v>12</v>
      </c>
      <c r="I284" s="0" t="str">
        <f aca="false">INDEX(Laporan!$A$1:$AZ$300,G284,1)</f>
        <v>Water Treatment</v>
      </c>
      <c r="J284" s="0" t="str">
        <f aca="false">INDEX(Laporan!$A$1:$AZ$300,G284,2)</f>
        <v>600 ml</v>
      </c>
      <c r="K284" s="0" t="str">
        <f aca="false">INDEX(Laporan!$A$1:$AZ$300,G284,3)</f>
        <v>Shift 2</v>
      </c>
      <c r="L284" s="0" t="n">
        <f aca="false">INDEX(Laporan!$A$1:$AZ$300,G284,4)</f>
        <v>3</v>
      </c>
      <c r="M284" s="1" t="n">
        <f aca="false">DATE(Pemetaan!$B$1,VALUE(RIGHT(INDEX(Laporan!$A$1:$AZ$300,F284+1,H284),2)),VALUE(LEFT(INDEX(Laporan!$A$1:$AZ$300,F284+1,H284),2)))</f>
        <v>46092</v>
      </c>
      <c r="N284" s="0" t="n">
        <f aca="false">INDEX(Laporan!$A$1:$AZ$300,G284,H284)</f>
        <v>2875</v>
      </c>
      <c r="O284" s="0" t="n">
        <f aca="false">IF(N284="","",IFERROR(VALUE(SUBSTITUTE(SUBSTITUTE(N284," btl",""),".","")),""))</f>
        <v>2875</v>
      </c>
      <c r="P284" s="0" t="str">
        <f aca="false">IF(B284="PRODUKSI","produced","reject")</f>
        <v>produced</v>
      </c>
    </row>
    <row r="285" customFormat="false" ht="15" hidden="false" customHeight="false" outlineLevel="0" collapsed="false">
      <c r="A285" s="0" t="n">
        <v>284</v>
      </c>
      <c r="B285" s="0" t="str">
        <f aca="false">IF(A285&lt;=36*25,"PRODUKSI","REJECT")</f>
        <v>PRODUKSI</v>
      </c>
      <c r="C285" s="0" t="n">
        <f aca="false">MOD(A285-1,Pemetaan!$B$3*Pemetaan!$B$4)</f>
        <v>283</v>
      </c>
      <c r="D285" s="0" t="n">
        <f aca="false">INT(C285/Pemetaan!$B$4)</f>
        <v>11</v>
      </c>
      <c r="E285" s="0" t="n">
        <f aca="false">MOD(C285,Pemetaan!$B$4)</f>
        <v>8</v>
      </c>
      <c r="F285" s="0" t="n">
        <f aca="false">IF(B285="PRODUKSI",Pemetaan!$B$5,Pemetaan!$B$6)</f>
        <v>5</v>
      </c>
      <c r="G285" s="0" t="n">
        <f aca="false">F285+2+D285</f>
        <v>18</v>
      </c>
      <c r="H285" s="0" t="n">
        <f aca="false">Pemetaan!$B$2+E285</f>
        <v>13</v>
      </c>
      <c r="I285" s="0" t="str">
        <f aca="false">INDEX(Laporan!$A$1:$AZ$300,G285,1)</f>
        <v>Water Treatment</v>
      </c>
      <c r="J285" s="0" t="str">
        <f aca="false">INDEX(Laporan!$A$1:$AZ$300,G285,2)</f>
        <v>600 ml</v>
      </c>
      <c r="K285" s="0" t="str">
        <f aca="false">INDEX(Laporan!$A$1:$AZ$300,G285,3)</f>
        <v>Shift 2</v>
      </c>
      <c r="L285" s="0" t="n">
        <f aca="false">INDEX(Laporan!$A$1:$AZ$300,G285,4)</f>
        <v>3</v>
      </c>
      <c r="M285" s="1" t="n">
        <f aca="false">DATE(Pemetaan!$B$1,VALUE(RIGHT(INDEX(Laporan!$A$1:$AZ$300,F285+1,H285),2)),VALUE(LEFT(INDEX(Laporan!$A$1:$AZ$300,F285+1,H285),2)))</f>
        <v>46093</v>
      </c>
      <c r="N285" s="0" t="n">
        <f aca="false">INDEX(Laporan!$A$1:$AZ$300,G285,H285)</f>
        <v>2905</v>
      </c>
      <c r="O285" s="0" t="n">
        <f aca="false">IF(N285="","",IFERROR(VALUE(SUBSTITUTE(SUBSTITUTE(N285," btl",""),".","")),""))</f>
        <v>2905</v>
      </c>
      <c r="P285" s="0" t="str">
        <f aca="false">IF(B285="PRODUKSI","produced","reject")</f>
        <v>produced</v>
      </c>
    </row>
    <row r="286" customFormat="false" ht="15" hidden="false" customHeight="false" outlineLevel="0" collapsed="false">
      <c r="A286" s="0" t="n">
        <v>285</v>
      </c>
      <c r="B286" s="0" t="str">
        <f aca="false">IF(A286&lt;=36*25,"PRODUKSI","REJECT")</f>
        <v>PRODUKSI</v>
      </c>
      <c r="C286" s="0" t="n">
        <f aca="false">MOD(A286-1,Pemetaan!$B$3*Pemetaan!$B$4)</f>
        <v>284</v>
      </c>
      <c r="D286" s="0" t="n">
        <f aca="false">INT(C286/Pemetaan!$B$4)</f>
        <v>11</v>
      </c>
      <c r="E286" s="0" t="n">
        <f aca="false">MOD(C286,Pemetaan!$B$4)</f>
        <v>9</v>
      </c>
      <c r="F286" s="0" t="n">
        <f aca="false">IF(B286="PRODUKSI",Pemetaan!$B$5,Pemetaan!$B$6)</f>
        <v>5</v>
      </c>
      <c r="G286" s="0" t="n">
        <f aca="false">F286+2+D286</f>
        <v>18</v>
      </c>
      <c r="H286" s="0" t="n">
        <f aca="false">Pemetaan!$B$2+E286</f>
        <v>14</v>
      </c>
      <c r="I286" s="0" t="str">
        <f aca="false">INDEX(Laporan!$A$1:$AZ$300,G286,1)</f>
        <v>Water Treatment</v>
      </c>
      <c r="J286" s="0" t="str">
        <f aca="false">INDEX(Laporan!$A$1:$AZ$300,G286,2)</f>
        <v>600 ml</v>
      </c>
      <c r="K286" s="0" t="str">
        <f aca="false">INDEX(Laporan!$A$1:$AZ$300,G286,3)</f>
        <v>Shift 2</v>
      </c>
      <c r="L286" s="0" t="n">
        <f aca="false">INDEX(Laporan!$A$1:$AZ$300,G286,4)</f>
        <v>3</v>
      </c>
      <c r="M286" s="1" t="n">
        <f aca="false">DATE(Pemetaan!$B$1,VALUE(RIGHT(INDEX(Laporan!$A$1:$AZ$300,F286+1,H286),2)),VALUE(LEFT(INDEX(Laporan!$A$1:$AZ$300,F286+1,H286),2)))</f>
        <v>46094</v>
      </c>
      <c r="N286" s="0" t="n">
        <f aca="false">INDEX(Laporan!$A$1:$AZ$300,G286,H286)</f>
        <v>2866</v>
      </c>
      <c r="O286" s="0" t="n">
        <f aca="false">IF(N286="","",IFERROR(VALUE(SUBSTITUTE(SUBSTITUTE(N286," btl",""),".","")),""))</f>
        <v>2866</v>
      </c>
      <c r="P286" s="0" t="str">
        <f aca="false">IF(B286="PRODUKSI","produced","reject")</f>
        <v>produced</v>
      </c>
    </row>
    <row r="287" customFormat="false" ht="15" hidden="false" customHeight="false" outlineLevel="0" collapsed="false">
      <c r="A287" s="0" t="n">
        <v>286</v>
      </c>
      <c r="B287" s="0" t="str">
        <f aca="false">IF(A287&lt;=36*25,"PRODUKSI","REJECT")</f>
        <v>PRODUKSI</v>
      </c>
      <c r="C287" s="0" t="n">
        <f aca="false">MOD(A287-1,Pemetaan!$B$3*Pemetaan!$B$4)</f>
        <v>285</v>
      </c>
      <c r="D287" s="0" t="n">
        <f aca="false">INT(C287/Pemetaan!$B$4)</f>
        <v>11</v>
      </c>
      <c r="E287" s="0" t="n">
        <f aca="false">MOD(C287,Pemetaan!$B$4)</f>
        <v>10</v>
      </c>
      <c r="F287" s="0" t="n">
        <f aca="false">IF(B287="PRODUKSI",Pemetaan!$B$5,Pemetaan!$B$6)</f>
        <v>5</v>
      </c>
      <c r="G287" s="0" t="n">
        <f aca="false">F287+2+D287</f>
        <v>18</v>
      </c>
      <c r="H287" s="0" t="n">
        <f aca="false">Pemetaan!$B$2+E287</f>
        <v>15</v>
      </c>
      <c r="I287" s="0" t="str">
        <f aca="false">INDEX(Laporan!$A$1:$AZ$300,G287,1)</f>
        <v>Water Treatment</v>
      </c>
      <c r="J287" s="0" t="str">
        <f aca="false">INDEX(Laporan!$A$1:$AZ$300,G287,2)</f>
        <v>600 ml</v>
      </c>
      <c r="K287" s="0" t="str">
        <f aca="false">INDEX(Laporan!$A$1:$AZ$300,G287,3)</f>
        <v>Shift 2</v>
      </c>
      <c r="L287" s="0" t="n">
        <f aca="false">INDEX(Laporan!$A$1:$AZ$300,G287,4)</f>
        <v>3</v>
      </c>
      <c r="M287" s="1" t="n">
        <f aca="false">DATE(Pemetaan!$B$1,VALUE(RIGHT(INDEX(Laporan!$A$1:$AZ$300,F287+1,H287),2)),VALUE(LEFT(INDEX(Laporan!$A$1:$AZ$300,F287+1,H287),2)))</f>
        <v>46097</v>
      </c>
      <c r="N287" s="0" t="n">
        <f aca="false">INDEX(Laporan!$A$1:$AZ$300,G287,H287)</f>
        <v>2719</v>
      </c>
      <c r="O287" s="0" t="n">
        <f aca="false">IF(N287="","",IFERROR(VALUE(SUBSTITUTE(SUBSTITUTE(N287," btl",""),".","")),""))</f>
        <v>2719</v>
      </c>
      <c r="P287" s="0" t="str">
        <f aca="false">IF(B287="PRODUKSI","produced","reject")</f>
        <v>produced</v>
      </c>
    </row>
    <row r="288" customFormat="false" ht="15" hidden="false" customHeight="false" outlineLevel="0" collapsed="false">
      <c r="A288" s="0" t="n">
        <v>287</v>
      </c>
      <c r="B288" s="0" t="str">
        <f aca="false">IF(A288&lt;=36*25,"PRODUKSI","REJECT")</f>
        <v>PRODUKSI</v>
      </c>
      <c r="C288" s="0" t="n">
        <f aca="false">MOD(A288-1,Pemetaan!$B$3*Pemetaan!$B$4)</f>
        <v>286</v>
      </c>
      <c r="D288" s="0" t="n">
        <f aca="false">INT(C288/Pemetaan!$B$4)</f>
        <v>11</v>
      </c>
      <c r="E288" s="0" t="n">
        <f aca="false">MOD(C288,Pemetaan!$B$4)</f>
        <v>11</v>
      </c>
      <c r="F288" s="0" t="n">
        <f aca="false">IF(B288="PRODUKSI",Pemetaan!$B$5,Pemetaan!$B$6)</f>
        <v>5</v>
      </c>
      <c r="G288" s="0" t="n">
        <f aca="false">F288+2+D288</f>
        <v>18</v>
      </c>
      <c r="H288" s="0" t="n">
        <f aca="false">Pemetaan!$B$2+E288</f>
        <v>16</v>
      </c>
      <c r="I288" s="0" t="str">
        <f aca="false">INDEX(Laporan!$A$1:$AZ$300,G288,1)</f>
        <v>Water Treatment</v>
      </c>
      <c r="J288" s="0" t="str">
        <f aca="false">INDEX(Laporan!$A$1:$AZ$300,G288,2)</f>
        <v>600 ml</v>
      </c>
      <c r="K288" s="0" t="str">
        <f aca="false">INDEX(Laporan!$A$1:$AZ$300,G288,3)</f>
        <v>Shift 2</v>
      </c>
      <c r="L288" s="0" t="n">
        <f aca="false">INDEX(Laporan!$A$1:$AZ$300,G288,4)</f>
        <v>3</v>
      </c>
      <c r="M288" s="1" t="n">
        <f aca="false">DATE(Pemetaan!$B$1,VALUE(RIGHT(INDEX(Laporan!$A$1:$AZ$300,F288+1,H288),2)),VALUE(LEFT(INDEX(Laporan!$A$1:$AZ$300,F288+1,H288),2)))</f>
        <v>46098</v>
      </c>
      <c r="N288" s="0" t="n">
        <f aca="false">INDEX(Laporan!$A$1:$AZ$300,G288,H288)</f>
        <v>2642</v>
      </c>
      <c r="O288" s="0" t="n">
        <f aca="false">IF(N288="","",IFERROR(VALUE(SUBSTITUTE(SUBSTITUTE(N288," btl",""),".","")),""))</f>
        <v>2642</v>
      </c>
      <c r="P288" s="0" t="str">
        <f aca="false">IF(B288="PRODUKSI","produced","reject")</f>
        <v>produced</v>
      </c>
    </row>
    <row r="289" customFormat="false" ht="15" hidden="false" customHeight="false" outlineLevel="0" collapsed="false">
      <c r="A289" s="0" t="n">
        <v>288</v>
      </c>
      <c r="B289" s="0" t="str">
        <f aca="false">IF(A289&lt;=36*25,"PRODUKSI","REJECT")</f>
        <v>PRODUKSI</v>
      </c>
      <c r="C289" s="0" t="n">
        <f aca="false">MOD(A289-1,Pemetaan!$B$3*Pemetaan!$B$4)</f>
        <v>287</v>
      </c>
      <c r="D289" s="0" t="n">
        <f aca="false">INT(C289/Pemetaan!$B$4)</f>
        <v>11</v>
      </c>
      <c r="E289" s="0" t="n">
        <f aca="false">MOD(C289,Pemetaan!$B$4)</f>
        <v>12</v>
      </c>
      <c r="F289" s="0" t="n">
        <f aca="false">IF(B289="PRODUKSI",Pemetaan!$B$5,Pemetaan!$B$6)</f>
        <v>5</v>
      </c>
      <c r="G289" s="0" t="n">
        <f aca="false">F289+2+D289</f>
        <v>18</v>
      </c>
      <c r="H289" s="0" t="n">
        <f aca="false">Pemetaan!$B$2+E289</f>
        <v>17</v>
      </c>
      <c r="I289" s="0" t="str">
        <f aca="false">INDEX(Laporan!$A$1:$AZ$300,G289,1)</f>
        <v>Water Treatment</v>
      </c>
      <c r="J289" s="0" t="str">
        <f aca="false">INDEX(Laporan!$A$1:$AZ$300,G289,2)</f>
        <v>600 ml</v>
      </c>
      <c r="K289" s="0" t="str">
        <f aca="false">INDEX(Laporan!$A$1:$AZ$300,G289,3)</f>
        <v>Shift 2</v>
      </c>
      <c r="L289" s="0" t="n">
        <f aca="false">INDEX(Laporan!$A$1:$AZ$300,G289,4)</f>
        <v>3</v>
      </c>
      <c r="M289" s="1" t="n">
        <f aca="false">DATE(Pemetaan!$B$1,VALUE(RIGHT(INDEX(Laporan!$A$1:$AZ$300,F289+1,H289),2)),VALUE(LEFT(INDEX(Laporan!$A$1:$AZ$300,F289+1,H289),2)))</f>
        <v>46099</v>
      </c>
      <c r="N289" s="0" t="n">
        <f aca="false">INDEX(Laporan!$A$1:$AZ$300,G289,H289)</f>
        <v>3094</v>
      </c>
      <c r="O289" s="0" t="n">
        <f aca="false">IF(N289="","",IFERROR(VALUE(SUBSTITUTE(SUBSTITUTE(N289," btl",""),".","")),""))</f>
        <v>3094</v>
      </c>
      <c r="P289" s="0" t="str">
        <f aca="false">IF(B289="PRODUKSI","produced","reject")</f>
        <v>produced</v>
      </c>
    </row>
    <row r="290" customFormat="false" ht="15" hidden="false" customHeight="false" outlineLevel="0" collapsed="false">
      <c r="A290" s="0" t="n">
        <v>289</v>
      </c>
      <c r="B290" s="0" t="str">
        <f aca="false">IF(A290&lt;=36*25,"PRODUKSI","REJECT")</f>
        <v>PRODUKSI</v>
      </c>
      <c r="C290" s="0" t="n">
        <f aca="false">MOD(A290-1,Pemetaan!$B$3*Pemetaan!$B$4)</f>
        <v>288</v>
      </c>
      <c r="D290" s="0" t="n">
        <f aca="false">INT(C290/Pemetaan!$B$4)</f>
        <v>11</v>
      </c>
      <c r="E290" s="0" t="n">
        <f aca="false">MOD(C290,Pemetaan!$B$4)</f>
        <v>13</v>
      </c>
      <c r="F290" s="0" t="n">
        <f aca="false">IF(B290="PRODUKSI",Pemetaan!$B$5,Pemetaan!$B$6)</f>
        <v>5</v>
      </c>
      <c r="G290" s="0" t="n">
        <f aca="false">F290+2+D290</f>
        <v>18</v>
      </c>
      <c r="H290" s="0" t="n">
        <f aca="false">Pemetaan!$B$2+E290</f>
        <v>18</v>
      </c>
      <c r="I290" s="0" t="str">
        <f aca="false">INDEX(Laporan!$A$1:$AZ$300,G290,1)</f>
        <v>Water Treatment</v>
      </c>
      <c r="J290" s="0" t="str">
        <f aca="false">INDEX(Laporan!$A$1:$AZ$300,G290,2)</f>
        <v>600 ml</v>
      </c>
      <c r="K290" s="0" t="str">
        <f aca="false">INDEX(Laporan!$A$1:$AZ$300,G290,3)</f>
        <v>Shift 2</v>
      </c>
      <c r="L290" s="0" t="n">
        <f aca="false">INDEX(Laporan!$A$1:$AZ$300,G290,4)</f>
        <v>3</v>
      </c>
      <c r="M290" s="1" t="n">
        <f aca="false">DATE(Pemetaan!$B$1,VALUE(RIGHT(INDEX(Laporan!$A$1:$AZ$300,F290+1,H290),2)),VALUE(LEFT(INDEX(Laporan!$A$1:$AZ$300,F290+1,H290),2)))</f>
        <v>46100</v>
      </c>
      <c r="N290" s="0" t="n">
        <f aca="false">INDEX(Laporan!$A$1:$AZ$300,G290,H290)</f>
        <v>3256</v>
      </c>
      <c r="O290" s="0" t="n">
        <f aca="false">IF(N290="","",IFERROR(VALUE(SUBSTITUTE(SUBSTITUTE(N290," btl",""),".","")),""))</f>
        <v>3256</v>
      </c>
      <c r="P290" s="0" t="str">
        <f aca="false">IF(B290="PRODUKSI","produced","reject")</f>
        <v>produced</v>
      </c>
    </row>
    <row r="291" customFormat="false" ht="15" hidden="false" customHeight="false" outlineLevel="0" collapsed="false">
      <c r="A291" s="0" t="n">
        <v>290</v>
      </c>
      <c r="B291" s="0" t="str">
        <f aca="false">IF(A291&lt;=36*25,"PRODUKSI","REJECT")</f>
        <v>PRODUKSI</v>
      </c>
      <c r="C291" s="0" t="n">
        <f aca="false">MOD(A291-1,Pemetaan!$B$3*Pemetaan!$B$4)</f>
        <v>289</v>
      </c>
      <c r="D291" s="0" t="n">
        <f aca="false">INT(C291/Pemetaan!$B$4)</f>
        <v>11</v>
      </c>
      <c r="E291" s="0" t="n">
        <f aca="false">MOD(C291,Pemetaan!$B$4)</f>
        <v>14</v>
      </c>
      <c r="F291" s="0" t="n">
        <f aca="false">IF(B291="PRODUKSI",Pemetaan!$B$5,Pemetaan!$B$6)</f>
        <v>5</v>
      </c>
      <c r="G291" s="0" t="n">
        <f aca="false">F291+2+D291</f>
        <v>18</v>
      </c>
      <c r="H291" s="0" t="n">
        <f aca="false">Pemetaan!$B$2+E291</f>
        <v>19</v>
      </c>
      <c r="I291" s="0" t="str">
        <f aca="false">INDEX(Laporan!$A$1:$AZ$300,G291,1)</f>
        <v>Water Treatment</v>
      </c>
      <c r="J291" s="0" t="str">
        <f aca="false">INDEX(Laporan!$A$1:$AZ$300,G291,2)</f>
        <v>600 ml</v>
      </c>
      <c r="K291" s="0" t="str">
        <f aca="false">INDEX(Laporan!$A$1:$AZ$300,G291,3)</f>
        <v>Shift 2</v>
      </c>
      <c r="L291" s="0" t="n">
        <f aca="false">INDEX(Laporan!$A$1:$AZ$300,G291,4)</f>
        <v>3</v>
      </c>
      <c r="M291" s="1" t="n">
        <f aca="false">DATE(Pemetaan!$B$1,VALUE(RIGHT(INDEX(Laporan!$A$1:$AZ$300,F291+1,H291),2)),VALUE(LEFT(INDEX(Laporan!$A$1:$AZ$300,F291+1,H291),2)))</f>
        <v>46101</v>
      </c>
      <c r="N291" s="0" t="n">
        <f aca="false">INDEX(Laporan!$A$1:$AZ$300,G291,H291)</f>
        <v>2881</v>
      </c>
      <c r="O291" s="0" t="n">
        <f aca="false">IF(N291="","",IFERROR(VALUE(SUBSTITUTE(SUBSTITUTE(N291," btl",""),".","")),""))</f>
        <v>2881</v>
      </c>
      <c r="P291" s="0" t="str">
        <f aca="false">IF(B291="PRODUKSI","produced","reject")</f>
        <v>produced</v>
      </c>
    </row>
    <row r="292" customFormat="false" ht="15" hidden="false" customHeight="false" outlineLevel="0" collapsed="false">
      <c r="A292" s="0" t="n">
        <v>291</v>
      </c>
      <c r="B292" s="0" t="str">
        <f aca="false">IF(A292&lt;=36*25,"PRODUKSI","REJECT")</f>
        <v>PRODUKSI</v>
      </c>
      <c r="C292" s="0" t="n">
        <f aca="false">MOD(A292-1,Pemetaan!$B$3*Pemetaan!$B$4)</f>
        <v>290</v>
      </c>
      <c r="D292" s="0" t="n">
        <f aca="false">INT(C292/Pemetaan!$B$4)</f>
        <v>11</v>
      </c>
      <c r="E292" s="0" t="n">
        <f aca="false">MOD(C292,Pemetaan!$B$4)</f>
        <v>15</v>
      </c>
      <c r="F292" s="0" t="n">
        <f aca="false">IF(B292="PRODUKSI",Pemetaan!$B$5,Pemetaan!$B$6)</f>
        <v>5</v>
      </c>
      <c r="G292" s="0" t="n">
        <f aca="false">F292+2+D292</f>
        <v>18</v>
      </c>
      <c r="H292" s="0" t="n">
        <f aca="false">Pemetaan!$B$2+E292</f>
        <v>20</v>
      </c>
      <c r="I292" s="0" t="str">
        <f aca="false">INDEX(Laporan!$A$1:$AZ$300,G292,1)</f>
        <v>Water Treatment</v>
      </c>
      <c r="J292" s="0" t="str">
        <f aca="false">INDEX(Laporan!$A$1:$AZ$300,G292,2)</f>
        <v>600 ml</v>
      </c>
      <c r="K292" s="0" t="str">
        <f aca="false">INDEX(Laporan!$A$1:$AZ$300,G292,3)</f>
        <v>Shift 2</v>
      </c>
      <c r="L292" s="0" t="n">
        <f aca="false">INDEX(Laporan!$A$1:$AZ$300,G292,4)</f>
        <v>3</v>
      </c>
      <c r="M292" s="1" t="n">
        <f aca="false">DATE(Pemetaan!$B$1,VALUE(RIGHT(INDEX(Laporan!$A$1:$AZ$300,F292+1,H292),2)),VALUE(LEFT(INDEX(Laporan!$A$1:$AZ$300,F292+1,H292),2)))</f>
        <v>46104</v>
      </c>
      <c r="N292" s="0" t="n">
        <f aca="false">INDEX(Laporan!$A$1:$AZ$300,G292,H292)</f>
        <v>3439</v>
      </c>
      <c r="O292" s="0" t="n">
        <f aca="false">IF(N292="","",IFERROR(VALUE(SUBSTITUTE(SUBSTITUTE(N292," btl",""),".","")),""))</f>
        <v>3439</v>
      </c>
      <c r="P292" s="0" t="str">
        <f aca="false">IF(B292="PRODUKSI","produced","reject")</f>
        <v>produced</v>
      </c>
    </row>
    <row r="293" customFormat="false" ht="15" hidden="false" customHeight="false" outlineLevel="0" collapsed="false">
      <c r="A293" s="0" t="n">
        <v>292</v>
      </c>
      <c r="B293" s="0" t="str">
        <f aca="false">IF(A293&lt;=36*25,"PRODUKSI","REJECT")</f>
        <v>PRODUKSI</v>
      </c>
      <c r="C293" s="0" t="n">
        <f aca="false">MOD(A293-1,Pemetaan!$B$3*Pemetaan!$B$4)</f>
        <v>291</v>
      </c>
      <c r="D293" s="0" t="n">
        <f aca="false">INT(C293/Pemetaan!$B$4)</f>
        <v>11</v>
      </c>
      <c r="E293" s="0" t="n">
        <f aca="false">MOD(C293,Pemetaan!$B$4)</f>
        <v>16</v>
      </c>
      <c r="F293" s="0" t="n">
        <f aca="false">IF(B293="PRODUKSI",Pemetaan!$B$5,Pemetaan!$B$6)</f>
        <v>5</v>
      </c>
      <c r="G293" s="0" t="n">
        <f aca="false">F293+2+D293</f>
        <v>18</v>
      </c>
      <c r="H293" s="0" t="n">
        <f aca="false">Pemetaan!$B$2+E293</f>
        <v>21</v>
      </c>
      <c r="I293" s="0" t="str">
        <f aca="false">INDEX(Laporan!$A$1:$AZ$300,G293,1)</f>
        <v>Water Treatment</v>
      </c>
      <c r="J293" s="0" t="str">
        <f aca="false">INDEX(Laporan!$A$1:$AZ$300,G293,2)</f>
        <v>600 ml</v>
      </c>
      <c r="K293" s="0" t="str">
        <f aca="false">INDEX(Laporan!$A$1:$AZ$300,G293,3)</f>
        <v>Shift 2</v>
      </c>
      <c r="L293" s="0" t="n">
        <f aca="false">INDEX(Laporan!$A$1:$AZ$300,G293,4)</f>
        <v>3</v>
      </c>
      <c r="M293" s="1" t="n">
        <f aca="false">DATE(Pemetaan!$B$1,VALUE(RIGHT(INDEX(Laporan!$A$1:$AZ$300,F293+1,H293),2)),VALUE(LEFT(INDEX(Laporan!$A$1:$AZ$300,F293+1,H293),2)))</f>
        <v>46105</v>
      </c>
      <c r="N293" s="0" t="n">
        <f aca="false">INDEX(Laporan!$A$1:$AZ$300,G293,H293)</f>
        <v>2786</v>
      </c>
      <c r="O293" s="0" t="n">
        <f aca="false">IF(N293="","",IFERROR(VALUE(SUBSTITUTE(SUBSTITUTE(N293," btl",""),".","")),""))</f>
        <v>2786</v>
      </c>
      <c r="P293" s="0" t="str">
        <f aca="false">IF(B293="PRODUKSI","produced","reject")</f>
        <v>produced</v>
      </c>
    </row>
    <row r="294" customFormat="false" ht="15" hidden="false" customHeight="false" outlineLevel="0" collapsed="false">
      <c r="A294" s="0" t="n">
        <v>293</v>
      </c>
      <c r="B294" s="0" t="str">
        <f aca="false">IF(A294&lt;=36*25,"PRODUKSI","REJECT")</f>
        <v>PRODUKSI</v>
      </c>
      <c r="C294" s="0" t="n">
        <f aca="false">MOD(A294-1,Pemetaan!$B$3*Pemetaan!$B$4)</f>
        <v>292</v>
      </c>
      <c r="D294" s="0" t="n">
        <f aca="false">INT(C294/Pemetaan!$B$4)</f>
        <v>11</v>
      </c>
      <c r="E294" s="0" t="n">
        <f aca="false">MOD(C294,Pemetaan!$B$4)</f>
        <v>17</v>
      </c>
      <c r="F294" s="0" t="n">
        <f aca="false">IF(B294="PRODUKSI",Pemetaan!$B$5,Pemetaan!$B$6)</f>
        <v>5</v>
      </c>
      <c r="G294" s="0" t="n">
        <f aca="false">F294+2+D294</f>
        <v>18</v>
      </c>
      <c r="H294" s="0" t="n">
        <f aca="false">Pemetaan!$B$2+E294</f>
        <v>22</v>
      </c>
      <c r="I294" s="0" t="str">
        <f aca="false">INDEX(Laporan!$A$1:$AZ$300,G294,1)</f>
        <v>Water Treatment</v>
      </c>
      <c r="J294" s="0" t="str">
        <f aca="false">INDEX(Laporan!$A$1:$AZ$300,G294,2)</f>
        <v>600 ml</v>
      </c>
      <c r="K294" s="0" t="str">
        <f aca="false">INDEX(Laporan!$A$1:$AZ$300,G294,3)</f>
        <v>Shift 2</v>
      </c>
      <c r="L294" s="0" t="n">
        <f aca="false">INDEX(Laporan!$A$1:$AZ$300,G294,4)</f>
        <v>3</v>
      </c>
      <c r="M294" s="1" t="n">
        <f aca="false">DATE(Pemetaan!$B$1,VALUE(RIGHT(INDEX(Laporan!$A$1:$AZ$300,F294+1,H294),2)),VALUE(LEFT(INDEX(Laporan!$A$1:$AZ$300,F294+1,H294),2)))</f>
        <v>46106</v>
      </c>
      <c r="N294" s="0" t="n">
        <f aca="false">INDEX(Laporan!$A$1:$AZ$300,G294,H294)</f>
        <v>2323</v>
      </c>
      <c r="O294" s="0" t="n">
        <f aca="false">IF(N294="","",IFERROR(VALUE(SUBSTITUTE(SUBSTITUTE(N294," btl",""),".","")),""))</f>
        <v>2323</v>
      </c>
      <c r="P294" s="0" t="str">
        <f aca="false">IF(B294="PRODUKSI","produced","reject")</f>
        <v>produced</v>
      </c>
    </row>
    <row r="295" customFormat="false" ht="15" hidden="false" customHeight="false" outlineLevel="0" collapsed="false">
      <c r="A295" s="0" t="n">
        <v>294</v>
      </c>
      <c r="B295" s="0" t="str">
        <f aca="false">IF(A295&lt;=36*25,"PRODUKSI","REJECT")</f>
        <v>PRODUKSI</v>
      </c>
      <c r="C295" s="0" t="n">
        <f aca="false">MOD(A295-1,Pemetaan!$B$3*Pemetaan!$B$4)</f>
        <v>293</v>
      </c>
      <c r="D295" s="0" t="n">
        <f aca="false">INT(C295/Pemetaan!$B$4)</f>
        <v>11</v>
      </c>
      <c r="E295" s="0" t="n">
        <f aca="false">MOD(C295,Pemetaan!$B$4)</f>
        <v>18</v>
      </c>
      <c r="F295" s="0" t="n">
        <f aca="false">IF(B295="PRODUKSI",Pemetaan!$B$5,Pemetaan!$B$6)</f>
        <v>5</v>
      </c>
      <c r="G295" s="0" t="n">
        <f aca="false">F295+2+D295</f>
        <v>18</v>
      </c>
      <c r="H295" s="0" t="n">
        <f aca="false">Pemetaan!$B$2+E295</f>
        <v>23</v>
      </c>
      <c r="I295" s="0" t="str">
        <f aca="false">INDEX(Laporan!$A$1:$AZ$300,G295,1)</f>
        <v>Water Treatment</v>
      </c>
      <c r="J295" s="0" t="str">
        <f aca="false">INDEX(Laporan!$A$1:$AZ$300,G295,2)</f>
        <v>600 ml</v>
      </c>
      <c r="K295" s="0" t="str">
        <f aca="false">INDEX(Laporan!$A$1:$AZ$300,G295,3)</f>
        <v>Shift 2</v>
      </c>
      <c r="L295" s="0" t="n">
        <f aca="false">INDEX(Laporan!$A$1:$AZ$300,G295,4)</f>
        <v>3</v>
      </c>
      <c r="M295" s="1" t="n">
        <f aca="false">DATE(Pemetaan!$B$1,VALUE(RIGHT(INDEX(Laporan!$A$1:$AZ$300,F295+1,H295),2)),VALUE(LEFT(INDEX(Laporan!$A$1:$AZ$300,F295+1,H295),2)))</f>
        <v>46107</v>
      </c>
      <c r="N295" s="0" t="n">
        <f aca="false">INDEX(Laporan!$A$1:$AZ$300,G295,H295)</f>
        <v>2848</v>
      </c>
      <c r="O295" s="0" t="n">
        <f aca="false">IF(N295="","",IFERROR(VALUE(SUBSTITUTE(SUBSTITUTE(N295," btl",""),".","")),""))</f>
        <v>2848</v>
      </c>
      <c r="P295" s="0" t="str">
        <f aca="false">IF(B295="PRODUKSI","produced","reject")</f>
        <v>produced</v>
      </c>
    </row>
    <row r="296" customFormat="false" ht="15" hidden="false" customHeight="false" outlineLevel="0" collapsed="false">
      <c r="A296" s="0" t="n">
        <v>295</v>
      </c>
      <c r="B296" s="0" t="str">
        <f aca="false">IF(A296&lt;=36*25,"PRODUKSI","REJECT")</f>
        <v>PRODUKSI</v>
      </c>
      <c r="C296" s="0" t="n">
        <f aca="false">MOD(A296-1,Pemetaan!$B$3*Pemetaan!$B$4)</f>
        <v>294</v>
      </c>
      <c r="D296" s="0" t="n">
        <f aca="false">INT(C296/Pemetaan!$B$4)</f>
        <v>11</v>
      </c>
      <c r="E296" s="0" t="n">
        <f aca="false">MOD(C296,Pemetaan!$B$4)</f>
        <v>19</v>
      </c>
      <c r="F296" s="0" t="n">
        <f aca="false">IF(B296="PRODUKSI",Pemetaan!$B$5,Pemetaan!$B$6)</f>
        <v>5</v>
      </c>
      <c r="G296" s="0" t="n">
        <f aca="false">F296+2+D296</f>
        <v>18</v>
      </c>
      <c r="H296" s="0" t="n">
        <f aca="false">Pemetaan!$B$2+E296</f>
        <v>24</v>
      </c>
      <c r="I296" s="0" t="str">
        <f aca="false">INDEX(Laporan!$A$1:$AZ$300,G296,1)</f>
        <v>Water Treatment</v>
      </c>
      <c r="J296" s="0" t="str">
        <f aca="false">INDEX(Laporan!$A$1:$AZ$300,G296,2)</f>
        <v>600 ml</v>
      </c>
      <c r="K296" s="0" t="str">
        <f aca="false">INDEX(Laporan!$A$1:$AZ$300,G296,3)</f>
        <v>Shift 2</v>
      </c>
      <c r="L296" s="0" t="n">
        <f aca="false">INDEX(Laporan!$A$1:$AZ$300,G296,4)</f>
        <v>3</v>
      </c>
      <c r="M296" s="1" t="n">
        <f aca="false">DATE(Pemetaan!$B$1,VALUE(RIGHT(INDEX(Laporan!$A$1:$AZ$300,F296+1,H296),2)),VALUE(LEFT(INDEX(Laporan!$A$1:$AZ$300,F296+1,H296),2)))</f>
        <v>46108</v>
      </c>
      <c r="N296" s="0" t="n">
        <f aca="false">INDEX(Laporan!$A$1:$AZ$300,G296,H296)</f>
        <v>2935</v>
      </c>
      <c r="O296" s="0" t="n">
        <f aca="false">IF(N296="","",IFERROR(VALUE(SUBSTITUTE(SUBSTITUTE(N296," btl",""),".","")),""))</f>
        <v>2935</v>
      </c>
      <c r="P296" s="0" t="str">
        <f aca="false">IF(B296="PRODUKSI","produced","reject")</f>
        <v>produced</v>
      </c>
    </row>
    <row r="297" customFormat="false" ht="15" hidden="false" customHeight="false" outlineLevel="0" collapsed="false">
      <c r="A297" s="0" t="n">
        <v>296</v>
      </c>
      <c r="B297" s="0" t="str">
        <f aca="false">IF(A297&lt;=36*25,"PRODUKSI","REJECT")</f>
        <v>PRODUKSI</v>
      </c>
      <c r="C297" s="0" t="n">
        <f aca="false">MOD(A297-1,Pemetaan!$B$3*Pemetaan!$B$4)</f>
        <v>295</v>
      </c>
      <c r="D297" s="0" t="n">
        <f aca="false">INT(C297/Pemetaan!$B$4)</f>
        <v>11</v>
      </c>
      <c r="E297" s="0" t="n">
        <f aca="false">MOD(C297,Pemetaan!$B$4)</f>
        <v>20</v>
      </c>
      <c r="F297" s="0" t="n">
        <f aca="false">IF(B297="PRODUKSI",Pemetaan!$B$5,Pemetaan!$B$6)</f>
        <v>5</v>
      </c>
      <c r="G297" s="0" t="n">
        <f aca="false">F297+2+D297</f>
        <v>18</v>
      </c>
      <c r="H297" s="0" t="n">
        <f aca="false">Pemetaan!$B$2+E297</f>
        <v>25</v>
      </c>
      <c r="I297" s="0" t="str">
        <f aca="false">INDEX(Laporan!$A$1:$AZ$300,G297,1)</f>
        <v>Water Treatment</v>
      </c>
      <c r="J297" s="0" t="str">
        <f aca="false">INDEX(Laporan!$A$1:$AZ$300,G297,2)</f>
        <v>600 ml</v>
      </c>
      <c r="K297" s="0" t="str">
        <f aca="false">INDEX(Laporan!$A$1:$AZ$300,G297,3)</f>
        <v>Shift 2</v>
      </c>
      <c r="L297" s="0" t="n">
        <f aca="false">INDEX(Laporan!$A$1:$AZ$300,G297,4)</f>
        <v>3</v>
      </c>
      <c r="M297" s="1" t="n">
        <f aca="false">DATE(Pemetaan!$B$1,VALUE(RIGHT(INDEX(Laporan!$A$1:$AZ$300,F297+1,H297),2)),VALUE(LEFT(INDEX(Laporan!$A$1:$AZ$300,F297+1,H297),2)))</f>
        <v>46111</v>
      </c>
      <c r="N297" s="0" t="n">
        <f aca="false">INDEX(Laporan!$A$1:$AZ$300,G297,H297)</f>
        <v>2634</v>
      </c>
      <c r="O297" s="0" t="n">
        <f aca="false">IF(N297="","",IFERROR(VALUE(SUBSTITUTE(SUBSTITUTE(N297," btl",""),".","")),""))</f>
        <v>2634</v>
      </c>
      <c r="P297" s="0" t="str">
        <f aca="false">IF(B297="PRODUKSI","produced","reject")</f>
        <v>produced</v>
      </c>
    </row>
    <row r="298" customFormat="false" ht="15" hidden="false" customHeight="false" outlineLevel="0" collapsed="false">
      <c r="A298" s="0" t="n">
        <v>297</v>
      </c>
      <c r="B298" s="0" t="str">
        <f aca="false">IF(A298&lt;=36*25,"PRODUKSI","REJECT")</f>
        <v>PRODUKSI</v>
      </c>
      <c r="C298" s="0" t="n">
        <f aca="false">MOD(A298-1,Pemetaan!$B$3*Pemetaan!$B$4)</f>
        <v>296</v>
      </c>
      <c r="D298" s="0" t="n">
        <f aca="false">INT(C298/Pemetaan!$B$4)</f>
        <v>11</v>
      </c>
      <c r="E298" s="0" t="n">
        <f aca="false">MOD(C298,Pemetaan!$B$4)</f>
        <v>21</v>
      </c>
      <c r="F298" s="0" t="n">
        <f aca="false">IF(B298="PRODUKSI",Pemetaan!$B$5,Pemetaan!$B$6)</f>
        <v>5</v>
      </c>
      <c r="G298" s="0" t="n">
        <f aca="false">F298+2+D298</f>
        <v>18</v>
      </c>
      <c r="H298" s="0" t="n">
        <f aca="false">Pemetaan!$B$2+E298</f>
        <v>26</v>
      </c>
      <c r="I298" s="0" t="str">
        <f aca="false">INDEX(Laporan!$A$1:$AZ$300,G298,1)</f>
        <v>Water Treatment</v>
      </c>
      <c r="J298" s="0" t="str">
        <f aca="false">INDEX(Laporan!$A$1:$AZ$300,G298,2)</f>
        <v>600 ml</v>
      </c>
      <c r="K298" s="0" t="str">
        <f aca="false">INDEX(Laporan!$A$1:$AZ$300,G298,3)</f>
        <v>Shift 2</v>
      </c>
      <c r="L298" s="0" t="n">
        <f aca="false">INDEX(Laporan!$A$1:$AZ$300,G298,4)</f>
        <v>3</v>
      </c>
      <c r="M298" s="1" t="n">
        <f aca="false">DATE(Pemetaan!$B$1,VALUE(RIGHT(INDEX(Laporan!$A$1:$AZ$300,F298+1,H298),2)),VALUE(LEFT(INDEX(Laporan!$A$1:$AZ$300,F298+1,H298),2)))</f>
        <v>46112</v>
      </c>
      <c r="N298" s="0" t="n">
        <f aca="false">INDEX(Laporan!$A$1:$AZ$300,G298,H298)</f>
        <v>2578</v>
      </c>
      <c r="O298" s="0" t="n">
        <f aca="false">IF(N298="","",IFERROR(VALUE(SUBSTITUTE(SUBSTITUTE(N298," btl",""),".","")),""))</f>
        <v>2578</v>
      </c>
      <c r="P298" s="0" t="str">
        <f aca="false">IF(B298="PRODUKSI","produced","reject")</f>
        <v>produced</v>
      </c>
    </row>
    <row r="299" customFormat="false" ht="15" hidden="false" customHeight="false" outlineLevel="0" collapsed="false">
      <c r="A299" s="0" t="n">
        <v>298</v>
      </c>
      <c r="B299" s="0" t="str">
        <f aca="false">IF(A299&lt;=36*25,"PRODUKSI","REJECT")</f>
        <v>PRODUKSI</v>
      </c>
      <c r="C299" s="0" t="n">
        <f aca="false">MOD(A299-1,Pemetaan!$B$3*Pemetaan!$B$4)</f>
        <v>297</v>
      </c>
      <c r="D299" s="0" t="n">
        <f aca="false">INT(C299/Pemetaan!$B$4)</f>
        <v>11</v>
      </c>
      <c r="E299" s="0" t="n">
        <f aca="false">MOD(C299,Pemetaan!$B$4)</f>
        <v>22</v>
      </c>
      <c r="F299" s="0" t="n">
        <f aca="false">IF(B299="PRODUKSI",Pemetaan!$B$5,Pemetaan!$B$6)</f>
        <v>5</v>
      </c>
      <c r="G299" s="0" t="n">
        <f aca="false">F299+2+D299</f>
        <v>18</v>
      </c>
      <c r="H299" s="0" t="n">
        <f aca="false">Pemetaan!$B$2+E299</f>
        <v>27</v>
      </c>
      <c r="I299" s="0" t="str">
        <f aca="false">INDEX(Laporan!$A$1:$AZ$300,G299,1)</f>
        <v>Water Treatment</v>
      </c>
      <c r="J299" s="0" t="str">
        <f aca="false">INDEX(Laporan!$A$1:$AZ$300,G299,2)</f>
        <v>600 ml</v>
      </c>
      <c r="K299" s="0" t="str">
        <f aca="false">INDEX(Laporan!$A$1:$AZ$300,G299,3)</f>
        <v>Shift 2</v>
      </c>
      <c r="L299" s="0" t="n">
        <f aca="false">INDEX(Laporan!$A$1:$AZ$300,G299,4)</f>
        <v>3</v>
      </c>
      <c r="M299" s="1" t="n">
        <f aca="false">DATE(Pemetaan!$B$1,VALUE(RIGHT(INDEX(Laporan!$A$1:$AZ$300,F299+1,H299),2)),VALUE(LEFT(INDEX(Laporan!$A$1:$AZ$300,F299+1,H299),2)))</f>
        <v>46113</v>
      </c>
      <c r="N299" s="0" t="n">
        <f aca="false">INDEX(Laporan!$A$1:$AZ$300,G299,H299)</f>
        <v>2560</v>
      </c>
      <c r="O299" s="0" t="n">
        <f aca="false">IF(N299="","",IFERROR(VALUE(SUBSTITUTE(SUBSTITUTE(N299," btl",""),".","")),""))</f>
        <v>2560</v>
      </c>
      <c r="P299" s="0" t="str">
        <f aca="false">IF(B299="PRODUKSI","produced","reject")</f>
        <v>produced</v>
      </c>
    </row>
    <row r="300" customFormat="false" ht="15" hidden="false" customHeight="false" outlineLevel="0" collapsed="false">
      <c r="A300" s="0" t="n">
        <v>299</v>
      </c>
      <c r="B300" s="0" t="str">
        <f aca="false">IF(A300&lt;=36*25,"PRODUKSI","REJECT")</f>
        <v>PRODUKSI</v>
      </c>
      <c r="C300" s="0" t="n">
        <f aca="false">MOD(A300-1,Pemetaan!$B$3*Pemetaan!$B$4)</f>
        <v>298</v>
      </c>
      <c r="D300" s="0" t="n">
        <f aca="false">INT(C300/Pemetaan!$B$4)</f>
        <v>11</v>
      </c>
      <c r="E300" s="0" t="n">
        <f aca="false">MOD(C300,Pemetaan!$B$4)</f>
        <v>23</v>
      </c>
      <c r="F300" s="0" t="n">
        <f aca="false">IF(B300="PRODUKSI",Pemetaan!$B$5,Pemetaan!$B$6)</f>
        <v>5</v>
      </c>
      <c r="G300" s="0" t="n">
        <f aca="false">F300+2+D300</f>
        <v>18</v>
      </c>
      <c r="H300" s="0" t="n">
        <f aca="false">Pemetaan!$B$2+E300</f>
        <v>28</v>
      </c>
      <c r="I300" s="0" t="str">
        <f aca="false">INDEX(Laporan!$A$1:$AZ$300,G300,1)</f>
        <v>Water Treatment</v>
      </c>
      <c r="J300" s="0" t="str">
        <f aca="false">INDEX(Laporan!$A$1:$AZ$300,G300,2)</f>
        <v>600 ml</v>
      </c>
      <c r="K300" s="0" t="str">
        <f aca="false">INDEX(Laporan!$A$1:$AZ$300,G300,3)</f>
        <v>Shift 2</v>
      </c>
      <c r="L300" s="0" t="n">
        <f aca="false">INDEX(Laporan!$A$1:$AZ$300,G300,4)</f>
        <v>3</v>
      </c>
      <c r="M300" s="1" t="n">
        <f aca="false">DATE(Pemetaan!$B$1,VALUE(RIGHT(INDEX(Laporan!$A$1:$AZ$300,F300+1,H300),2)),VALUE(LEFT(INDEX(Laporan!$A$1:$AZ$300,F300+1,H300),2)))</f>
        <v>46114</v>
      </c>
      <c r="N300" s="0" t="n">
        <f aca="false">INDEX(Laporan!$A$1:$AZ$300,G300,H300)</f>
        <v>3006</v>
      </c>
      <c r="O300" s="0" t="n">
        <f aca="false">IF(N300="","",IFERROR(VALUE(SUBSTITUTE(SUBSTITUTE(N300," btl",""),".","")),""))</f>
        <v>3006</v>
      </c>
      <c r="P300" s="0" t="str">
        <f aca="false">IF(B300="PRODUKSI","produced","reject")</f>
        <v>produced</v>
      </c>
    </row>
    <row r="301" customFormat="false" ht="15" hidden="false" customHeight="false" outlineLevel="0" collapsed="false">
      <c r="A301" s="0" t="n">
        <v>300</v>
      </c>
      <c r="B301" s="0" t="str">
        <f aca="false">IF(A301&lt;=36*25,"PRODUKSI","REJECT")</f>
        <v>PRODUKSI</v>
      </c>
      <c r="C301" s="0" t="n">
        <f aca="false">MOD(A301-1,Pemetaan!$B$3*Pemetaan!$B$4)</f>
        <v>299</v>
      </c>
      <c r="D301" s="0" t="n">
        <f aca="false">INT(C301/Pemetaan!$B$4)</f>
        <v>11</v>
      </c>
      <c r="E301" s="0" t="n">
        <f aca="false">MOD(C301,Pemetaan!$B$4)</f>
        <v>24</v>
      </c>
      <c r="F301" s="0" t="n">
        <f aca="false">IF(B301="PRODUKSI",Pemetaan!$B$5,Pemetaan!$B$6)</f>
        <v>5</v>
      </c>
      <c r="G301" s="0" t="n">
        <f aca="false">F301+2+D301</f>
        <v>18</v>
      </c>
      <c r="H301" s="0" t="n">
        <f aca="false">Pemetaan!$B$2+E301</f>
        <v>29</v>
      </c>
      <c r="I301" s="0" t="str">
        <f aca="false">INDEX(Laporan!$A$1:$AZ$300,G301,1)</f>
        <v>Water Treatment</v>
      </c>
      <c r="J301" s="0" t="str">
        <f aca="false">INDEX(Laporan!$A$1:$AZ$300,G301,2)</f>
        <v>600 ml</v>
      </c>
      <c r="K301" s="0" t="str">
        <f aca="false">INDEX(Laporan!$A$1:$AZ$300,G301,3)</f>
        <v>Shift 2</v>
      </c>
      <c r="L301" s="0" t="n">
        <f aca="false">INDEX(Laporan!$A$1:$AZ$300,G301,4)</f>
        <v>3</v>
      </c>
      <c r="M301" s="1" t="n">
        <f aca="false">DATE(Pemetaan!$B$1,VALUE(RIGHT(INDEX(Laporan!$A$1:$AZ$300,F301+1,H301),2)),VALUE(LEFT(INDEX(Laporan!$A$1:$AZ$300,F301+1,H301),2)))</f>
        <v>46115</v>
      </c>
      <c r="N301" s="0" t="n">
        <f aca="false">INDEX(Laporan!$A$1:$AZ$300,G301,H301)</f>
        <v>2842</v>
      </c>
      <c r="O301" s="0" t="n">
        <f aca="false">IF(N301="","",IFERROR(VALUE(SUBSTITUTE(SUBSTITUTE(N301," btl",""),".","")),""))</f>
        <v>2842</v>
      </c>
      <c r="P301" s="0" t="str">
        <f aca="false">IF(B301="PRODUKSI","produced","reject")</f>
        <v>produced</v>
      </c>
    </row>
    <row r="302" customFormat="false" ht="15" hidden="false" customHeight="false" outlineLevel="0" collapsed="false">
      <c r="A302" s="0" t="n">
        <v>301</v>
      </c>
      <c r="B302" s="0" t="str">
        <f aca="false">IF(A302&lt;=36*25,"PRODUKSI","REJECT")</f>
        <v>PRODUKSI</v>
      </c>
      <c r="C302" s="0" t="n">
        <f aca="false">MOD(A302-1,Pemetaan!$B$3*Pemetaan!$B$4)</f>
        <v>300</v>
      </c>
      <c r="D302" s="0" t="n">
        <f aca="false">INT(C302/Pemetaan!$B$4)</f>
        <v>12</v>
      </c>
      <c r="E302" s="0" t="n">
        <f aca="false">MOD(C302,Pemetaan!$B$4)</f>
        <v>0</v>
      </c>
      <c r="F302" s="0" t="n">
        <f aca="false">IF(B302="PRODUKSI",Pemetaan!$B$5,Pemetaan!$B$6)</f>
        <v>5</v>
      </c>
      <c r="G302" s="0" t="n">
        <f aca="false">F302+2+D302</f>
        <v>19</v>
      </c>
      <c r="H302" s="0" t="n">
        <f aca="false">Pemetaan!$B$2+E302</f>
        <v>5</v>
      </c>
      <c r="I302" s="0" t="str">
        <f aca="false">INDEX(Laporan!$A$1:$AZ$300,G302,1)</f>
        <v>Water Treatment</v>
      </c>
      <c r="J302" s="0" t="str">
        <f aca="false">INDEX(Laporan!$A$1:$AZ$300,G302,2)</f>
        <v>1,5 L</v>
      </c>
      <c r="K302" s="0" t="str">
        <f aca="false">INDEX(Laporan!$A$1:$AZ$300,G302,3)</f>
        <v>Shift 1</v>
      </c>
      <c r="L302" s="0" t="n">
        <f aca="false">INDEX(Laporan!$A$1:$AZ$300,G302,4)</f>
        <v>1</v>
      </c>
      <c r="M302" s="1" t="n">
        <f aca="false">DATE(Pemetaan!$B$1,VALUE(RIGHT(INDEX(Laporan!$A$1:$AZ$300,F302+1,H302),2)),VALUE(LEFT(INDEX(Laporan!$A$1:$AZ$300,F302+1,H302),2)))</f>
        <v>46083</v>
      </c>
      <c r="N302" s="0" t="n">
        <f aca="false">INDEX(Laporan!$A$1:$AZ$300,G302,H302)</f>
        <v>1523</v>
      </c>
      <c r="O302" s="0" t="n">
        <f aca="false">IF(N302="","",IFERROR(VALUE(SUBSTITUTE(SUBSTITUTE(N302," btl",""),".","")),""))</f>
        <v>1523</v>
      </c>
      <c r="P302" s="0" t="str">
        <f aca="false">IF(B302="PRODUKSI","produced","reject")</f>
        <v>produced</v>
      </c>
    </row>
    <row r="303" customFormat="false" ht="15" hidden="false" customHeight="false" outlineLevel="0" collapsed="false">
      <c r="A303" s="0" t="n">
        <v>302</v>
      </c>
      <c r="B303" s="0" t="str">
        <f aca="false">IF(A303&lt;=36*25,"PRODUKSI","REJECT")</f>
        <v>PRODUKSI</v>
      </c>
      <c r="C303" s="0" t="n">
        <f aca="false">MOD(A303-1,Pemetaan!$B$3*Pemetaan!$B$4)</f>
        <v>301</v>
      </c>
      <c r="D303" s="0" t="n">
        <f aca="false">INT(C303/Pemetaan!$B$4)</f>
        <v>12</v>
      </c>
      <c r="E303" s="0" t="n">
        <f aca="false">MOD(C303,Pemetaan!$B$4)</f>
        <v>1</v>
      </c>
      <c r="F303" s="0" t="n">
        <f aca="false">IF(B303="PRODUKSI",Pemetaan!$B$5,Pemetaan!$B$6)</f>
        <v>5</v>
      </c>
      <c r="G303" s="0" t="n">
        <f aca="false">F303+2+D303</f>
        <v>19</v>
      </c>
      <c r="H303" s="0" t="n">
        <f aca="false">Pemetaan!$B$2+E303</f>
        <v>6</v>
      </c>
      <c r="I303" s="0" t="str">
        <f aca="false">INDEX(Laporan!$A$1:$AZ$300,G303,1)</f>
        <v>Water Treatment</v>
      </c>
      <c r="J303" s="0" t="str">
        <f aca="false">INDEX(Laporan!$A$1:$AZ$300,G303,2)</f>
        <v>1,5 L</v>
      </c>
      <c r="K303" s="0" t="str">
        <f aca="false">INDEX(Laporan!$A$1:$AZ$300,G303,3)</f>
        <v>Shift 1</v>
      </c>
      <c r="L303" s="0" t="n">
        <f aca="false">INDEX(Laporan!$A$1:$AZ$300,G303,4)</f>
        <v>1</v>
      </c>
      <c r="M303" s="1" t="n">
        <f aca="false">DATE(Pemetaan!$B$1,VALUE(RIGHT(INDEX(Laporan!$A$1:$AZ$300,F303+1,H303),2)),VALUE(LEFT(INDEX(Laporan!$A$1:$AZ$300,F303+1,H303),2)))</f>
        <v>46084</v>
      </c>
      <c r="N303" s="0" t="n">
        <f aca="false">INDEX(Laporan!$A$1:$AZ$300,G303,H303)</f>
        <v>1379</v>
      </c>
      <c r="O303" s="0" t="n">
        <f aca="false">IF(N303="","",IFERROR(VALUE(SUBSTITUTE(SUBSTITUTE(N303," btl",""),".","")),""))</f>
        <v>1379</v>
      </c>
      <c r="P303" s="0" t="str">
        <f aca="false">IF(B303="PRODUKSI","produced","reject")</f>
        <v>produced</v>
      </c>
    </row>
    <row r="304" customFormat="false" ht="15" hidden="false" customHeight="false" outlineLevel="0" collapsed="false">
      <c r="A304" s="0" t="n">
        <v>303</v>
      </c>
      <c r="B304" s="0" t="str">
        <f aca="false">IF(A304&lt;=36*25,"PRODUKSI","REJECT")</f>
        <v>PRODUKSI</v>
      </c>
      <c r="C304" s="0" t="n">
        <f aca="false">MOD(A304-1,Pemetaan!$B$3*Pemetaan!$B$4)</f>
        <v>302</v>
      </c>
      <c r="D304" s="0" t="n">
        <f aca="false">INT(C304/Pemetaan!$B$4)</f>
        <v>12</v>
      </c>
      <c r="E304" s="0" t="n">
        <f aca="false">MOD(C304,Pemetaan!$B$4)</f>
        <v>2</v>
      </c>
      <c r="F304" s="0" t="n">
        <f aca="false">IF(B304="PRODUKSI",Pemetaan!$B$5,Pemetaan!$B$6)</f>
        <v>5</v>
      </c>
      <c r="G304" s="0" t="n">
        <f aca="false">F304+2+D304</f>
        <v>19</v>
      </c>
      <c r="H304" s="0" t="n">
        <f aca="false">Pemetaan!$B$2+E304</f>
        <v>7</v>
      </c>
      <c r="I304" s="0" t="str">
        <f aca="false">INDEX(Laporan!$A$1:$AZ$300,G304,1)</f>
        <v>Water Treatment</v>
      </c>
      <c r="J304" s="0" t="str">
        <f aca="false">INDEX(Laporan!$A$1:$AZ$300,G304,2)</f>
        <v>1,5 L</v>
      </c>
      <c r="K304" s="0" t="str">
        <f aca="false">INDEX(Laporan!$A$1:$AZ$300,G304,3)</f>
        <v>Shift 1</v>
      </c>
      <c r="L304" s="0" t="n">
        <f aca="false">INDEX(Laporan!$A$1:$AZ$300,G304,4)</f>
        <v>1</v>
      </c>
      <c r="M304" s="1" t="n">
        <f aca="false">DATE(Pemetaan!$B$1,VALUE(RIGHT(INDEX(Laporan!$A$1:$AZ$300,F304+1,H304),2)),VALUE(LEFT(INDEX(Laporan!$A$1:$AZ$300,F304+1,H304),2)))</f>
        <v>46085</v>
      </c>
      <c r="N304" s="0" t="n">
        <f aca="false">INDEX(Laporan!$A$1:$AZ$300,G304,H304)</f>
        <v>1495</v>
      </c>
      <c r="O304" s="0" t="n">
        <f aca="false">IF(N304="","",IFERROR(VALUE(SUBSTITUTE(SUBSTITUTE(N304," btl",""),".","")),""))</f>
        <v>1495</v>
      </c>
      <c r="P304" s="0" t="str">
        <f aca="false">IF(B304="PRODUKSI","produced","reject")</f>
        <v>produced</v>
      </c>
    </row>
    <row r="305" customFormat="false" ht="15" hidden="false" customHeight="false" outlineLevel="0" collapsed="false">
      <c r="A305" s="0" t="n">
        <v>304</v>
      </c>
      <c r="B305" s="0" t="str">
        <f aca="false">IF(A305&lt;=36*25,"PRODUKSI","REJECT")</f>
        <v>PRODUKSI</v>
      </c>
      <c r="C305" s="0" t="n">
        <f aca="false">MOD(A305-1,Pemetaan!$B$3*Pemetaan!$B$4)</f>
        <v>303</v>
      </c>
      <c r="D305" s="0" t="n">
        <f aca="false">INT(C305/Pemetaan!$B$4)</f>
        <v>12</v>
      </c>
      <c r="E305" s="0" t="n">
        <f aca="false">MOD(C305,Pemetaan!$B$4)</f>
        <v>3</v>
      </c>
      <c r="F305" s="0" t="n">
        <f aca="false">IF(B305="PRODUKSI",Pemetaan!$B$5,Pemetaan!$B$6)</f>
        <v>5</v>
      </c>
      <c r="G305" s="0" t="n">
        <f aca="false">F305+2+D305</f>
        <v>19</v>
      </c>
      <c r="H305" s="0" t="n">
        <f aca="false">Pemetaan!$B$2+E305</f>
        <v>8</v>
      </c>
      <c r="I305" s="0" t="str">
        <f aca="false">INDEX(Laporan!$A$1:$AZ$300,G305,1)</f>
        <v>Water Treatment</v>
      </c>
      <c r="J305" s="0" t="str">
        <f aca="false">INDEX(Laporan!$A$1:$AZ$300,G305,2)</f>
        <v>1,5 L</v>
      </c>
      <c r="K305" s="0" t="str">
        <f aca="false">INDEX(Laporan!$A$1:$AZ$300,G305,3)</f>
        <v>Shift 1</v>
      </c>
      <c r="L305" s="0" t="n">
        <f aca="false">INDEX(Laporan!$A$1:$AZ$300,G305,4)</f>
        <v>1</v>
      </c>
      <c r="M305" s="1" t="n">
        <f aca="false">DATE(Pemetaan!$B$1,VALUE(RIGHT(INDEX(Laporan!$A$1:$AZ$300,F305+1,H305),2)),VALUE(LEFT(INDEX(Laporan!$A$1:$AZ$300,F305+1,H305),2)))</f>
        <v>46086</v>
      </c>
      <c r="N305" s="0" t="n">
        <f aca="false">INDEX(Laporan!$A$1:$AZ$300,G305,H305)</f>
        <v>1539</v>
      </c>
      <c r="O305" s="0" t="n">
        <f aca="false">IF(N305="","",IFERROR(VALUE(SUBSTITUTE(SUBSTITUTE(N305," btl",""),".","")),""))</f>
        <v>1539</v>
      </c>
      <c r="P305" s="0" t="str">
        <f aca="false">IF(B305="PRODUKSI","produced","reject")</f>
        <v>produced</v>
      </c>
    </row>
    <row r="306" customFormat="false" ht="15" hidden="false" customHeight="false" outlineLevel="0" collapsed="false">
      <c r="A306" s="0" t="n">
        <v>305</v>
      </c>
      <c r="B306" s="0" t="str">
        <f aca="false">IF(A306&lt;=36*25,"PRODUKSI","REJECT")</f>
        <v>PRODUKSI</v>
      </c>
      <c r="C306" s="0" t="n">
        <f aca="false">MOD(A306-1,Pemetaan!$B$3*Pemetaan!$B$4)</f>
        <v>304</v>
      </c>
      <c r="D306" s="0" t="n">
        <f aca="false">INT(C306/Pemetaan!$B$4)</f>
        <v>12</v>
      </c>
      <c r="E306" s="0" t="n">
        <f aca="false">MOD(C306,Pemetaan!$B$4)</f>
        <v>4</v>
      </c>
      <c r="F306" s="0" t="n">
        <f aca="false">IF(B306="PRODUKSI",Pemetaan!$B$5,Pemetaan!$B$6)</f>
        <v>5</v>
      </c>
      <c r="G306" s="0" t="n">
        <f aca="false">F306+2+D306</f>
        <v>19</v>
      </c>
      <c r="H306" s="0" t="n">
        <f aca="false">Pemetaan!$B$2+E306</f>
        <v>9</v>
      </c>
      <c r="I306" s="0" t="str">
        <f aca="false">INDEX(Laporan!$A$1:$AZ$300,G306,1)</f>
        <v>Water Treatment</v>
      </c>
      <c r="J306" s="0" t="str">
        <f aca="false">INDEX(Laporan!$A$1:$AZ$300,G306,2)</f>
        <v>1,5 L</v>
      </c>
      <c r="K306" s="0" t="str">
        <f aca="false">INDEX(Laporan!$A$1:$AZ$300,G306,3)</f>
        <v>Shift 1</v>
      </c>
      <c r="L306" s="0" t="n">
        <f aca="false">INDEX(Laporan!$A$1:$AZ$300,G306,4)</f>
        <v>1</v>
      </c>
      <c r="M306" s="1" t="n">
        <f aca="false">DATE(Pemetaan!$B$1,VALUE(RIGHT(INDEX(Laporan!$A$1:$AZ$300,F306+1,H306),2)),VALUE(LEFT(INDEX(Laporan!$A$1:$AZ$300,F306+1,H306),2)))</f>
        <v>46087</v>
      </c>
      <c r="N306" s="0" t="n">
        <f aca="false">INDEX(Laporan!$A$1:$AZ$300,G306,H306)</f>
        <v>1540</v>
      </c>
      <c r="O306" s="0" t="n">
        <f aca="false">IF(N306="","",IFERROR(VALUE(SUBSTITUTE(SUBSTITUTE(N306," btl",""),".","")),""))</f>
        <v>1540</v>
      </c>
      <c r="P306" s="0" t="str">
        <f aca="false">IF(B306="PRODUKSI","produced","reject")</f>
        <v>produced</v>
      </c>
    </row>
    <row r="307" customFormat="false" ht="15" hidden="false" customHeight="false" outlineLevel="0" collapsed="false">
      <c r="A307" s="0" t="n">
        <v>306</v>
      </c>
      <c r="B307" s="0" t="str">
        <f aca="false">IF(A307&lt;=36*25,"PRODUKSI","REJECT")</f>
        <v>PRODUKSI</v>
      </c>
      <c r="C307" s="0" t="n">
        <f aca="false">MOD(A307-1,Pemetaan!$B$3*Pemetaan!$B$4)</f>
        <v>305</v>
      </c>
      <c r="D307" s="0" t="n">
        <f aca="false">INT(C307/Pemetaan!$B$4)</f>
        <v>12</v>
      </c>
      <c r="E307" s="0" t="n">
        <f aca="false">MOD(C307,Pemetaan!$B$4)</f>
        <v>5</v>
      </c>
      <c r="F307" s="0" t="n">
        <f aca="false">IF(B307="PRODUKSI",Pemetaan!$B$5,Pemetaan!$B$6)</f>
        <v>5</v>
      </c>
      <c r="G307" s="0" t="n">
        <f aca="false">F307+2+D307</f>
        <v>19</v>
      </c>
      <c r="H307" s="0" t="n">
        <f aca="false">Pemetaan!$B$2+E307</f>
        <v>10</v>
      </c>
      <c r="I307" s="0" t="str">
        <f aca="false">INDEX(Laporan!$A$1:$AZ$300,G307,1)</f>
        <v>Water Treatment</v>
      </c>
      <c r="J307" s="0" t="str">
        <f aca="false">INDEX(Laporan!$A$1:$AZ$300,G307,2)</f>
        <v>1,5 L</v>
      </c>
      <c r="K307" s="0" t="str">
        <f aca="false">INDEX(Laporan!$A$1:$AZ$300,G307,3)</f>
        <v>Shift 1</v>
      </c>
      <c r="L307" s="0" t="n">
        <f aca="false">INDEX(Laporan!$A$1:$AZ$300,G307,4)</f>
        <v>1</v>
      </c>
      <c r="M307" s="1" t="n">
        <f aca="false">DATE(Pemetaan!$B$1,VALUE(RIGHT(INDEX(Laporan!$A$1:$AZ$300,F307+1,H307),2)),VALUE(LEFT(INDEX(Laporan!$A$1:$AZ$300,F307+1,H307),2)))</f>
        <v>46090</v>
      </c>
      <c r="N307" s="0" t="n">
        <f aca="false">INDEX(Laporan!$A$1:$AZ$300,G307,H307)</f>
        <v>1331</v>
      </c>
      <c r="O307" s="0" t="n">
        <f aca="false">IF(N307="","",IFERROR(VALUE(SUBSTITUTE(SUBSTITUTE(N307," btl",""),".","")),""))</f>
        <v>1331</v>
      </c>
      <c r="P307" s="0" t="str">
        <f aca="false">IF(B307="PRODUKSI","produced","reject")</f>
        <v>produced</v>
      </c>
    </row>
    <row r="308" customFormat="false" ht="15" hidden="false" customHeight="false" outlineLevel="0" collapsed="false">
      <c r="A308" s="0" t="n">
        <v>307</v>
      </c>
      <c r="B308" s="0" t="str">
        <f aca="false">IF(A308&lt;=36*25,"PRODUKSI","REJECT")</f>
        <v>PRODUKSI</v>
      </c>
      <c r="C308" s="0" t="n">
        <f aca="false">MOD(A308-1,Pemetaan!$B$3*Pemetaan!$B$4)</f>
        <v>306</v>
      </c>
      <c r="D308" s="0" t="n">
        <f aca="false">INT(C308/Pemetaan!$B$4)</f>
        <v>12</v>
      </c>
      <c r="E308" s="0" t="n">
        <f aca="false">MOD(C308,Pemetaan!$B$4)</f>
        <v>6</v>
      </c>
      <c r="F308" s="0" t="n">
        <f aca="false">IF(B308="PRODUKSI",Pemetaan!$B$5,Pemetaan!$B$6)</f>
        <v>5</v>
      </c>
      <c r="G308" s="0" t="n">
        <f aca="false">F308+2+D308</f>
        <v>19</v>
      </c>
      <c r="H308" s="0" t="n">
        <f aca="false">Pemetaan!$B$2+E308</f>
        <v>11</v>
      </c>
      <c r="I308" s="0" t="str">
        <f aca="false">INDEX(Laporan!$A$1:$AZ$300,G308,1)</f>
        <v>Water Treatment</v>
      </c>
      <c r="J308" s="0" t="str">
        <f aca="false">INDEX(Laporan!$A$1:$AZ$300,G308,2)</f>
        <v>1,5 L</v>
      </c>
      <c r="K308" s="0" t="str">
        <f aca="false">INDEX(Laporan!$A$1:$AZ$300,G308,3)</f>
        <v>Shift 1</v>
      </c>
      <c r="L308" s="0" t="n">
        <f aca="false">INDEX(Laporan!$A$1:$AZ$300,G308,4)</f>
        <v>1</v>
      </c>
      <c r="M308" s="1" t="n">
        <f aca="false">DATE(Pemetaan!$B$1,VALUE(RIGHT(INDEX(Laporan!$A$1:$AZ$300,F308+1,H308),2)),VALUE(LEFT(INDEX(Laporan!$A$1:$AZ$300,F308+1,H308),2)))</f>
        <v>46091</v>
      </c>
      <c r="N308" s="0" t="n">
        <f aca="false">INDEX(Laporan!$A$1:$AZ$300,G308,H308)</f>
        <v>1439</v>
      </c>
      <c r="O308" s="0" t="n">
        <f aca="false">IF(N308="","",IFERROR(VALUE(SUBSTITUTE(SUBSTITUTE(N308," btl",""),".","")),""))</f>
        <v>1439</v>
      </c>
      <c r="P308" s="0" t="str">
        <f aca="false">IF(B308="PRODUKSI","produced","reject")</f>
        <v>produced</v>
      </c>
    </row>
    <row r="309" customFormat="false" ht="15" hidden="false" customHeight="false" outlineLevel="0" collapsed="false">
      <c r="A309" s="0" t="n">
        <v>308</v>
      </c>
      <c r="B309" s="0" t="str">
        <f aca="false">IF(A309&lt;=36*25,"PRODUKSI","REJECT")</f>
        <v>PRODUKSI</v>
      </c>
      <c r="C309" s="0" t="n">
        <f aca="false">MOD(A309-1,Pemetaan!$B$3*Pemetaan!$B$4)</f>
        <v>307</v>
      </c>
      <c r="D309" s="0" t="n">
        <f aca="false">INT(C309/Pemetaan!$B$4)</f>
        <v>12</v>
      </c>
      <c r="E309" s="0" t="n">
        <f aca="false">MOD(C309,Pemetaan!$B$4)</f>
        <v>7</v>
      </c>
      <c r="F309" s="0" t="n">
        <f aca="false">IF(B309="PRODUKSI",Pemetaan!$B$5,Pemetaan!$B$6)</f>
        <v>5</v>
      </c>
      <c r="G309" s="0" t="n">
        <f aca="false">F309+2+D309</f>
        <v>19</v>
      </c>
      <c r="H309" s="0" t="n">
        <f aca="false">Pemetaan!$B$2+E309</f>
        <v>12</v>
      </c>
      <c r="I309" s="0" t="str">
        <f aca="false">INDEX(Laporan!$A$1:$AZ$300,G309,1)</f>
        <v>Water Treatment</v>
      </c>
      <c r="J309" s="0" t="str">
        <f aca="false">INDEX(Laporan!$A$1:$AZ$300,G309,2)</f>
        <v>1,5 L</v>
      </c>
      <c r="K309" s="0" t="str">
        <f aca="false">INDEX(Laporan!$A$1:$AZ$300,G309,3)</f>
        <v>Shift 1</v>
      </c>
      <c r="L309" s="0" t="n">
        <f aca="false">INDEX(Laporan!$A$1:$AZ$300,G309,4)</f>
        <v>1</v>
      </c>
      <c r="M309" s="1" t="n">
        <f aca="false">DATE(Pemetaan!$B$1,VALUE(RIGHT(INDEX(Laporan!$A$1:$AZ$300,F309+1,H309),2)),VALUE(LEFT(INDEX(Laporan!$A$1:$AZ$300,F309+1,H309),2)))</f>
        <v>46092</v>
      </c>
      <c r="N309" s="0" t="n">
        <f aca="false">INDEX(Laporan!$A$1:$AZ$300,G309,H309)</f>
        <v>1767</v>
      </c>
      <c r="O309" s="0" t="n">
        <f aca="false">IF(N309="","",IFERROR(VALUE(SUBSTITUTE(SUBSTITUTE(N309," btl",""),".","")),""))</f>
        <v>1767</v>
      </c>
      <c r="P309" s="0" t="str">
        <f aca="false">IF(B309="PRODUKSI","produced","reject")</f>
        <v>produced</v>
      </c>
    </row>
    <row r="310" customFormat="false" ht="15" hidden="false" customHeight="false" outlineLevel="0" collapsed="false">
      <c r="A310" s="0" t="n">
        <v>309</v>
      </c>
      <c r="B310" s="0" t="str">
        <f aca="false">IF(A310&lt;=36*25,"PRODUKSI","REJECT")</f>
        <v>PRODUKSI</v>
      </c>
      <c r="C310" s="0" t="n">
        <f aca="false">MOD(A310-1,Pemetaan!$B$3*Pemetaan!$B$4)</f>
        <v>308</v>
      </c>
      <c r="D310" s="0" t="n">
        <f aca="false">INT(C310/Pemetaan!$B$4)</f>
        <v>12</v>
      </c>
      <c r="E310" s="0" t="n">
        <f aca="false">MOD(C310,Pemetaan!$B$4)</f>
        <v>8</v>
      </c>
      <c r="F310" s="0" t="n">
        <f aca="false">IF(B310="PRODUKSI",Pemetaan!$B$5,Pemetaan!$B$6)</f>
        <v>5</v>
      </c>
      <c r="G310" s="0" t="n">
        <f aca="false">F310+2+D310</f>
        <v>19</v>
      </c>
      <c r="H310" s="0" t="n">
        <f aca="false">Pemetaan!$B$2+E310</f>
        <v>13</v>
      </c>
      <c r="I310" s="0" t="str">
        <f aca="false">INDEX(Laporan!$A$1:$AZ$300,G310,1)</f>
        <v>Water Treatment</v>
      </c>
      <c r="J310" s="0" t="str">
        <f aca="false">INDEX(Laporan!$A$1:$AZ$300,G310,2)</f>
        <v>1,5 L</v>
      </c>
      <c r="K310" s="0" t="str">
        <f aca="false">INDEX(Laporan!$A$1:$AZ$300,G310,3)</f>
        <v>Shift 1</v>
      </c>
      <c r="L310" s="0" t="n">
        <f aca="false">INDEX(Laporan!$A$1:$AZ$300,G310,4)</f>
        <v>1</v>
      </c>
      <c r="M310" s="1" t="n">
        <f aca="false">DATE(Pemetaan!$B$1,VALUE(RIGHT(INDEX(Laporan!$A$1:$AZ$300,F310+1,H310),2)),VALUE(LEFT(INDEX(Laporan!$A$1:$AZ$300,F310+1,H310),2)))</f>
        <v>46093</v>
      </c>
      <c r="N310" s="0" t="n">
        <f aca="false">INDEX(Laporan!$A$1:$AZ$300,G310,H310)</f>
        <v>1549</v>
      </c>
      <c r="O310" s="0" t="n">
        <f aca="false">IF(N310="","",IFERROR(VALUE(SUBSTITUTE(SUBSTITUTE(N310," btl",""),".","")),""))</f>
        <v>1549</v>
      </c>
      <c r="P310" s="0" t="str">
        <f aca="false">IF(B310="PRODUKSI","produced","reject")</f>
        <v>produced</v>
      </c>
    </row>
    <row r="311" customFormat="false" ht="15" hidden="false" customHeight="false" outlineLevel="0" collapsed="false">
      <c r="A311" s="0" t="n">
        <v>310</v>
      </c>
      <c r="B311" s="0" t="str">
        <f aca="false">IF(A311&lt;=36*25,"PRODUKSI","REJECT")</f>
        <v>PRODUKSI</v>
      </c>
      <c r="C311" s="0" t="n">
        <f aca="false">MOD(A311-1,Pemetaan!$B$3*Pemetaan!$B$4)</f>
        <v>309</v>
      </c>
      <c r="D311" s="0" t="n">
        <f aca="false">INT(C311/Pemetaan!$B$4)</f>
        <v>12</v>
      </c>
      <c r="E311" s="0" t="n">
        <f aca="false">MOD(C311,Pemetaan!$B$4)</f>
        <v>9</v>
      </c>
      <c r="F311" s="0" t="n">
        <f aca="false">IF(B311="PRODUKSI",Pemetaan!$B$5,Pemetaan!$B$6)</f>
        <v>5</v>
      </c>
      <c r="G311" s="0" t="n">
        <f aca="false">F311+2+D311</f>
        <v>19</v>
      </c>
      <c r="H311" s="0" t="n">
        <f aca="false">Pemetaan!$B$2+E311</f>
        <v>14</v>
      </c>
      <c r="I311" s="0" t="str">
        <f aca="false">INDEX(Laporan!$A$1:$AZ$300,G311,1)</f>
        <v>Water Treatment</v>
      </c>
      <c r="J311" s="0" t="str">
        <f aca="false">INDEX(Laporan!$A$1:$AZ$300,G311,2)</f>
        <v>1,5 L</v>
      </c>
      <c r="K311" s="0" t="str">
        <f aca="false">INDEX(Laporan!$A$1:$AZ$300,G311,3)</f>
        <v>Shift 1</v>
      </c>
      <c r="L311" s="0" t="n">
        <f aca="false">INDEX(Laporan!$A$1:$AZ$300,G311,4)</f>
        <v>1</v>
      </c>
      <c r="M311" s="1" t="n">
        <f aca="false">DATE(Pemetaan!$B$1,VALUE(RIGHT(INDEX(Laporan!$A$1:$AZ$300,F311+1,H311),2)),VALUE(LEFT(INDEX(Laporan!$A$1:$AZ$300,F311+1,H311),2)))</f>
        <v>46094</v>
      </c>
      <c r="N311" s="0" t="n">
        <f aca="false">INDEX(Laporan!$A$1:$AZ$300,G311,H311)</f>
        <v>1509</v>
      </c>
      <c r="O311" s="0" t="n">
        <f aca="false">IF(N311="","",IFERROR(VALUE(SUBSTITUTE(SUBSTITUTE(N311," btl",""),".","")),""))</f>
        <v>1509</v>
      </c>
      <c r="P311" s="0" t="str">
        <f aca="false">IF(B311="PRODUKSI","produced","reject")</f>
        <v>produced</v>
      </c>
    </row>
    <row r="312" customFormat="false" ht="15" hidden="false" customHeight="false" outlineLevel="0" collapsed="false">
      <c r="A312" s="0" t="n">
        <v>311</v>
      </c>
      <c r="B312" s="0" t="str">
        <f aca="false">IF(A312&lt;=36*25,"PRODUKSI","REJECT")</f>
        <v>PRODUKSI</v>
      </c>
      <c r="C312" s="0" t="n">
        <f aca="false">MOD(A312-1,Pemetaan!$B$3*Pemetaan!$B$4)</f>
        <v>310</v>
      </c>
      <c r="D312" s="0" t="n">
        <f aca="false">INT(C312/Pemetaan!$B$4)</f>
        <v>12</v>
      </c>
      <c r="E312" s="0" t="n">
        <f aca="false">MOD(C312,Pemetaan!$B$4)</f>
        <v>10</v>
      </c>
      <c r="F312" s="0" t="n">
        <f aca="false">IF(B312="PRODUKSI",Pemetaan!$B$5,Pemetaan!$B$6)</f>
        <v>5</v>
      </c>
      <c r="G312" s="0" t="n">
        <f aca="false">F312+2+D312</f>
        <v>19</v>
      </c>
      <c r="H312" s="0" t="n">
        <f aca="false">Pemetaan!$B$2+E312</f>
        <v>15</v>
      </c>
      <c r="I312" s="0" t="str">
        <f aca="false">INDEX(Laporan!$A$1:$AZ$300,G312,1)</f>
        <v>Water Treatment</v>
      </c>
      <c r="J312" s="0" t="str">
        <f aca="false">INDEX(Laporan!$A$1:$AZ$300,G312,2)</f>
        <v>1,5 L</v>
      </c>
      <c r="K312" s="0" t="str">
        <f aca="false">INDEX(Laporan!$A$1:$AZ$300,G312,3)</f>
        <v>Shift 1</v>
      </c>
      <c r="L312" s="0" t="n">
        <f aca="false">INDEX(Laporan!$A$1:$AZ$300,G312,4)</f>
        <v>1</v>
      </c>
      <c r="M312" s="1" t="n">
        <f aca="false">DATE(Pemetaan!$B$1,VALUE(RIGHT(INDEX(Laporan!$A$1:$AZ$300,F312+1,H312),2)),VALUE(LEFT(INDEX(Laporan!$A$1:$AZ$300,F312+1,H312),2)))</f>
        <v>46097</v>
      </c>
      <c r="N312" s="0" t="n">
        <f aca="false">INDEX(Laporan!$A$1:$AZ$300,G312,H312)</f>
        <v>1588</v>
      </c>
      <c r="O312" s="0" t="n">
        <f aca="false">IF(N312="","",IFERROR(VALUE(SUBSTITUTE(SUBSTITUTE(N312," btl",""),".","")),""))</f>
        <v>1588</v>
      </c>
      <c r="P312" s="0" t="str">
        <f aca="false">IF(B312="PRODUKSI","produced","reject")</f>
        <v>produced</v>
      </c>
    </row>
    <row r="313" customFormat="false" ht="15" hidden="false" customHeight="false" outlineLevel="0" collapsed="false">
      <c r="A313" s="0" t="n">
        <v>312</v>
      </c>
      <c r="B313" s="0" t="str">
        <f aca="false">IF(A313&lt;=36*25,"PRODUKSI","REJECT")</f>
        <v>PRODUKSI</v>
      </c>
      <c r="C313" s="0" t="n">
        <f aca="false">MOD(A313-1,Pemetaan!$B$3*Pemetaan!$B$4)</f>
        <v>311</v>
      </c>
      <c r="D313" s="0" t="n">
        <f aca="false">INT(C313/Pemetaan!$B$4)</f>
        <v>12</v>
      </c>
      <c r="E313" s="0" t="n">
        <f aca="false">MOD(C313,Pemetaan!$B$4)</f>
        <v>11</v>
      </c>
      <c r="F313" s="0" t="n">
        <f aca="false">IF(B313="PRODUKSI",Pemetaan!$B$5,Pemetaan!$B$6)</f>
        <v>5</v>
      </c>
      <c r="G313" s="0" t="n">
        <f aca="false">F313+2+D313</f>
        <v>19</v>
      </c>
      <c r="H313" s="0" t="n">
        <f aca="false">Pemetaan!$B$2+E313</f>
        <v>16</v>
      </c>
      <c r="I313" s="0" t="str">
        <f aca="false">INDEX(Laporan!$A$1:$AZ$300,G313,1)</f>
        <v>Water Treatment</v>
      </c>
      <c r="J313" s="0" t="str">
        <f aca="false">INDEX(Laporan!$A$1:$AZ$300,G313,2)</f>
        <v>1,5 L</v>
      </c>
      <c r="K313" s="0" t="str">
        <f aca="false">INDEX(Laporan!$A$1:$AZ$300,G313,3)</f>
        <v>Shift 1</v>
      </c>
      <c r="L313" s="0" t="n">
        <f aca="false">INDEX(Laporan!$A$1:$AZ$300,G313,4)</f>
        <v>1</v>
      </c>
      <c r="M313" s="1" t="n">
        <f aca="false">DATE(Pemetaan!$B$1,VALUE(RIGHT(INDEX(Laporan!$A$1:$AZ$300,F313+1,H313),2)),VALUE(LEFT(INDEX(Laporan!$A$1:$AZ$300,F313+1,H313),2)))</f>
        <v>46098</v>
      </c>
      <c r="N313" s="0" t="n">
        <f aca="false">INDEX(Laporan!$A$1:$AZ$300,G313,H313)</f>
        <v>1539</v>
      </c>
      <c r="O313" s="0" t="n">
        <f aca="false">IF(N313="","",IFERROR(VALUE(SUBSTITUTE(SUBSTITUTE(N313," btl",""),".","")),""))</f>
        <v>1539</v>
      </c>
      <c r="P313" s="0" t="str">
        <f aca="false">IF(B313="PRODUKSI","produced","reject")</f>
        <v>produced</v>
      </c>
    </row>
    <row r="314" customFormat="false" ht="15" hidden="false" customHeight="false" outlineLevel="0" collapsed="false">
      <c r="A314" s="0" t="n">
        <v>313</v>
      </c>
      <c r="B314" s="0" t="str">
        <f aca="false">IF(A314&lt;=36*25,"PRODUKSI","REJECT")</f>
        <v>PRODUKSI</v>
      </c>
      <c r="C314" s="0" t="n">
        <f aca="false">MOD(A314-1,Pemetaan!$B$3*Pemetaan!$B$4)</f>
        <v>312</v>
      </c>
      <c r="D314" s="0" t="n">
        <f aca="false">INT(C314/Pemetaan!$B$4)</f>
        <v>12</v>
      </c>
      <c r="E314" s="0" t="n">
        <f aca="false">MOD(C314,Pemetaan!$B$4)</f>
        <v>12</v>
      </c>
      <c r="F314" s="0" t="n">
        <f aca="false">IF(B314="PRODUKSI",Pemetaan!$B$5,Pemetaan!$B$6)</f>
        <v>5</v>
      </c>
      <c r="G314" s="0" t="n">
        <f aca="false">F314+2+D314</f>
        <v>19</v>
      </c>
      <c r="H314" s="0" t="n">
        <f aca="false">Pemetaan!$B$2+E314</f>
        <v>17</v>
      </c>
      <c r="I314" s="0" t="str">
        <f aca="false">INDEX(Laporan!$A$1:$AZ$300,G314,1)</f>
        <v>Water Treatment</v>
      </c>
      <c r="J314" s="0" t="str">
        <f aca="false">INDEX(Laporan!$A$1:$AZ$300,G314,2)</f>
        <v>1,5 L</v>
      </c>
      <c r="K314" s="0" t="str">
        <f aca="false">INDEX(Laporan!$A$1:$AZ$300,G314,3)</f>
        <v>Shift 1</v>
      </c>
      <c r="L314" s="0" t="n">
        <f aca="false">INDEX(Laporan!$A$1:$AZ$300,G314,4)</f>
        <v>1</v>
      </c>
      <c r="M314" s="1" t="n">
        <f aca="false">DATE(Pemetaan!$B$1,VALUE(RIGHT(INDEX(Laporan!$A$1:$AZ$300,F314+1,H314),2)),VALUE(LEFT(INDEX(Laporan!$A$1:$AZ$300,F314+1,H314),2)))</f>
        <v>46099</v>
      </c>
      <c r="N314" s="0" t="n">
        <f aca="false">INDEX(Laporan!$A$1:$AZ$300,G314,H314)</f>
        <v>1522</v>
      </c>
      <c r="O314" s="0" t="n">
        <f aca="false">IF(N314="","",IFERROR(VALUE(SUBSTITUTE(SUBSTITUTE(N314," btl",""),".","")),""))</f>
        <v>1522</v>
      </c>
      <c r="P314" s="0" t="str">
        <f aca="false">IF(B314="PRODUKSI","produced","reject")</f>
        <v>produced</v>
      </c>
    </row>
    <row r="315" customFormat="false" ht="15" hidden="false" customHeight="false" outlineLevel="0" collapsed="false">
      <c r="A315" s="0" t="n">
        <v>314</v>
      </c>
      <c r="B315" s="0" t="str">
        <f aca="false">IF(A315&lt;=36*25,"PRODUKSI","REJECT")</f>
        <v>PRODUKSI</v>
      </c>
      <c r="C315" s="0" t="n">
        <f aca="false">MOD(A315-1,Pemetaan!$B$3*Pemetaan!$B$4)</f>
        <v>313</v>
      </c>
      <c r="D315" s="0" t="n">
        <f aca="false">INT(C315/Pemetaan!$B$4)</f>
        <v>12</v>
      </c>
      <c r="E315" s="0" t="n">
        <f aca="false">MOD(C315,Pemetaan!$B$4)</f>
        <v>13</v>
      </c>
      <c r="F315" s="0" t="n">
        <f aca="false">IF(B315="PRODUKSI",Pemetaan!$B$5,Pemetaan!$B$6)</f>
        <v>5</v>
      </c>
      <c r="G315" s="0" t="n">
        <f aca="false">F315+2+D315</f>
        <v>19</v>
      </c>
      <c r="H315" s="0" t="n">
        <f aca="false">Pemetaan!$B$2+E315</f>
        <v>18</v>
      </c>
      <c r="I315" s="0" t="str">
        <f aca="false">INDEX(Laporan!$A$1:$AZ$300,G315,1)</f>
        <v>Water Treatment</v>
      </c>
      <c r="J315" s="0" t="str">
        <f aca="false">INDEX(Laporan!$A$1:$AZ$300,G315,2)</f>
        <v>1,5 L</v>
      </c>
      <c r="K315" s="0" t="str">
        <f aca="false">INDEX(Laporan!$A$1:$AZ$300,G315,3)</f>
        <v>Shift 1</v>
      </c>
      <c r="L315" s="0" t="n">
        <f aca="false">INDEX(Laporan!$A$1:$AZ$300,G315,4)</f>
        <v>1</v>
      </c>
      <c r="M315" s="1" t="n">
        <f aca="false">DATE(Pemetaan!$B$1,VALUE(RIGHT(INDEX(Laporan!$A$1:$AZ$300,F315+1,H315),2)),VALUE(LEFT(INDEX(Laporan!$A$1:$AZ$300,F315+1,H315),2)))</f>
        <v>46100</v>
      </c>
      <c r="N315" s="0" t="n">
        <f aca="false">INDEX(Laporan!$A$1:$AZ$300,G315,H315)</f>
        <v>1597</v>
      </c>
      <c r="O315" s="0" t="n">
        <f aca="false">IF(N315="","",IFERROR(VALUE(SUBSTITUTE(SUBSTITUTE(N315," btl",""),".","")),""))</f>
        <v>1597</v>
      </c>
      <c r="P315" s="0" t="str">
        <f aca="false">IF(B315="PRODUKSI","produced","reject")</f>
        <v>produced</v>
      </c>
    </row>
    <row r="316" customFormat="false" ht="15" hidden="false" customHeight="false" outlineLevel="0" collapsed="false">
      <c r="A316" s="0" t="n">
        <v>315</v>
      </c>
      <c r="B316" s="0" t="str">
        <f aca="false">IF(A316&lt;=36*25,"PRODUKSI","REJECT")</f>
        <v>PRODUKSI</v>
      </c>
      <c r="C316" s="0" t="n">
        <f aca="false">MOD(A316-1,Pemetaan!$B$3*Pemetaan!$B$4)</f>
        <v>314</v>
      </c>
      <c r="D316" s="0" t="n">
        <f aca="false">INT(C316/Pemetaan!$B$4)</f>
        <v>12</v>
      </c>
      <c r="E316" s="0" t="n">
        <f aca="false">MOD(C316,Pemetaan!$B$4)</f>
        <v>14</v>
      </c>
      <c r="F316" s="0" t="n">
        <f aca="false">IF(B316="PRODUKSI",Pemetaan!$B$5,Pemetaan!$B$6)</f>
        <v>5</v>
      </c>
      <c r="G316" s="0" t="n">
        <f aca="false">F316+2+D316</f>
        <v>19</v>
      </c>
      <c r="H316" s="0" t="n">
        <f aca="false">Pemetaan!$B$2+E316</f>
        <v>19</v>
      </c>
      <c r="I316" s="0" t="str">
        <f aca="false">INDEX(Laporan!$A$1:$AZ$300,G316,1)</f>
        <v>Water Treatment</v>
      </c>
      <c r="J316" s="0" t="str">
        <f aca="false">INDEX(Laporan!$A$1:$AZ$300,G316,2)</f>
        <v>1,5 L</v>
      </c>
      <c r="K316" s="0" t="str">
        <f aca="false">INDEX(Laporan!$A$1:$AZ$300,G316,3)</f>
        <v>Shift 1</v>
      </c>
      <c r="L316" s="0" t="n">
        <f aca="false">INDEX(Laporan!$A$1:$AZ$300,G316,4)</f>
        <v>1</v>
      </c>
      <c r="M316" s="1" t="n">
        <f aca="false">DATE(Pemetaan!$B$1,VALUE(RIGHT(INDEX(Laporan!$A$1:$AZ$300,F316+1,H316),2)),VALUE(LEFT(INDEX(Laporan!$A$1:$AZ$300,F316+1,H316),2)))</f>
        <v>46101</v>
      </c>
      <c r="N316" s="0" t="n">
        <f aca="false">INDEX(Laporan!$A$1:$AZ$300,G316,H316)</f>
        <v>1580</v>
      </c>
      <c r="O316" s="0" t="n">
        <f aca="false">IF(N316="","",IFERROR(VALUE(SUBSTITUTE(SUBSTITUTE(N316," btl",""),".","")),""))</f>
        <v>1580</v>
      </c>
      <c r="P316" s="0" t="str">
        <f aca="false">IF(B316="PRODUKSI","produced","reject")</f>
        <v>produced</v>
      </c>
    </row>
    <row r="317" customFormat="false" ht="15" hidden="false" customHeight="false" outlineLevel="0" collapsed="false">
      <c r="A317" s="0" t="n">
        <v>316</v>
      </c>
      <c r="B317" s="0" t="str">
        <f aca="false">IF(A317&lt;=36*25,"PRODUKSI","REJECT")</f>
        <v>PRODUKSI</v>
      </c>
      <c r="C317" s="0" t="n">
        <f aca="false">MOD(A317-1,Pemetaan!$B$3*Pemetaan!$B$4)</f>
        <v>315</v>
      </c>
      <c r="D317" s="0" t="n">
        <f aca="false">INT(C317/Pemetaan!$B$4)</f>
        <v>12</v>
      </c>
      <c r="E317" s="0" t="n">
        <f aca="false">MOD(C317,Pemetaan!$B$4)</f>
        <v>15</v>
      </c>
      <c r="F317" s="0" t="n">
        <f aca="false">IF(B317="PRODUKSI",Pemetaan!$B$5,Pemetaan!$B$6)</f>
        <v>5</v>
      </c>
      <c r="G317" s="0" t="n">
        <f aca="false">F317+2+D317</f>
        <v>19</v>
      </c>
      <c r="H317" s="0" t="n">
        <f aca="false">Pemetaan!$B$2+E317</f>
        <v>20</v>
      </c>
      <c r="I317" s="0" t="str">
        <f aca="false">INDEX(Laporan!$A$1:$AZ$300,G317,1)</f>
        <v>Water Treatment</v>
      </c>
      <c r="J317" s="0" t="str">
        <f aca="false">INDEX(Laporan!$A$1:$AZ$300,G317,2)</f>
        <v>1,5 L</v>
      </c>
      <c r="K317" s="0" t="str">
        <f aca="false">INDEX(Laporan!$A$1:$AZ$300,G317,3)</f>
        <v>Shift 1</v>
      </c>
      <c r="L317" s="0" t="n">
        <f aca="false">INDEX(Laporan!$A$1:$AZ$300,G317,4)</f>
        <v>1</v>
      </c>
      <c r="M317" s="1" t="n">
        <f aca="false">DATE(Pemetaan!$B$1,VALUE(RIGHT(INDEX(Laporan!$A$1:$AZ$300,F317+1,H317),2)),VALUE(LEFT(INDEX(Laporan!$A$1:$AZ$300,F317+1,H317),2)))</f>
        <v>46104</v>
      </c>
      <c r="N317" s="0" t="n">
        <f aca="false">INDEX(Laporan!$A$1:$AZ$300,G317,H317)</f>
        <v>1453</v>
      </c>
      <c r="O317" s="0" t="n">
        <f aca="false">IF(N317="","",IFERROR(VALUE(SUBSTITUTE(SUBSTITUTE(N317," btl",""),".","")),""))</f>
        <v>1453</v>
      </c>
      <c r="P317" s="0" t="str">
        <f aca="false">IF(B317="PRODUKSI","produced","reject")</f>
        <v>produced</v>
      </c>
    </row>
    <row r="318" customFormat="false" ht="15" hidden="false" customHeight="false" outlineLevel="0" collapsed="false">
      <c r="A318" s="0" t="n">
        <v>317</v>
      </c>
      <c r="B318" s="0" t="str">
        <f aca="false">IF(A318&lt;=36*25,"PRODUKSI","REJECT")</f>
        <v>PRODUKSI</v>
      </c>
      <c r="C318" s="0" t="n">
        <f aca="false">MOD(A318-1,Pemetaan!$B$3*Pemetaan!$B$4)</f>
        <v>316</v>
      </c>
      <c r="D318" s="0" t="n">
        <f aca="false">INT(C318/Pemetaan!$B$4)</f>
        <v>12</v>
      </c>
      <c r="E318" s="0" t="n">
        <f aca="false">MOD(C318,Pemetaan!$B$4)</f>
        <v>16</v>
      </c>
      <c r="F318" s="0" t="n">
        <f aca="false">IF(B318="PRODUKSI",Pemetaan!$B$5,Pemetaan!$B$6)</f>
        <v>5</v>
      </c>
      <c r="G318" s="0" t="n">
        <f aca="false">F318+2+D318</f>
        <v>19</v>
      </c>
      <c r="H318" s="0" t="n">
        <f aca="false">Pemetaan!$B$2+E318</f>
        <v>21</v>
      </c>
      <c r="I318" s="0" t="str">
        <f aca="false">INDEX(Laporan!$A$1:$AZ$300,G318,1)</f>
        <v>Water Treatment</v>
      </c>
      <c r="J318" s="0" t="str">
        <f aca="false">INDEX(Laporan!$A$1:$AZ$300,G318,2)</f>
        <v>1,5 L</v>
      </c>
      <c r="K318" s="0" t="str">
        <f aca="false">INDEX(Laporan!$A$1:$AZ$300,G318,3)</f>
        <v>Shift 1</v>
      </c>
      <c r="L318" s="0" t="n">
        <f aca="false">INDEX(Laporan!$A$1:$AZ$300,G318,4)</f>
        <v>1</v>
      </c>
      <c r="M318" s="1" t="n">
        <f aca="false">DATE(Pemetaan!$B$1,VALUE(RIGHT(INDEX(Laporan!$A$1:$AZ$300,F318+1,H318),2)),VALUE(LEFT(INDEX(Laporan!$A$1:$AZ$300,F318+1,H318),2)))</f>
        <v>46105</v>
      </c>
      <c r="N318" s="0" t="n">
        <f aca="false">INDEX(Laporan!$A$1:$AZ$300,G318,H318)</f>
        <v>1496</v>
      </c>
      <c r="O318" s="0" t="n">
        <f aca="false">IF(N318="","",IFERROR(VALUE(SUBSTITUTE(SUBSTITUTE(N318," btl",""),".","")),""))</f>
        <v>1496</v>
      </c>
      <c r="P318" s="0" t="str">
        <f aca="false">IF(B318="PRODUKSI","produced","reject")</f>
        <v>produced</v>
      </c>
    </row>
    <row r="319" customFormat="false" ht="15" hidden="false" customHeight="false" outlineLevel="0" collapsed="false">
      <c r="A319" s="0" t="n">
        <v>318</v>
      </c>
      <c r="B319" s="0" t="str">
        <f aca="false">IF(A319&lt;=36*25,"PRODUKSI","REJECT")</f>
        <v>PRODUKSI</v>
      </c>
      <c r="C319" s="0" t="n">
        <f aca="false">MOD(A319-1,Pemetaan!$B$3*Pemetaan!$B$4)</f>
        <v>317</v>
      </c>
      <c r="D319" s="0" t="n">
        <f aca="false">INT(C319/Pemetaan!$B$4)</f>
        <v>12</v>
      </c>
      <c r="E319" s="0" t="n">
        <f aca="false">MOD(C319,Pemetaan!$B$4)</f>
        <v>17</v>
      </c>
      <c r="F319" s="0" t="n">
        <f aca="false">IF(B319="PRODUKSI",Pemetaan!$B$5,Pemetaan!$B$6)</f>
        <v>5</v>
      </c>
      <c r="G319" s="0" t="n">
        <f aca="false">F319+2+D319</f>
        <v>19</v>
      </c>
      <c r="H319" s="0" t="n">
        <f aca="false">Pemetaan!$B$2+E319</f>
        <v>22</v>
      </c>
      <c r="I319" s="0" t="str">
        <f aca="false">INDEX(Laporan!$A$1:$AZ$300,G319,1)</f>
        <v>Water Treatment</v>
      </c>
      <c r="J319" s="0" t="str">
        <f aca="false">INDEX(Laporan!$A$1:$AZ$300,G319,2)</f>
        <v>1,5 L</v>
      </c>
      <c r="K319" s="0" t="str">
        <f aca="false">INDEX(Laporan!$A$1:$AZ$300,G319,3)</f>
        <v>Shift 1</v>
      </c>
      <c r="L319" s="0" t="n">
        <f aca="false">INDEX(Laporan!$A$1:$AZ$300,G319,4)</f>
        <v>1</v>
      </c>
      <c r="M319" s="1" t="n">
        <f aca="false">DATE(Pemetaan!$B$1,VALUE(RIGHT(INDEX(Laporan!$A$1:$AZ$300,F319+1,H319),2)),VALUE(LEFT(INDEX(Laporan!$A$1:$AZ$300,F319+1,H319),2)))</f>
        <v>46106</v>
      </c>
      <c r="N319" s="0" t="n">
        <f aca="false">INDEX(Laporan!$A$1:$AZ$300,G319,H319)</f>
        <v>1573</v>
      </c>
      <c r="O319" s="0" t="n">
        <f aca="false">IF(N319="","",IFERROR(VALUE(SUBSTITUTE(SUBSTITUTE(N319," btl",""),".","")),""))</f>
        <v>1573</v>
      </c>
      <c r="P319" s="0" t="str">
        <f aca="false">IF(B319="PRODUKSI","produced","reject")</f>
        <v>produced</v>
      </c>
    </row>
    <row r="320" customFormat="false" ht="15" hidden="false" customHeight="false" outlineLevel="0" collapsed="false">
      <c r="A320" s="0" t="n">
        <v>319</v>
      </c>
      <c r="B320" s="0" t="str">
        <f aca="false">IF(A320&lt;=36*25,"PRODUKSI","REJECT")</f>
        <v>PRODUKSI</v>
      </c>
      <c r="C320" s="0" t="n">
        <f aca="false">MOD(A320-1,Pemetaan!$B$3*Pemetaan!$B$4)</f>
        <v>318</v>
      </c>
      <c r="D320" s="0" t="n">
        <f aca="false">INT(C320/Pemetaan!$B$4)</f>
        <v>12</v>
      </c>
      <c r="E320" s="0" t="n">
        <f aca="false">MOD(C320,Pemetaan!$B$4)</f>
        <v>18</v>
      </c>
      <c r="F320" s="0" t="n">
        <f aca="false">IF(B320="PRODUKSI",Pemetaan!$B$5,Pemetaan!$B$6)</f>
        <v>5</v>
      </c>
      <c r="G320" s="0" t="n">
        <f aca="false">F320+2+D320</f>
        <v>19</v>
      </c>
      <c r="H320" s="0" t="n">
        <f aca="false">Pemetaan!$B$2+E320</f>
        <v>23</v>
      </c>
      <c r="I320" s="0" t="str">
        <f aca="false">INDEX(Laporan!$A$1:$AZ$300,G320,1)</f>
        <v>Water Treatment</v>
      </c>
      <c r="J320" s="0" t="str">
        <f aca="false">INDEX(Laporan!$A$1:$AZ$300,G320,2)</f>
        <v>1,5 L</v>
      </c>
      <c r="K320" s="0" t="str">
        <f aca="false">INDEX(Laporan!$A$1:$AZ$300,G320,3)</f>
        <v>Shift 1</v>
      </c>
      <c r="L320" s="0" t="n">
        <f aca="false">INDEX(Laporan!$A$1:$AZ$300,G320,4)</f>
        <v>1</v>
      </c>
      <c r="M320" s="1" t="n">
        <f aca="false">DATE(Pemetaan!$B$1,VALUE(RIGHT(INDEX(Laporan!$A$1:$AZ$300,F320+1,H320),2)),VALUE(LEFT(INDEX(Laporan!$A$1:$AZ$300,F320+1,H320),2)))</f>
        <v>46107</v>
      </c>
      <c r="N320" s="0" t="n">
        <f aca="false">INDEX(Laporan!$A$1:$AZ$300,G320,H320)</f>
        <v>1458</v>
      </c>
      <c r="O320" s="0" t="n">
        <f aca="false">IF(N320="","",IFERROR(VALUE(SUBSTITUTE(SUBSTITUTE(N320," btl",""),".","")),""))</f>
        <v>1458</v>
      </c>
      <c r="P320" s="0" t="str">
        <f aca="false">IF(B320="PRODUKSI","produced","reject")</f>
        <v>produced</v>
      </c>
    </row>
    <row r="321" customFormat="false" ht="15" hidden="false" customHeight="false" outlineLevel="0" collapsed="false">
      <c r="A321" s="0" t="n">
        <v>320</v>
      </c>
      <c r="B321" s="0" t="str">
        <f aca="false">IF(A321&lt;=36*25,"PRODUKSI","REJECT")</f>
        <v>PRODUKSI</v>
      </c>
      <c r="C321" s="0" t="n">
        <f aca="false">MOD(A321-1,Pemetaan!$B$3*Pemetaan!$B$4)</f>
        <v>319</v>
      </c>
      <c r="D321" s="0" t="n">
        <f aca="false">INT(C321/Pemetaan!$B$4)</f>
        <v>12</v>
      </c>
      <c r="E321" s="0" t="n">
        <f aca="false">MOD(C321,Pemetaan!$B$4)</f>
        <v>19</v>
      </c>
      <c r="F321" s="0" t="n">
        <f aca="false">IF(B321="PRODUKSI",Pemetaan!$B$5,Pemetaan!$B$6)</f>
        <v>5</v>
      </c>
      <c r="G321" s="0" t="n">
        <f aca="false">F321+2+D321</f>
        <v>19</v>
      </c>
      <c r="H321" s="0" t="n">
        <f aca="false">Pemetaan!$B$2+E321</f>
        <v>24</v>
      </c>
      <c r="I321" s="0" t="str">
        <f aca="false">INDEX(Laporan!$A$1:$AZ$300,G321,1)</f>
        <v>Water Treatment</v>
      </c>
      <c r="J321" s="0" t="str">
        <f aca="false">INDEX(Laporan!$A$1:$AZ$300,G321,2)</f>
        <v>1,5 L</v>
      </c>
      <c r="K321" s="0" t="str">
        <f aca="false">INDEX(Laporan!$A$1:$AZ$300,G321,3)</f>
        <v>Shift 1</v>
      </c>
      <c r="L321" s="0" t="n">
        <f aca="false">INDEX(Laporan!$A$1:$AZ$300,G321,4)</f>
        <v>1</v>
      </c>
      <c r="M321" s="1" t="n">
        <f aca="false">DATE(Pemetaan!$B$1,VALUE(RIGHT(INDEX(Laporan!$A$1:$AZ$300,F321+1,H321),2)),VALUE(LEFT(INDEX(Laporan!$A$1:$AZ$300,F321+1,H321),2)))</f>
        <v>46108</v>
      </c>
      <c r="N321" s="0" t="n">
        <f aca="false">INDEX(Laporan!$A$1:$AZ$300,G321,H321)</f>
        <v>1619</v>
      </c>
      <c r="O321" s="0" t="n">
        <f aca="false">IF(N321="","",IFERROR(VALUE(SUBSTITUTE(SUBSTITUTE(N321," btl",""),".","")),""))</f>
        <v>1619</v>
      </c>
      <c r="P321" s="0" t="str">
        <f aca="false">IF(B321="PRODUKSI","produced","reject")</f>
        <v>produced</v>
      </c>
    </row>
    <row r="322" customFormat="false" ht="15" hidden="false" customHeight="false" outlineLevel="0" collapsed="false">
      <c r="A322" s="0" t="n">
        <v>321</v>
      </c>
      <c r="B322" s="0" t="str">
        <f aca="false">IF(A322&lt;=36*25,"PRODUKSI","REJECT")</f>
        <v>PRODUKSI</v>
      </c>
      <c r="C322" s="0" t="n">
        <f aca="false">MOD(A322-1,Pemetaan!$B$3*Pemetaan!$B$4)</f>
        <v>320</v>
      </c>
      <c r="D322" s="0" t="n">
        <f aca="false">INT(C322/Pemetaan!$B$4)</f>
        <v>12</v>
      </c>
      <c r="E322" s="0" t="n">
        <f aca="false">MOD(C322,Pemetaan!$B$4)</f>
        <v>20</v>
      </c>
      <c r="F322" s="0" t="n">
        <f aca="false">IF(B322="PRODUKSI",Pemetaan!$B$5,Pemetaan!$B$6)</f>
        <v>5</v>
      </c>
      <c r="G322" s="0" t="n">
        <f aca="false">F322+2+D322</f>
        <v>19</v>
      </c>
      <c r="H322" s="0" t="n">
        <f aca="false">Pemetaan!$B$2+E322</f>
        <v>25</v>
      </c>
      <c r="I322" s="0" t="str">
        <f aca="false">INDEX(Laporan!$A$1:$AZ$300,G322,1)</f>
        <v>Water Treatment</v>
      </c>
      <c r="J322" s="0" t="str">
        <f aca="false">INDEX(Laporan!$A$1:$AZ$300,G322,2)</f>
        <v>1,5 L</v>
      </c>
      <c r="K322" s="0" t="str">
        <f aca="false">INDEX(Laporan!$A$1:$AZ$300,G322,3)</f>
        <v>Shift 1</v>
      </c>
      <c r="L322" s="0" t="n">
        <f aca="false">INDEX(Laporan!$A$1:$AZ$300,G322,4)</f>
        <v>1</v>
      </c>
      <c r="M322" s="1" t="n">
        <f aca="false">DATE(Pemetaan!$B$1,VALUE(RIGHT(INDEX(Laporan!$A$1:$AZ$300,F322+1,H322),2)),VALUE(LEFT(INDEX(Laporan!$A$1:$AZ$300,F322+1,H322),2)))</f>
        <v>46111</v>
      </c>
      <c r="N322" s="0" t="n">
        <f aca="false">INDEX(Laporan!$A$1:$AZ$300,G322,H322)</f>
        <v>1475</v>
      </c>
      <c r="O322" s="0" t="n">
        <f aca="false">IF(N322="","",IFERROR(VALUE(SUBSTITUTE(SUBSTITUTE(N322," btl",""),".","")),""))</f>
        <v>1475</v>
      </c>
      <c r="P322" s="0" t="str">
        <f aca="false">IF(B322="PRODUKSI","produced","reject")</f>
        <v>produced</v>
      </c>
    </row>
    <row r="323" customFormat="false" ht="15" hidden="false" customHeight="false" outlineLevel="0" collapsed="false">
      <c r="A323" s="0" t="n">
        <v>322</v>
      </c>
      <c r="B323" s="0" t="str">
        <f aca="false">IF(A323&lt;=36*25,"PRODUKSI","REJECT")</f>
        <v>PRODUKSI</v>
      </c>
      <c r="C323" s="0" t="n">
        <f aca="false">MOD(A323-1,Pemetaan!$B$3*Pemetaan!$B$4)</f>
        <v>321</v>
      </c>
      <c r="D323" s="0" t="n">
        <f aca="false">INT(C323/Pemetaan!$B$4)</f>
        <v>12</v>
      </c>
      <c r="E323" s="0" t="n">
        <f aca="false">MOD(C323,Pemetaan!$B$4)</f>
        <v>21</v>
      </c>
      <c r="F323" s="0" t="n">
        <f aca="false">IF(B323="PRODUKSI",Pemetaan!$B$5,Pemetaan!$B$6)</f>
        <v>5</v>
      </c>
      <c r="G323" s="0" t="n">
        <f aca="false">F323+2+D323</f>
        <v>19</v>
      </c>
      <c r="H323" s="0" t="n">
        <f aca="false">Pemetaan!$B$2+E323</f>
        <v>26</v>
      </c>
      <c r="I323" s="0" t="str">
        <f aca="false">INDEX(Laporan!$A$1:$AZ$300,G323,1)</f>
        <v>Water Treatment</v>
      </c>
      <c r="J323" s="0" t="str">
        <f aca="false">INDEX(Laporan!$A$1:$AZ$300,G323,2)</f>
        <v>1,5 L</v>
      </c>
      <c r="K323" s="0" t="str">
        <f aca="false">INDEX(Laporan!$A$1:$AZ$300,G323,3)</f>
        <v>Shift 1</v>
      </c>
      <c r="L323" s="0" t="n">
        <f aca="false">INDEX(Laporan!$A$1:$AZ$300,G323,4)</f>
        <v>1</v>
      </c>
      <c r="M323" s="1" t="n">
        <f aca="false">DATE(Pemetaan!$B$1,VALUE(RIGHT(INDEX(Laporan!$A$1:$AZ$300,F323+1,H323),2)),VALUE(LEFT(INDEX(Laporan!$A$1:$AZ$300,F323+1,H323),2)))</f>
        <v>46112</v>
      </c>
      <c r="N323" s="0" t="n">
        <f aca="false">INDEX(Laporan!$A$1:$AZ$300,G323,H323)</f>
        <v>1544</v>
      </c>
      <c r="O323" s="0" t="n">
        <f aca="false">IF(N323="","",IFERROR(VALUE(SUBSTITUTE(SUBSTITUTE(N323," btl",""),".","")),""))</f>
        <v>1544</v>
      </c>
      <c r="P323" s="0" t="str">
        <f aca="false">IF(B323="PRODUKSI","produced","reject")</f>
        <v>produced</v>
      </c>
    </row>
    <row r="324" customFormat="false" ht="15" hidden="false" customHeight="false" outlineLevel="0" collapsed="false">
      <c r="A324" s="0" t="n">
        <v>323</v>
      </c>
      <c r="B324" s="0" t="str">
        <f aca="false">IF(A324&lt;=36*25,"PRODUKSI","REJECT")</f>
        <v>PRODUKSI</v>
      </c>
      <c r="C324" s="0" t="n">
        <f aca="false">MOD(A324-1,Pemetaan!$B$3*Pemetaan!$B$4)</f>
        <v>322</v>
      </c>
      <c r="D324" s="0" t="n">
        <f aca="false">INT(C324/Pemetaan!$B$4)</f>
        <v>12</v>
      </c>
      <c r="E324" s="0" t="n">
        <f aca="false">MOD(C324,Pemetaan!$B$4)</f>
        <v>22</v>
      </c>
      <c r="F324" s="0" t="n">
        <f aca="false">IF(B324="PRODUKSI",Pemetaan!$B$5,Pemetaan!$B$6)</f>
        <v>5</v>
      </c>
      <c r="G324" s="0" t="n">
        <f aca="false">F324+2+D324</f>
        <v>19</v>
      </c>
      <c r="H324" s="0" t="n">
        <f aca="false">Pemetaan!$B$2+E324</f>
        <v>27</v>
      </c>
      <c r="I324" s="0" t="str">
        <f aca="false">INDEX(Laporan!$A$1:$AZ$300,G324,1)</f>
        <v>Water Treatment</v>
      </c>
      <c r="J324" s="0" t="str">
        <f aca="false">INDEX(Laporan!$A$1:$AZ$300,G324,2)</f>
        <v>1,5 L</v>
      </c>
      <c r="K324" s="0" t="str">
        <f aca="false">INDEX(Laporan!$A$1:$AZ$300,G324,3)</f>
        <v>Shift 1</v>
      </c>
      <c r="L324" s="0" t="n">
        <f aca="false">INDEX(Laporan!$A$1:$AZ$300,G324,4)</f>
        <v>1</v>
      </c>
      <c r="M324" s="1" t="n">
        <f aca="false">DATE(Pemetaan!$B$1,VALUE(RIGHT(INDEX(Laporan!$A$1:$AZ$300,F324+1,H324),2)),VALUE(LEFT(INDEX(Laporan!$A$1:$AZ$300,F324+1,H324),2)))</f>
        <v>46113</v>
      </c>
      <c r="N324" s="0" t="n">
        <f aca="false">INDEX(Laporan!$A$1:$AZ$300,G324,H324)</f>
        <v>1493</v>
      </c>
      <c r="O324" s="0" t="n">
        <f aca="false">IF(N324="","",IFERROR(VALUE(SUBSTITUTE(SUBSTITUTE(N324," btl",""),".","")),""))</f>
        <v>1493</v>
      </c>
      <c r="P324" s="0" t="str">
        <f aca="false">IF(B324="PRODUKSI","produced","reject")</f>
        <v>produced</v>
      </c>
    </row>
    <row r="325" customFormat="false" ht="15" hidden="false" customHeight="false" outlineLevel="0" collapsed="false">
      <c r="A325" s="0" t="n">
        <v>324</v>
      </c>
      <c r="B325" s="0" t="str">
        <f aca="false">IF(A325&lt;=36*25,"PRODUKSI","REJECT")</f>
        <v>PRODUKSI</v>
      </c>
      <c r="C325" s="0" t="n">
        <f aca="false">MOD(A325-1,Pemetaan!$B$3*Pemetaan!$B$4)</f>
        <v>323</v>
      </c>
      <c r="D325" s="0" t="n">
        <f aca="false">INT(C325/Pemetaan!$B$4)</f>
        <v>12</v>
      </c>
      <c r="E325" s="0" t="n">
        <f aca="false">MOD(C325,Pemetaan!$B$4)</f>
        <v>23</v>
      </c>
      <c r="F325" s="0" t="n">
        <f aca="false">IF(B325="PRODUKSI",Pemetaan!$B$5,Pemetaan!$B$6)</f>
        <v>5</v>
      </c>
      <c r="G325" s="0" t="n">
        <f aca="false">F325+2+D325</f>
        <v>19</v>
      </c>
      <c r="H325" s="0" t="n">
        <f aca="false">Pemetaan!$B$2+E325</f>
        <v>28</v>
      </c>
      <c r="I325" s="0" t="str">
        <f aca="false">INDEX(Laporan!$A$1:$AZ$300,G325,1)</f>
        <v>Water Treatment</v>
      </c>
      <c r="J325" s="0" t="str">
        <f aca="false">INDEX(Laporan!$A$1:$AZ$300,G325,2)</f>
        <v>1,5 L</v>
      </c>
      <c r="K325" s="0" t="str">
        <f aca="false">INDEX(Laporan!$A$1:$AZ$300,G325,3)</f>
        <v>Shift 1</v>
      </c>
      <c r="L325" s="0" t="n">
        <f aca="false">INDEX(Laporan!$A$1:$AZ$300,G325,4)</f>
        <v>1</v>
      </c>
      <c r="M325" s="1" t="n">
        <f aca="false">DATE(Pemetaan!$B$1,VALUE(RIGHT(INDEX(Laporan!$A$1:$AZ$300,F325+1,H325),2)),VALUE(LEFT(INDEX(Laporan!$A$1:$AZ$300,F325+1,H325),2)))</f>
        <v>46114</v>
      </c>
      <c r="N325" s="0" t="n">
        <f aca="false">INDEX(Laporan!$A$1:$AZ$300,G325,H325)</f>
        <v>1497</v>
      </c>
      <c r="O325" s="0" t="n">
        <f aca="false">IF(N325="","",IFERROR(VALUE(SUBSTITUTE(SUBSTITUTE(N325," btl",""),".","")),""))</f>
        <v>1497</v>
      </c>
      <c r="P325" s="0" t="str">
        <f aca="false">IF(B325="PRODUKSI","produced","reject")</f>
        <v>produced</v>
      </c>
    </row>
    <row r="326" customFormat="false" ht="15" hidden="false" customHeight="false" outlineLevel="0" collapsed="false">
      <c r="A326" s="0" t="n">
        <v>325</v>
      </c>
      <c r="B326" s="0" t="str">
        <f aca="false">IF(A326&lt;=36*25,"PRODUKSI","REJECT")</f>
        <v>PRODUKSI</v>
      </c>
      <c r="C326" s="0" t="n">
        <f aca="false">MOD(A326-1,Pemetaan!$B$3*Pemetaan!$B$4)</f>
        <v>324</v>
      </c>
      <c r="D326" s="0" t="n">
        <f aca="false">INT(C326/Pemetaan!$B$4)</f>
        <v>12</v>
      </c>
      <c r="E326" s="0" t="n">
        <f aca="false">MOD(C326,Pemetaan!$B$4)</f>
        <v>24</v>
      </c>
      <c r="F326" s="0" t="n">
        <f aca="false">IF(B326="PRODUKSI",Pemetaan!$B$5,Pemetaan!$B$6)</f>
        <v>5</v>
      </c>
      <c r="G326" s="0" t="n">
        <f aca="false">F326+2+D326</f>
        <v>19</v>
      </c>
      <c r="H326" s="0" t="n">
        <f aca="false">Pemetaan!$B$2+E326</f>
        <v>29</v>
      </c>
      <c r="I326" s="0" t="str">
        <f aca="false">INDEX(Laporan!$A$1:$AZ$300,G326,1)</f>
        <v>Water Treatment</v>
      </c>
      <c r="J326" s="0" t="str">
        <f aca="false">INDEX(Laporan!$A$1:$AZ$300,G326,2)</f>
        <v>1,5 L</v>
      </c>
      <c r="K326" s="0" t="str">
        <f aca="false">INDEX(Laporan!$A$1:$AZ$300,G326,3)</f>
        <v>Shift 1</v>
      </c>
      <c r="L326" s="0" t="n">
        <f aca="false">INDEX(Laporan!$A$1:$AZ$300,G326,4)</f>
        <v>1</v>
      </c>
      <c r="M326" s="1" t="n">
        <f aca="false">DATE(Pemetaan!$B$1,VALUE(RIGHT(INDEX(Laporan!$A$1:$AZ$300,F326+1,H326),2)),VALUE(LEFT(INDEX(Laporan!$A$1:$AZ$300,F326+1,H326),2)))</f>
        <v>46115</v>
      </c>
      <c r="N326" s="0" t="n">
        <f aca="false">INDEX(Laporan!$A$1:$AZ$300,G326,H326)</f>
        <v>1539</v>
      </c>
      <c r="O326" s="0" t="n">
        <f aca="false">IF(N326="","",IFERROR(VALUE(SUBSTITUTE(SUBSTITUTE(N326," btl",""),".","")),""))</f>
        <v>1539</v>
      </c>
      <c r="P326" s="0" t="str">
        <f aca="false">IF(B326="PRODUKSI","produced","reject")</f>
        <v>produced</v>
      </c>
    </row>
    <row r="327" customFormat="false" ht="15" hidden="false" customHeight="false" outlineLevel="0" collapsed="false">
      <c r="A327" s="0" t="n">
        <v>326</v>
      </c>
      <c r="B327" s="0" t="str">
        <f aca="false">IF(A327&lt;=36*25,"PRODUKSI","REJECT")</f>
        <v>PRODUKSI</v>
      </c>
      <c r="C327" s="0" t="n">
        <f aca="false">MOD(A327-1,Pemetaan!$B$3*Pemetaan!$B$4)</f>
        <v>325</v>
      </c>
      <c r="D327" s="0" t="n">
        <f aca="false">INT(C327/Pemetaan!$B$4)</f>
        <v>13</v>
      </c>
      <c r="E327" s="0" t="n">
        <f aca="false">MOD(C327,Pemetaan!$B$4)</f>
        <v>0</v>
      </c>
      <c r="F327" s="0" t="n">
        <f aca="false">IF(B327="PRODUKSI",Pemetaan!$B$5,Pemetaan!$B$6)</f>
        <v>5</v>
      </c>
      <c r="G327" s="0" t="n">
        <f aca="false">F327+2+D327</f>
        <v>20</v>
      </c>
      <c r="H327" s="0" t="n">
        <f aca="false">Pemetaan!$B$2+E327</f>
        <v>5</v>
      </c>
      <c r="I327" s="0" t="str">
        <f aca="false">INDEX(Laporan!$A$1:$AZ$300,G327,1)</f>
        <v>Water Treatment</v>
      </c>
      <c r="J327" s="0" t="str">
        <f aca="false">INDEX(Laporan!$A$1:$AZ$300,G327,2)</f>
        <v>1,5 L</v>
      </c>
      <c r="K327" s="0" t="str">
        <f aca="false">INDEX(Laporan!$A$1:$AZ$300,G327,3)</f>
        <v>Shift 1</v>
      </c>
      <c r="L327" s="0" t="n">
        <f aca="false">INDEX(Laporan!$A$1:$AZ$300,G327,4)</f>
        <v>2</v>
      </c>
      <c r="M327" s="1" t="n">
        <f aca="false">DATE(Pemetaan!$B$1,VALUE(RIGHT(INDEX(Laporan!$A$1:$AZ$300,F327+1,H327),2)),VALUE(LEFT(INDEX(Laporan!$A$1:$AZ$300,F327+1,H327),2)))</f>
        <v>46083</v>
      </c>
      <c r="N327" s="0" t="n">
        <f aca="false">INDEX(Laporan!$A$1:$AZ$300,G327,H327)</f>
        <v>1560</v>
      </c>
      <c r="O327" s="0" t="n">
        <f aca="false">IF(N327="","",IFERROR(VALUE(SUBSTITUTE(SUBSTITUTE(N327," btl",""),".","")),""))</f>
        <v>1560</v>
      </c>
      <c r="P327" s="0" t="str">
        <f aca="false">IF(B327="PRODUKSI","produced","reject")</f>
        <v>produced</v>
      </c>
    </row>
    <row r="328" customFormat="false" ht="15" hidden="false" customHeight="false" outlineLevel="0" collapsed="false">
      <c r="A328" s="0" t="n">
        <v>327</v>
      </c>
      <c r="B328" s="0" t="str">
        <f aca="false">IF(A328&lt;=36*25,"PRODUKSI","REJECT")</f>
        <v>PRODUKSI</v>
      </c>
      <c r="C328" s="0" t="n">
        <f aca="false">MOD(A328-1,Pemetaan!$B$3*Pemetaan!$B$4)</f>
        <v>326</v>
      </c>
      <c r="D328" s="0" t="n">
        <f aca="false">INT(C328/Pemetaan!$B$4)</f>
        <v>13</v>
      </c>
      <c r="E328" s="0" t="n">
        <f aca="false">MOD(C328,Pemetaan!$B$4)</f>
        <v>1</v>
      </c>
      <c r="F328" s="0" t="n">
        <f aca="false">IF(B328="PRODUKSI",Pemetaan!$B$5,Pemetaan!$B$6)</f>
        <v>5</v>
      </c>
      <c r="G328" s="0" t="n">
        <f aca="false">F328+2+D328</f>
        <v>20</v>
      </c>
      <c r="H328" s="0" t="n">
        <f aca="false">Pemetaan!$B$2+E328</f>
        <v>6</v>
      </c>
      <c r="I328" s="0" t="str">
        <f aca="false">INDEX(Laporan!$A$1:$AZ$300,G328,1)</f>
        <v>Water Treatment</v>
      </c>
      <c r="J328" s="0" t="str">
        <f aca="false">INDEX(Laporan!$A$1:$AZ$300,G328,2)</f>
        <v>1,5 L</v>
      </c>
      <c r="K328" s="0" t="str">
        <f aca="false">INDEX(Laporan!$A$1:$AZ$300,G328,3)</f>
        <v>Shift 1</v>
      </c>
      <c r="L328" s="0" t="n">
        <f aca="false">INDEX(Laporan!$A$1:$AZ$300,G328,4)</f>
        <v>2</v>
      </c>
      <c r="M328" s="1" t="n">
        <f aca="false">DATE(Pemetaan!$B$1,VALUE(RIGHT(INDEX(Laporan!$A$1:$AZ$300,F328+1,H328),2)),VALUE(LEFT(INDEX(Laporan!$A$1:$AZ$300,F328+1,H328),2)))</f>
        <v>46084</v>
      </c>
      <c r="N328" s="0" t="n">
        <f aca="false">INDEX(Laporan!$A$1:$AZ$300,G328,H328)</f>
        <v>1520</v>
      </c>
      <c r="O328" s="0" t="n">
        <f aca="false">IF(N328="","",IFERROR(VALUE(SUBSTITUTE(SUBSTITUTE(N328," btl",""),".","")),""))</f>
        <v>1520</v>
      </c>
      <c r="P328" s="0" t="str">
        <f aca="false">IF(B328="PRODUKSI","produced","reject")</f>
        <v>produced</v>
      </c>
    </row>
    <row r="329" customFormat="false" ht="15" hidden="false" customHeight="false" outlineLevel="0" collapsed="false">
      <c r="A329" s="0" t="n">
        <v>328</v>
      </c>
      <c r="B329" s="0" t="str">
        <f aca="false">IF(A329&lt;=36*25,"PRODUKSI","REJECT")</f>
        <v>PRODUKSI</v>
      </c>
      <c r="C329" s="0" t="n">
        <f aca="false">MOD(A329-1,Pemetaan!$B$3*Pemetaan!$B$4)</f>
        <v>327</v>
      </c>
      <c r="D329" s="0" t="n">
        <f aca="false">INT(C329/Pemetaan!$B$4)</f>
        <v>13</v>
      </c>
      <c r="E329" s="0" t="n">
        <f aca="false">MOD(C329,Pemetaan!$B$4)</f>
        <v>2</v>
      </c>
      <c r="F329" s="0" t="n">
        <f aca="false">IF(B329="PRODUKSI",Pemetaan!$B$5,Pemetaan!$B$6)</f>
        <v>5</v>
      </c>
      <c r="G329" s="0" t="n">
        <f aca="false">F329+2+D329</f>
        <v>20</v>
      </c>
      <c r="H329" s="0" t="n">
        <f aca="false">Pemetaan!$B$2+E329</f>
        <v>7</v>
      </c>
      <c r="I329" s="0" t="str">
        <f aca="false">INDEX(Laporan!$A$1:$AZ$300,G329,1)</f>
        <v>Water Treatment</v>
      </c>
      <c r="J329" s="0" t="str">
        <f aca="false">INDEX(Laporan!$A$1:$AZ$300,G329,2)</f>
        <v>1,5 L</v>
      </c>
      <c r="K329" s="0" t="str">
        <f aca="false">INDEX(Laporan!$A$1:$AZ$300,G329,3)</f>
        <v>Shift 1</v>
      </c>
      <c r="L329" s="0" t="n">
        <f aca="false">INDEX(Laporan!$A$1:$AZ$300,G329,4)</f>
        <v>2</v>
      </c>
      <c r="M329" s="1" t="n">
        <f aca="false">DATE(Pemetaan!$B$1,VALUE(RIGHT(INDEX(Laporan!$A$1:$AZ$300,F329+1,H329),2)),VALUE(LEFT(INDEX(Laporan!$A$1:$AZ$300,F329+1,H329),2)))</f>
        <v>46085</v>
      </c>
      <c r="N329" s="0" t="n">
        <f aca="false">INDEX(Laporan!$A$1:$AZ$300,G329,H329)</f>
        <v>1429</v>
      </c>
      <c r="O329" s="0" t="n">
        <f aca="false">IF(N329="","",IFERROR(VALUE(SUBSTITUTE(SUBSTITUTE(N329," btl",""),".","")),""))</f>
        <v>1429</v>
      </c>
      <c r="P329" s="0" t="str">
        <f aca="false">IF(B329="PRODUKSI","produced","reject")</f>
        <v>produced</v>
      </c>
    </row>
    <row r="330" customFormat="false" ht="15" hidden="false" customHeight="false" outlineLevel="0" collapsed="false">
      <c r="A330" s="0" t="n">
        <v>329</v>
      </c>
      <c r="B330" s="0" t="str">
        <f aca="false">IF(A330&lt;=36*25,"PRODUKSI","REJECT")</f>
        <v>PRODUKSI</v>
      </c>
      <c r="C330" s="0" t="n">
        <f aca="false">MOD(A330-1,Pemetaan!$B$3*Pemetaan!$B$4)</f>
        <v>328</v>
      </c>
      <c r="D330" s="0" t="n">
        <f aca="false">INT(C330/Pemetaan!$B$4)</f>
        <v>13</v>
      </c>
      <c r="E330" s="0" t="n">
        <f aca="false">MOD(C330,Pemetaan!$B$4)</f>
        <v>3</v>
      </c>
      <c r="F330" s="0" t="n">
        <f aca="false">IF(B330="PRODUKSI",Pemetaan!$B$5,Pemetaan!$B$6)</f>
        <v>5</v>
      </c>
      <c r="G330" s="0" t="n">
        <f aca="false">F330+2+D330</f>
        <v>20</v>
      </c>
      <c r="H330" s="0" t="n">
        <f aca="false">Pemetaan!$B$2+E330</f>
        <v>8</v>
      </c>
      <c r="I330" s="0" t="str">
        <f aca="false">INDEX(Laporan!$A$1:$AZ$300,G330,1)</f>
        <v>Water Treatment</v>
      </c>
      <c r="J330" s="0" t="str">
        <f aca="false">INDEX(Laporan!$A$1:$AZ$300,G330,2)</f>
        <v>1,5 L</v>
      </c>
      <c r="K330" s="0" t="str">
        <f aca="false">INDEX(Laporan!$A$1:$AZ$300,G330,3)</f>
        <v>Shift 1</v>
      </c>
      <c r="L330" s="0" t="n">
        <f aca="false">INDEX(Laporan!$A$1:$AZ$300,G330,4)</f>
        <v>2</v>
      </c>
      <c r="M330" s="1" t="n">
        <f aca="false">DATE(Pemetaan!$B$1,VALUE(RIGHT(INDEX(Laporan!$A$1:$AZ$300,F330+1,H330),2)),VALUE(LEFT(INDEX(Laporan!$A$1:$AZ$300,F330+1,H330),2)))</f>
        <v>46086</v>
      </c>
      <c r="N330" s="0" t="n">
        <f aca="false">INDEX(Laporan!$A$1:$AZ$300,G330,H330)</f>
        <v>1579</v>
      </c>
      <c r="O330" s="0" t="n">
        <f aca="false">IF(N330="","",IFERROR(VALUE(SUBSTITUTE(SUBSTITUTE(N330," btl",""),".","")),""))</f>
        <v>1579</v>
      </c>
      <c r="P330" s="0" t="str">
        <f aca="false">IF(B330="PRODUKSI","produced","reject")</f>
        <v>produced</v>
      </c>
    </row>
    <row r="331" customFormat="false" ht="15" hidden="false" customHeight="false" outlineLevel="0" collapsed="false">
      <c r="A331" s="0" t="n">
        <v>330</v>
      </c>
      <c r="B331" s="0" t="str">
        <f aca="false">IF(A331&lt;=36*25,"PRODUKSI","REJECT")</f>
        <v>PRODUKSI</v>
      </c>
      <c r="C331" s="0" t="n">
        <f aca="false">MOD(A331-1,Pemetaan!$B$3*Pemetaan!$B$4)</f>
        <v>329</v>
      </c>
      <c r="D331" s="0" t="n">
        <f aca="false">INT(C331/Pemetaan!$B$4)</f>
        <v>13</v>
      </c>
      <c r="E331" s="0" t="n">
        <f aca="false">MOD(C331,Pemetaan!$B$4)</f>
        <v>4</v>
      </c>
      <c r="F331" s="0" t="n">
        <f aca="false">IF(B331="PRODUKSI",Pemetaan!$B$5,Pemetaan!$B$6)</f>
        <v>5</v>
      </c>
      <c r="G331" s="0" t="n">
        <f aca="false">F331+2+D331</f>
        <v>20</v>
      </c>
      <c r="H331" s="0" t="n">
        <f aca="false">Pemetaan!$B$2+E331</f>
        <v>9</v>
      </c>
      <c r="I331" s="0" t="str">
        <f aca="false">INDEX(Laporan!$A$1:$AZ$300,G331,1)</f>
        <v>Water Treatment</v>
      </c>
      <c r="J331" s="0" t="str">
        <f aca="false">INDEX(Laporan!$A$1:$AZ$300,G331,2)</f>
        <v>1,5 L</v>
      </c>
      <c r="K331" s="0" t="str">
        <f aca="false">INDEX(Laporan!$A$1:$AZ$300,G331,3)</f>
        <v>Shift 1</v>
      </c>
      <c r="L331" s="0" t="n">
        <f aca="false">INDEX(Laporan!$A$1:$AZ$300,G331,4)</f>
        <v>2</v>
      </c>
      <c r="M331" s="1" t="n">
        <f aca="false">DATE(Pemetaan!$B$1,VALUE(RIGHT(INDEX(Laporan!$A$1:$AZ$300,F331+1,H331),2)),VALUE(LEFT(INDEX(Laporan!$A$1:$AZ$300,F331+1,H331),2)))</f>
        <v>46087</v>
      </c>
      <c r="N331" s="0" t="n">
        <f aca="false">INDEX(Laporan!$A$1:$AZ$300,G331,H331)</f>
        <v>1548</v>
      </c>
      <c r="O331" s="0" t="n">
        <f aca="false">IF(N331="","",IFERROR(VALUE(SUBSTITUTE(SUBSTITUTE(N331," btl",""),".","")),""))</f>
        <v>1548</v>
      </c>
      <c r="P331" s="0" t="str">
        <f aca="false">IF(B331="PRODUKSI","produced","reject")</f>
        <v>produced</v>
      </c>
    </row>
    <row r="332" customFormat="false" ht="15" hidden="false" customHeight="false" outlineLevel="0" collapsed="false">
      <c r="A332" s="0" t="n">
        <v>331</v>
      </c>
      <c r="B332" s="0" t="str">
        <f aca="false">IF(A332&lt;=36*25,"PRODUKSI","REJECT")</f>
        <v>PRODUKSI</v>
      </c>
      <c r="C332" s="0" t="n">
        <f aca="false">MOD(A332-1,Pemetaan!$B$3*Pemetaan!$B$4)</f>
        <v>330</v>
      </c>
      <c r="D332" s="0" t="n">
        <f aca="false">INT(C332/Pemetaan!$B$4)</f>
        <v>13</v>
      </c>
      <c r="E332" s="0" t="n">
        <f aca="false">MOD(C332,Pemetaan!$B$4)</f>
        <v>5</v>
      </c>
      <c r="F332" s="0" t="n">
        <f aca="false">IF(B332="PRODUKSI",Pemetaan!$B$5,Pemetaan!$B$6)</f>
        <v>5</v>
      </c>
      <c r="G332" s="0" t="n">
        <f aca="false">F332+2+D332</f>
        <v>20</v>
      </c>
      <c r="H332" s="0" t="n">
        <f aca="false">Pemetaan!$B$2+E332</f>
        <v>10</v>
      </c>
      <c r="I332" s="0" t="str">
        <f aca="false">INDEX(Laporan!$A$1:$AZ$300,G332,1)</f>
        <v>Water Treatment</v>
      </c>
      <c r="J332" s="0" t="str">
        <f aca="false">INDEX(Laporan!$A$1:$AZ$300,G332,2)</f>
        <v>1,5 L</v>
      </c>
      <c r="K332" s="0" t="str">
        <f aca="false">INDEX(Laporan!$A$1:$AZ$300,G332,3)</f>
        <v>Shift 1</v>
      </c>
      <c r="L332" s="0" t="n">
        <f aca="false">INDEX(Laporan!$A$1:$AZ$300,G332,4)</f>
        <v>2</v>
      </c>
      <c r="M332" s="1" t="n">
        <f aca="false">DATE(Pemetaan!$B$1,VALUE(RIGHT(INDEX(Laporan!$A$1:$AZ$300,F332+1,H332),2)),VALUE(LEFT(INDEX(Laporan!$A$1:$AZ$300,F332+1,H332),2)))</f>
        <v>46090</v>
      </c>
      <c r="N332" s="0" t="n">
        <f aca="false">INDEX(Laporan!$A$1:$AZ$300,G332,H332)</f>
        <v>1524</v>
      </c>
      <c r="O332" s="0" t="n">
        <f aca="false">IF(N332="","",IFERROR(VALUE(SUBSTITUTE(SUBSTITUTE(N332," btl",""),".","")),""))</f>
        <v>1524</v>
      </c>
      <c r="P332" s="0" t="str">
        <f aca="false">IF(B332="PRODUKSI","produced","reject")</f>
        <v>produced</v>
      </c>
    </row>
    <row r="333" customFormat="false" ht="15" hidden="false" customHeight="false" outlineLevel="0" collapsed="false">
      <c r="A333" s="0" t="n">
        <v>332</v>
      </c>
      <c r="B333" s="0" t="str">
        <f aca="false">IF(A333&lt;=36*25,"PRODUKSI","REJECT")</f>
        <v>PRODUKSI</v>
      </c>
      <c r="C333" s="0" t="n">
        <f aca="false">MOD(A333-1,Pemetaan!$B$3*Pemetaan!$B$4)</f>
        <v>331</v>
      </c>
      <c r="D333" s="0" t="n">
        <f aca="false">INT(C333/Pemetaan!$B$4)</f>
        <v>13</v>
      </c>
      <c r="E333" s="0" t="n">
        <f aca="false">MOD(C333,Pemetaan!$B$4)</f>
        <v>6</v>
      </c>
      <c r="F333" s="0" t="n">
        <f aca="false">IF(B333="PRODUKSI",Pemetaan!$B$5,Pemetaan!$B$6)</f>
        <v>5</v>
      </c>
      <c r="G333" s="0" t="n">
        <f aca="false">F333+2+D333</f>
        <v>20</v>
      </c>
      <c r="H333" s="0" t="n">
        <f aca="false">Pemetaan!$B$2+E333</f>
        <v>11</v>
      </c>
      <c r="I333" s="0" t="str">
        <f aca="false">INDEX(Laporan!$A$1:$AZ$300,G333,1)</f>
        <v>Water Treatment</v>
      </c>
      <c r="J333" s="0" t="str">
        <f aca="false">INDEX(Laporan!$A$1:$AZ$300,G333,2)</f>
        <v>1,5 L</v>
      </c>
      <c r="K333" s="0" t="str">
        <f aca="false">INDEX(Laporan!$A$1:$AZ$300,G333,3)</f>
        <v>Shift 1</v>
      </c>
      <c r="L333" s="0" t="n">
        <f aca="false">INDEX(Laporan!$A$1:$AZ$300,G333,4)</f>
        <v>2</v>
      </c>
      <c r="M333" s="1" t="n">
        <f aca="false">DATE(Pemetaan!$B$1,VALUE(RIGHT(INDEX(Laporan!$A$1:$AZ$300,F333+1,H333),2)),VALUE(LEFT(INDEX(Laporan!$A$1:$AZ$300,F333+1,H333),2)))</f>
        <v>46091</v>
      </c>
      <c r="N333" s="0" t="n">
        <f aca="false">INDEX(Laporan!$A$1:$AZ$300,G333,H333)</f>
        <v>1481</v>
      </c>
      <c r="O333" s="0" t="n">
        <f aca="false">IF(N333="","",IFERROR(VALUE(SUBSTITUTE(SUBSTITUTE(N333," btl",""),".","")),""))</f>
        <v>1481</v>
      </c>
      <c r="P333" s="0" t="str">
        <f aca="false">IF(B333="PRODUKSI","produced","reject")</f>
        <v>produced</v>
      </c>
    </row>
    <row r="334" customFormat="false" ht="15" hidden="false" customHeight="false" outlineLevel="0" collapsed="false">
      <c r="A334" s="0" t="n">
        <v>333</v>
      </c>
      <c r="B334" s="0" t="str">
        <f aca="false">IF(A334&lt;=36*25,"PRODUKSI","REJECT")</f>
        <v>PRODUKSI</v>
      </c>
      <c r="C334" s="0" t="n">
        <f aca="false">MOD(A334-1,Pemetaan!$B$3*Pemetaan!$B$4)</f>
        <v>332</v>
      </c>
      <c r="D334" s="0" t="n">
        <f aca="false">INT(C334/Pemetaan!$B$4)</f>
        <v>13</v>
      </c>
      <c r="E334" s="0" t="n">
        <f aca="false">MOD(C334,Pemetaan!$B$4)</f>
        <v>7</v>
      </c>
      <c r="F334" s="0" t="n">
        <f aca="false">IF(B334="PRODUKSI",Pemetaan!$B$5,Pemetaan!$B$6)</f>
        <v>5</v>
      </c>
      <c r="G334" s="0" t="n">
        <f aca="false">F334+2+D334</f>
        <v>20</v>
      </c>
      <c r="H334" s="0" t="n">
        <f aca="false">Pemetaan!$B$2+E334</f>
        <v>12</v>
      </c>
      <c r="I334" s="0" t="str">
        <f aca="false">INDEX(Laporan!$A$1:$AZ$300,G334,1)</f>
        <v>Water Treatment</v>
      </c>
      <c r="J334" s="0" t="str">
        <f aca="false">INDEX(Laporan!$A$1:$AZ$300,G334,2)</f>
        <v>1,5 L</v>
      </c>
      <c r="K334" s="0" t="str">
        <f aca="false">INDEX(Laporan!$A$1:$AZ$300,G334,3)</f>
        <v>Shift 1</v>
      </c>
      <c r="L334" s="0" t="n">
        <f aca="false">INDEX(Laporan!$A$1:$AZ$300,G334,4)</f>
        <v>2</v>
      </c>
      <c r="M334" s="1" t="n">
        <f aca="false">DATE(Pemetaan!$B$1,VALUE(RIGHT(INDEX(Laporan!$A$1:$AZ$300,F334+1,H334),2)),VALUE(LEFT(INDEX(Laporan!$A$1:$AZ$300,F334+1,H334),2)))</f>
        <v>46092</v>
      </c>
      <c r="N334" s="0" t="n">
        <f aca="false">INDEX(Laporan!$A$1:$AZ$300,G334,H334)</f>
        <v>1448</v>
      </c>
      <c r="O334" s="0" t="n">
        <f aca="false">IF(N334="","",IFERROR(VALUE(SUBSTITUTE(SUBSTITUTE(N334," btl",""),".","")),""))</f>
        <v>1448</v>
      </c>
      <c r="P334" s="0" t="str">
        <f aca="false">IF(B334="PRODUKSI","produced","reject")</f>
        <v>produced</v>
      </c>
    </row>
    <row r="335" customFormat="false" ht="15" hidden="false" customHeight="false" outlineLevel="0" collapsed="false">
      <c r="A335" s="0" t="n">
        <v>334</v>
      </c>
      <c r="B335" s="0" t="str">
        <f aca="false">IF(A335&lt;=36*25,"PRODUKSI","REJECT")</f>
        <v>PRODUKSI</v>
      </c>
      <c r="C335" s="0" t="n">
        <f aca="false">MOD(A335-1,Pemetaan!$B$3*Pemetaan!$B$4)</f>
        <v>333</v>
      </c>
      <c r="D335" s="0" t="n">
        <f aca="false">INT(C335/Pemetaan!$B$4)</f>
        <v>13</v>
      </c>
      <c r="E335" s="0" t="n">
        <f aca="false">MOD(C335,Pemetaan!$B$4)</f>
        <v>8</v>
      </c>
      <c r="F335" s="0" t="n">
        <f aca="false">IF(B335="PRODUKSI",Pemetaan!$B$5,Pemetaan!$B$6)</f>
        <v>5</v>
      </c>
      <c r="G335" s="0" t="n">
        <f aca="false">F335+2+D335</f>
        <v>20</v>
      </c>
      <c r="H335" s="0" t="n">
        <f aca="false">Pemetaan!$B$2+E335</f>
        <v>13</v>
      </c>
      <c r="I335" s="0" t="str">
        <f aca="false">INDEX(Laporan!$A$1:$AZ$300,G335,1)</f>
        <v>Water Treatment</v>
      </c>
      <c r="J335" s="0" t="str">
        <f aca="false">INDEX(Laporan!$A$1:$AZ$300,G335,2)</f>
        <v>1,5 L</v>
      </c>
      <c r="K335" s="0" t="str">
        <f aca="false">INDEX(Laporan!$A$1:$AZ$300,G335,3)</f>
        <v>Shift 1</v>
      </c>
      <c r="L335" s="0" t="n">
        <f aca="false">INDEX(Laporan!$A$1:$AZ$300,G335,4)</f>
        <v>2</v>
      </c>
      <c r="M335" s="1" t="n">
        <f aca="false">DATE(Pemetaan!$B$1,VALUE(RIGHT(INDEX(Laporan!$A$1:$AZ$300,F335+1,H335),2)),VALUE(LEFT(INDEX(Laporan!$A$1:$AZ$300,F335+1,H335),2)))</f>
        <v>46093</v>
      </c>
      <c r="N335" s="0" t="n">
        <f aca="false">INDEX(Laporan!$A$1:$AZ$300,G335,H335)</f>
        <v>1502</v>
      </c>
      <c r="O335" s="0" t="n">
        <f aca="false">IF(N335="","",IFERROR(VALUE(SUBSTITUTE(SUBSTITUTE(N335," btl",""),".","")),""))</f>
        <v>1502</v>
      </c>
      <c r="P335" s="0" t="str">
        <f aca="false">IF(B335="PRODUKSI","produced","reject")</f>
        <v>produced</v>
      </c>
    </row>
    <row r="336" customFormat="false" ht="15" hidden="false" customHeight="false" outlineLevel="0" collapsed="false">
      <c r="A336" s="0" t="n">
        <v>335</v>
      </c>
      <c r="B336" s="0" t="str">
        <f aca="false">IF(A336&lt;=36*25,"PRODUKSI","REJECT")</f>
        <v>PRODUKSI</v>
      </c>
      <c r="C336" s="0" t="n">
        <f aca="false">MOD(A336-1,Pemetaan!$B$3*Pemetaan!$B$4)</f>
        <v>334</v>
      </c>
      <c r="D336" s="0" t="n">
        <f aca="false">INT(C336/Pemetaan!$B$4)</f>
        <v>13</v>
      </c>
      <c r="E336" s="0" t="n">
        <f aca="false">MOD(C336,Pemetaan!$B$4)</f>
        <v>9</v>
      </c>
      <c r="F336" s="0" t="n">
        <f aca="false">IF(B336="PRODUKSI",Pemetaan!$B$5,Pemetaan!$B$6)</f>
        <v>5</v>
      </c>
      <c r="G336" s="0" t="n">
        <f aca="false">F336+2+D336</f>
        <v>20</v>
      </c>
      <c r="H336" s="0" t="n">
        <f aca="false">Pemetaan!$B$2+E336</f>
        <v>14</v>
      </c>
      <c r="I336" s="0" t="str">
        <f aca="false">INDEX(Laporan!$A$1:$AZ$300,G336,1)</f>
        <v>Water Treatment</v>
      </c>
      <c r="J336" s="0" t="str">
        <f aca="false">INDEX(Laporan!$A$1:$AZ$300,G336,2)</f>
        <v>1,5 L</v>
      </c>
      <c r="K336" s="0" t="str">
        <f aca="false">INDEX(Laporan!$A$1:$AZ$300,G336,3)</f>
        <v>Shift 1</v>
      </c>
      <c r="L336" s="0" t="n">
        <f aca="false">INDEX(Laporan!$A$1:$AZ$300,G336,4)</f>
        <v>2</v>
      </c>
      <c r="M336" s="1" t="n">
        <f aca="false">DATE(Pemetaan!$B$1,VALUE(RIGHT(INDEX(Laporan!$A$1:$AZ$300,F336+1,H336),2)),VALUE(LEFT(INDEX(Laporan!$A$1:$AZ$300,F336+1,H336),2)))</f>
        <v>46094</v>
      </c>
      <c r="N336" s="0" t="n">
        <f aca="false">INDEX(Laporan!$A$1:$AZ$300,G336,H336)</f>
        <v>1439</v>
      </c>
      <c r="O336" s="0" t="n">
        <f aca="false">IF(N336="","",IFERROR(VALUE(SUBSTITUTE(SUBSTITUTE(N336," btl",""),".","")),""))</f>
        <v>1439</v>
      </c>
      <c r="P336" s="0" t="str">
        <f aca="false">IF(B336="PRODUKSI","produced","reject")</f>
        <v>produced</v>
      </c>
    </row>
    <row r="337" customFormat="false" ht="15" hidden="false" customHeight="false" outlineLevel="0" collapsed="false">
      <c r="A337" s="0" t="n">
        <v>336</v>
      </c>
      <c r="B337" s="0" t="str">
        <f aca="false">IF(A337&lt;=36*25,"PRODUKSI","REJECT")</f>
        <v>PRODUKSI</v>
      </c>
      <c r="C337" s="0" t="n">
        <f aca="false">MOD(A337-1,Pemetaan!$B$3*Pemetaan!$B$4)</f>
        <v>335</v>
      </c>
      <c r="D337" s="0" t="n">
        <f aca="false">INT(C337/Pemetaan!$B$4)</f>
        <v>13</v>
      </c>
      <c r="E337" s="0" t="n">
        <f aca="false">MOD(C337,Pemetaan!$B$4)</f>
        <v>10</v>
      </c>
      <c r="F337" s="0" t="n">
        <f aca="false">IF(B337="PRODUKSI",Pemetaan!$B$5,Pemetaan!$B$6)</f>
        <v>5</v>
      </c>
      <c r="G337" s="0" t="n">
        <f aca="false">F337+2+D337</f>
        <v>20</v>
      </c>
      <c r="H337" s="0" t="n">
        <f aca="false">Pemetaan!$B$2+E337</f>
        <v>15</v>
      </c>
      <c r="I337" s="0" t="str">
        <f aca="false">INDEX(Laporan!$A$1:$AZ$300,G337,1)</f>
        <v>Water Treatment</v>
      </c>
      <c r="J337" s="0" t="str">
        <f aca="false">INDEX(Laporan!$A$1:$AZ$300,G337,2)</f>
        <v>1,5 L</v>
      </c>
      <c r="K337" s="0" t="str">
        <f aca="false">INDEX(Laporan!$A$1:$AZ$300,G337,3)</f>
        <v>Shift 1</v>
      </c>
      <c r="L337" s="0" t="n">
        <f aca="false">INDEX(Laporan!$A$1:$AZ$300,G337,4)</f>
        <v>2</v>
      </c>
      <c r="M337" s="1" t="n">
        <f aca="false">DATE(Pemetaan!$B$1,VALUE(RIGHT(INDEX(Laporan!$A$1:$AZ$300,F337+1,H337),2)),VALUE(LEFT(INDEX(Laporan!$A$1:$AZ$300,F337+1,H337),2)))</f>
        <v>46097</v>
      </c>
      <c r="N337" s="0" t="n">
        <f aca="false">INDEX(Laporan!$A$1:$AZ$300,G337,H337)</f>
        <v>1355</v>
      </c>
      <c r="O337" s="0" t="n">
        <f aca="false">IF(N337="","",IFERROR(VALUE(SUBSTITUTE(SUBSTITUTE(N337," btl",""),".","")),""))</f>
        <v>1355</v>
      </c>
      <c r="P337" s="0" t="str">
        <f aca="false">IF(B337="PRODUKSI","produced","reject")</f>
        <v>produced</v>
      </c>
    </row>
    <row r="338" customFormat="false" ht="15" hidden="false" customHeight="false" outlineLevel="0" collapsed="false">
      <c r="A338" s="0" t="n">
        <v>337</v>
      </c>
      <c r="B338" s="0" t="str">
        <f aca="false">IF(A338&lt;=36*25,"PRODUKSI","REJECT")</f>
        <v>PRODUKSI</v>
      </c>
      <c r="C338" s="0" t="n">
        <f aca="false">MOD(A338-1,Pemetaan!$B$3*Pemetaan!$B$4)</f>
        <v>336</v>
      </c>
      <c r="D338" s="0" t="n">
        <f aca="false">INT(C338/Pemetaan!$B$4)</f>
        <v>13</v>
      </c>
      <c r="E338" s="0" t="n">
        <f aca="false">MOD(C338,Pemetaan!$B$4)</f>
        <v>11</v>
      </c>
      <c r="F338" s="0" t="n">
        <f aca="false">IF(B338="PRODUKSI",Pemetaan!$B$5,Pemetaan!$B$6)</f>
        <v>5</v>
      </c>
      <c r="G338" s="0" t="n">
        <f aca="false">F338+2+D338</f>
        <v>20</v>
      </c>
      <c r="H338" s="0" t="n">
        <f aca="false">Pemetaan!$B$2+E338</f>
        <v>16</v>
      </c>
      <c r="I338" s="0" t="str">
        <f aca="false">INDEX(Laporan!$A$1:$AZ$300,G338,1)</f>
        <v>Water Treatment</v>
      </c>
      <c r="J338" s="0" t="str">
        <f aca="false">INDEX(Laporan!$A$1:$AZ$300,G338,2)</f>
        <v>1,5 L</v>
      </c>
      <c r="K338" s="0" t="str">
        <f aca="false">INDEX(Laporan!$A$1:$AZ$300,G338,3)</f>
        <v>Shift 1</v>
      </c>
      <c r="L338" s="0" t="n">
        <f aca="false">INDEX(Laporan!$A$1:$AZ$300,G338,4)</f>
        <v>2</v>
      </c>
      <c r="M338" s="1" t="n">
        <f aca="false">DATE(Pemetaan!$B$1,VALUE(RIGHT(INDEX(Laporan!$A$1:$AZ$300,F338+1,H338),2)),VALUE(LEFT(INDEX(Laporan!$A$1:$AZ$300,F338+1,H338),2)))</f>
        <v>46098</v>
      </c>
      <c r="N338" s="0" t="n">
        <f aca="false">INDEX(Laporan!$A$1:$AZ$300,G338,H338)</f>
        <v>1509</v>
      </c>
      <c r="O338" s="0" t="n">
        <f aca="false">IF(N338="","",IFERROR(VALUE(SUBSTITUTE(SUBSTITUTE(N338," btl",""),".","")),""))</f>
        <v>1509</v>
      </c>
      <c r="P338" s="0" t="str">
        <f aca="false">IF(B338="PRODUKSI","produced","reject")</f>
        <v>produced</v>
      </c>
    </row>
    <row r="339" customFormat="false" ht="15" hidden="false" customHeight="false" outlineLevel="0" collapsed="false">
      <c r="A339" s="0" t="n">
        <v>338</v>
      </c>
      <c r="B339" s="0" t="str">
        <f aca="false">IF(A339&lt;=36*25,"PRODUKSI","REJECT")</f>
        <v>PRODUKSI</v>
      </c>
      <c r="C339" s="0" t="n">
        <f aca="false">MOD(A339-1,Pemetaan!$B$3*Pemetaan!$B$4)</f>
        <v>337</v>
      </c>
      <c r="D339" s="0" t="n">
        <f aca="false">INT(C339/Pemetaan!$B$4)</f>
        <v>13</v>
      </c>
      <c r="E339" s="0" t="n">
        <f aca="false">MOD(C339,Pemetaan!$B$4)</f>
        <v>12</v>
      </c>
      <c r="F339" s="0" t="n">
        <f aca="false">IF(B339="PRODUKSI",Pemetaan!$B$5,Pemetaan!$B$6)</f>
        <v>5</v>
      </c>
      <c r="G339" s="0" t="n">
        <f aca="false">F339+2+D339</f>
        <v>20</v>
      </c>
      <c r="H339" s="0" t="n">
        <f aca="false">Pemetaan!$B$2+E339</f>
        <v>17</v>
      </c>
      <c r="I339" s="0" t="str">
        <f aca="false">INDEX(Laporan!$A$1:$AZ$300,G339,1)</f>
        <v>Water Treatment</v>
      </c>
      <c r="J339" s="0" t="str">
        <f aca="false">INDEX(Laporan!$A$1:$AZ$300,G339,2)</f>
        <v>1,5 L</v>
      </c>
      <c r="K339" s="0" t="str">
        <f aca="false">INDEX(Laporan!$A$1:$AZ$300,G339,3)</f>
        <v>Shift 1</v>
      </c>
      <c r="L339" s="0" t="n">
        <f aca="false">INDEX(Laporan!$A$1:$AZ$300,G339,4)</f>
        <v>2</v>
      </c>
      <c r="M339" s="1" t="n">
        <f aca="false">DATE(Pemetaan!$B$1,VALUE(RIGHT(INDEX(Laporan!$A$1:$AZ$300,F339+1,H339),2)),VALUE(LEFT(INDEX(Laporan!$A$1:$AZ$300,F339+1,H339),2)))</f>
        <v>46099</v>
      </c>
      <c r="N339" s="0" t="n">
        <f aca="false">INDEX(Laporan!$A$1:$AZ$300,G339,H339)</f>
        <v>1580</v>
      </c>
      <c r="O339" s="0" t="n">
        <f aca="false">IF(N339="","",IFERROR(VALUE(SUBSTITUTE(SUBSTITUTE(N339," btl",""),".","")),""))</f>
        <v>1580</v>
      </c>
      <c r="P339" s="0" t="str">
        <f aca="false">IF(B339="PRODUKSI","produced","reject")</f>
        <v>produced</v>
      </c>
    </row>
    <row r="340" customFormat="false" ht="15" hidden="false" customHeight="false" outlineLevel="0" collapsed="false">
      <c r="A340" s="0" t="n">
        <v>339</v>
      </c>
      <c r="B340" s="0" t="str">
        <f aca="false">IF(A340&lt;=36*25,"PRODUKSI","REJECT")</f>
        <v>PRODUKSI</v>
      </c>
      <c r="C340" s="0" t="n">
        <f aca="false">MOD(A340-1,Pemetaan!$B$3*Pemetaan!$B$4)</f>
        <v>338</v>
      </c>
      <c r="D340" s="0" t="n">
        <f aca="false">INT(C340/Pemetaan!$B$4)</f>
        <v>13</v>
      </c>
      <c r="E340" s="0" t="n">
        <f aca="false">MOD(C340,Pemetaan!$B$4)</f>
        <v>13</v>
      </c>
      <c r="F340" s="0" t="n">
        <f aca="false">IF(B340="PRODUKSI",Pemetaan!$B$5,Pemetaan!$B$6)</f>
        <v>5</v>
      </c>
      <c r="G340" s="0" t="n">
        <f aca="false">F340+2+D340</f>
        <v>20</v>
      </c>
      <c r="H340" s="0" t="n">
        <f aca="false">Pemetaan!$B$2+E340</f>
        <v>18</v>
      </c>
      <c r="I340" s="0" t="str">
        <f aca="false">INDEX(Laporan!$A$1:$AZ$300,G340,1)</f>
        <v>Water Treatment</v>
      </c>
      <c r="J340" s="0" t="str">
        <f aca="false">INDEX(Laporan!$A$1:$AZ$300,G340,2)</f>
        <v>1,5 L</v>
      </c>
      <c r="K340" s="0" t="str">
        <f aca="false">INDEX(Laporan!$A$1:$AZ$300,G340,3)</f>
        <v>Shift 1</v>
      </c>
      <c r="L340" s="0" t="n">
        <f aca="false">INDEX(Laporan!$A$1:$AZ$300,G340,4)</f>
        <v>2</v>
      </c>
      <c r="M340" s="1" t="n">
        <f aca="false">DATE(Pemetaan!$B$1,VALUE(RIGHT(INDEX(Laporan!$A$1:$AZ$300,F340+1,H340),2)),VALUE(LEFT(INDEX(Laporan!$A$1:$AZ$300,F340+1,H340),2)))</f>
        <v>46100</v>
      </c>
      <c r="N340" s="0" t="n">
        <f aca="false">INDEX(Laporan!$A$1:$AZ$300,G340,H340)</f>
        <v>1769</v>
      </c>
      <c r="O340" s="0" t="n">
        <f aca="false">IF(N340="","",IFERROR(VALUE(SUBSTITUTE(SUBSTITUTE(N340," btl",""),".","")),""))</f>
        <v>1769</v>
      </c>
      <c r="P340" s="0" t="str">
        <f aca="false">IF(B340="PRODUKSI","produced","reject")</f>
        <v>produced</v>
      </c>
    </row>
    <row r="341" customFormat="false" ht="15" hidden="false" customHeight="false" outlineLevel="0" collapsed="false">
      <c r="A341" s="0" t="n">
        <v>340</v>
      </c>
      <c r="B341" s="0" t="str">
        <f aca="false">IF(A341&lt;=36*25,"PRODUKSI","REJECT")</f>
        <v>PRODUKSI</v>
      </c>
      <c r="C341" s="0" t="n">
        <f aca="false">MOD(A341-1,Pemetaan!$B$3*Pemetaan!$B$4)</f>
        <v>339</v>
      </c>
      <c r="D341" s="0" t="n">
        <f aca="false">INT(C341/Pemetaan!$B$4)</f>
        <v>13</v>
      </c>
      <c r="E341" s="0" t="n">
        <f aca="false">MOD(C341,Pemetaan!$B$4)</f>
        <v>14</v>
      </c>
      <c r="F341" s="0" t="n">
        <f aca="false">IF(B341="PRODUKSI",Pemetaan!$B$5,Pemetaan!$B$6)</f>
        <v>5</v>
      </c>
      <c r="G341" s="0" t="n">
        <f aca="false">F341+2+D341</f>
        <v>20</v>
      </c>
      <c r="H341" s="0" t="n">
        <f aca="false">Pemetaan!$B$2+E341</f>
        <v>19</v>
      </c>
      <c r="I341" s="0" t="str">
        <f aca="false">INDEX(Laporan!$A$1:$AZ$300,G341,1)</f>
        <v>Water Treatment</v>
      </c>
      <c r="J341" s="0" t="str">
        <f aca="false">INDEX(Laporan!$A$1:$AZ$300,G341,2)</f>
        <v>1,5 L</v>
      </c>
      <c r="K341" s="0" t="str">
        <f aca="false">INDEX(Laporan!$A$1:$AZ$300,G341,3)</f>
        <v>Shift 1</v>
      </c>
      <c r="L341" s="0" t="n">
        <f aca="false">INDEX(Laporan!$A$1:$AZ$300,G341,4)</f>
        <v>2</v>
      </c>
      <c r="M341" s="1" t="n">
        <f aca="false">DATE(Pemetaan!$B$1,VALUE(RIGHT(INDEX(Laporan!$A$1:$AZ$300,F341+1,H341),2)),VALUE(LEFT(INDEX(Laporan!$A$1:$AZ$300,F341+1,H341),2)))</f>
        <v>46101</v>
      </c>
      <c r="N341" s="0" t="n">
        <f aca="false">INDEX(Laporan!$A$1:$AZ$300,G341,H341)</f>
        <v>1634</v>
      </c>
      <c r="O341" s="0" t="n">
        <f aca="false">IF(N341="","",IFERROR(VALUE(SUBSTITUTE(SUBSTITUTE(N341," btl",""),".","")),""))</f>
        <v>1634</v>
      </c>
      <c r="P341" s="0" t="str">
        <f aca="false">IF(B341="PRODUKSI","produced","reject")</f>
        <v>produced</v>
      </c>
    </row>
    <row r="342" customFormat="false" ht="15" hidden="false" customHeight="false" outlineLevel="0" collapsed="false">
      <c r="A342" s="0" t="n">
        <v>341</v>
      </c>
      <c r="B342" s="0" t="str">
        <f aca="false">IF(A342&lt;=36*25,"PRODUKSI","REJECT")</f>
        <v>PRODUKSI</v>
      </c>
      <c r="C342" s="0" t="n">
        <f aca="false">MOD(A342-1,Pemetaan!$B$3*Pemetaan!$B$4)</f>
        <v>340</v>
      </c>
      <c r="D342" s="0" t="n">
        <f aca="false">INT(C342/Pemetaan!$B$4)</f>
        <v>13</v>
      </c>
      <c r="E342" s="0" t="n">
        <f aca="false">MOD(C342,Pemetaan!$B$4)</f>
        <v>15</v>
      </c>
      <c r="F342" s="0" t="n">
        <f aca="false">IF(B342="PRODUKSI",Pemetaan!$B$5,Pemetaan!$B$6)</f>
        <v>5</v>
      </c>
      <c r="G342" s="0" t="n">
        <f aca="false">F342+2+D342</f>
        <v>20</v>
      </c>
      <c r="H342" s="0" t="n">
        <f aca="false">Pemetaan!$B$2+E342</f>
        <v>20</v>
      </c>
      <c r="I342" s="0" t="str">
        <f aca="false">INDEX(Laporan!$A$1:$AZ$300,G342,1)</f>
        <v>Water Treatment</v>
      </c>
      <c r="J342" s="0" t="str">
        <f aca="false">INDEX(Laporan!$A$1:$AZ$300,G342,2)</f>
        <v>1,5 L</v>
      </c>
      <c r="K342" s="0" t="str">
        <f aca="false">INDEX(Laporan!$A$1:$AZ$300,G342,3)</f>
        <v>Shift 1</v>
      </c>
      <c r="L342" s="0" t="n">
        <f aca="false">INDEX(Laporan!$A$1:$AZ$300,G342,4)</f>
        <v>2</v>
      </c>
      <c r="M342" s="1" t="n">
        <f aca="false">DATE(Pemetaan!$B$1,VALUE(RIGHT(INDEX(Laporan!$A$1:$AZ$300,F342+1,H342),2)),VALUE(LEFT(INDEX(Laporan!$A$1:$AZ$300,F342+1,H342),2)))</f>
        <v>46104</v>
      </c>
      <c r="N342" s="0" t="n">
        <f aca="false">INDEX(Laporan!$A$1:$AZ$300,G342,H342)</f>
        <v>1407</v>
      </c>
      <c r="O342" s="0" t="n">
        <f aca="false">IF(N342="","",IFERROR(VALUE(SUBSTITUTE(SUBSTITUTE(N342," btl",""),".","")),""))</f>
        <v>1407</v>
      </c>
      <c r="P342" s="0" t="str">
        <f aca="false">IF(B342="PRODUKSI","produced","reject")</f>
        <v>produced</v>
      </c>
    </row>
    <row r="343" customFormat="false" ht="15" hidden="false" customHeight="false" outlineLevel="0" collapsed="false">
      <c r="A343" s="0" t="n">
        <v>342</v>
      </c>
      <c r="B343" s="0" t="str">
        <f aca="false">IF(A343&lt;=36*25,"PRODUKSI","REJECT")</f>
        <v>PRODUKSI</v>
      </c>
      <c r="C343" s="0" t="n">
        <f aca="false">MOD(A343-1,Pemetaan!$B$3*Pemetaan!$B$4)</f>
        <v>341</v>
      </c>
      <c r="D343" s="0" t="n">
        <f aca="false">INT(C343/Pemetaan!$B$4)</f>
        <v>13</v>
      </c>
      <c r="E343" s="0" t="n">
        <f aca="false">MOD(C343,Pemetaan!$B$4)</f>
        <v>16</v>
      </c>
      <c r="F343" s="0" t="n">
        <f aca="false">IF(B343="PRODUKSI",Pemetaan!$B$5,Pemetaan!$B$6)</f>
        <v>5</v>
      </c>
      <c r="G343" s="0" t="n">
        <f aca="false">F343+2+D343</f>
        <v>20</v>
      </c>
      <c r="H343" s="0" t="n">
        <f aca="false">Pemetaan!$B$2+E343</f>
        <v>21</v>
      </c>
      <c r="I343" s="0" t="str">
        <f aca="false">INDEX(Laporan!$A$1:$AZ$300,G343,1)</f>
        <v>Water Treatment</v>
      </c>
      <c r="J343" s="0" t="str">
        <f aca="false">INDEX(Laporan!$A$1:$AZ$300,G343,2)</f>
        <v>1,5 L</v>
      </c>
      <c r="K343" s="0" t="str">
        <f aca="false">INDEX(Laporan!$A$1:$AZ$300,G343,3)</f>
        <v>Shift 1</v>
      </c>
      <c r="L343" s="0" t="n">
        <f aca="false">INDEX(Laporan!$A$1:$AZ$300,G343,4)</f>
        <v>2</v>
      </c>
      <c r="M343" s="1" t="n">
        <f aca="false">DATE(Pemetaan!$B$1,VALUE(RIGHT(INDEX(Laporan!$A$1:$AZ$300,F343+1,H343),2)),VALUE(LEFT(INDEX(Laporan!$A$1:$AZ$300,F343+1,H343),2)))</f>
        <v>46105</v>
      </c>
      <c r="N343" s="0" t="n">
        <f aca="false">INDEX(Laporan!$A$1:$AZ$300,G343,H343)</f>
        <v>1513</v>
      </c>
      <c r="O343" s="0" t="n">
        <f aca="false">IF(N343="","",IFERROR(VALUE(SUBSTITUTE(SUBSTITUTE(N343," btl",""),".","")),""))</f>
        <v>1513</v>
      </c>
      <c r="P343" s="0" t="str">
        <f aca="false">IF(B343="PRODUKSI","produced","reject")</f>
        <v>produced</v>
      </c>
    </row>
    <row r="344" customFormat="false" ht="15" hidden="false" customHeight="false" outlineLevel="0" collapsed="false">
      <c r="A344" s="0" t="n">
        <v>343</v>
      </c>
      <c r="B344" s="0" t="str">
        <f aca="false">IF(A344&lt;=36*25,"PRODUKSI","REJECT")</f>
        <v>PRODUKSI</v>
      </c>
      <c r="C344" s="0" t="n">
        <f aca="false">MOD(A344-1,Pemetaan!$B$3*Pemetaan!$B$4)</f>
        <v>342</v>
      </c>
      <c r="D344" s="0" t="n">
        <f aca="false">INT(C344/Pemetaan!$B$4)</f>
        <v>13</v>
      </c>
      <c r="E344" s="0" t="n">
        <f aca="false">MOD(C344,Pemetaan!$B$4)</f>
        <v>17</v>
      </c>
      <c r="F344" s="0" t="n">
        <f aca="false">IF(B344="PRODUKSI",Pemetaan!$B$5,Pemetaan!$B$6)</f>
        <v>5</v>
      </c>
      <c r="G344" s="0" t="n">
        <f aca="false">F344+2+D344</f>
        <v>20</v>
      </c>
      <c r="H344" s="0" t="n">
        <f aca="false">Pemetaan!$B$2+E344</f>
        <v>22</v>
      </c>
      <c r="I344" s="0" t="str">
        <f aca="false">INDEX(Laporan!$A$1:$AZ$300,G344,1)</f>
        <v>Water Treatment</v>
      </c>
      <c r="J344" s="0" t="str">
        <f aca="false">INDEX(Laporan!$A$1:$AZ$300,G344,2)</f>
        <v>1,5 L</v>
      </c>
      <c r="K344" s="0" t="str">
        <f aca="false">INDEX(Laporan!$A$1:$AZ$300,G344,3)</f>
        <v>Shift 1</v>
      </c>
      <c r="L344" s="0" t="n">
        <f aca="false">INDEX(Laporan!$A$1:$AZ$300,G344,4)</f>
        <v>2</v>
      </c>
      <c r="M344" s="1" t="n">
        <f aca="false">DATE(Pemetaan!$B$1,VALUE(RIGHT(INDEX(Laporan!$A$1:$AZ$300,F344+1,H344),2)),VALUE(LEFT(INDEX(Laporan!$A$1:$AZ$300,F344+1,H344),2)))</f>
        <v>46106</v>
      </c>
      <c r="N344" s="0" t="n">
        <f aca="false">INDEX(Laporan!$A$1:$AZ$300,G344,H344)</f>
        <v>1553</v>
      </c>
      <c r="O344" s="0" t="n">
        <f aca="false">IF(N344="","",IFERROR(VALUE(SUBSTITUTE(SUBSTITUTE(N344," btl",""),".","")),""))</f>
        <v>1553</v>
      </c>
      <c r="P344" s="0" t="str">
        <f aca="false">IF(B344="PRODUKSI","produced","reject")</f>
        <v>produced</v>
      </c>
    </row>
    <row r="345" customFormat="false" ht="15" hidden="false" customHeight="false" outlineLevel="0" collapsed="false">
      <c r="A345" s="0" t="n">
        <v>344</v>
      </c>
      <c r="B345" s="0" t="str">
        <f aca="false">IF(A345&lt;=36*25,"PRODUKSI","REJECT")</f>
        <v>PRODUKSI</v>
      </c>
      <c r="C345" s="0" t="n">
        <f aca="false">MOD(A345-1,Pemetaan!$B$3*Pemetaan!$B$4)</f>
        <v>343</v>
      </c>
      <c r="D345" s="0" t="n">
        <f aca="false">INT(C345/Pemetaan!$B$4)</f>
        <v>13</v>
      </c>
      <c r="E345" s="0" t="n">
        <f aca="false">MOD(C345,Pemetaan!$B$4)</f>
        <v>18</v>
      </c>
      <c r="F345" s="0" t="n">
        <f aca="false">IF(B345="PRODUKSI",Pemetaan!$B$5,Pemetaan!$B$6)</f>
        <v>5</v>
      </c>
      <c r="G345" s="0" t="n">
        <f aca="false">F345+2+D345</f>
        <v>20</v>
      </c>
      <c r="H345" s="0" t="n">
        <f aca="false">Pemetaan!$B$2+E345</f>
        <v>23</v>
      </c>
      <c r="I345" s="0" t="str">
        <f aca="false">INDEX(Laporan!$A$1:$AZ$300,G345,1)</f>
        <v>Water Treatment</v>
      </c>
      <c r="J345" s="0" t="str">
        <f aca="false">INDEX(Laporan!$A$1:$AZ$300,G345,2)</f>
        <v>1,5 L</v>
      </c>
      <c r="K345" s="0" t="str">
        <f aca="false">INDEX(Laporan!$A$1:$AZ$300,G345,3)</f>
        <v>Shift 1</v>
      </c>
      <c r="L345" s="0" t="n">
        <f aca="false">INDEX(Laporan!$A$1:$AZ$300,G345,4)</f>
        <v>2</v>
      </c>
      <c r="M345" s="1" t="n">
        <f aca="false">DATE(Pemetaan!$B$1,VALUE(RIGHT(INDEX(Laporan!$A$1:$AZ$300,F345+1,H345),2)),VALUE(LEFT(INDEX(Laporan!$A$1:$AZ$300,F345+1,H345),2)))</f>
        <v>46107</v>
      </c>
      <c r="N345" s="0" t="n">
        <f aca="false">INDEX(Laporan!$A$1:$AZ$300,G345,H345)</f>
        <v>1590</v>
      </c>
      <c r="O345" s="0" t="n">
        <f aca="false">IF(N345="","",IFERROR(VALUE(SUBSTITUTE(SUBSTITUTE(N345," btl",""),".","")),""))</f>
        <v>1590</v>
      </c>
      <c r="P345" s="0" t="str">
        <f aca="false">IF(B345="PRODUKSI","produced","reject")</f>
        <v>produced</v>
      </c>
    </row>
    <row r="346" customFormat="false" ht="15" hidden="false" customHeight="false" outlineLevel="0" collapsed="false">
      <c r="A346" s="0" t="n">
        <v>345</v>
      </c>
      <c r="B346" s="0" t="str">
        <f aca="false">IF(A346&lt;=36*25,"PRODUKSI","REJECT")</f>
        <v>PRODUKSI</v>
      </c>
      <c r="C346" s="0" t="n">
        <f aca="false">MOD(A346-1,Pemetaan!$B$3*Pemetaan!$B$4)</f>
        <v>344</v>
      </c>
      <c r="D346" s="0" t="n">
        <f aca="false">INT(C346/Pemetaan!$B$4)</f>
        <v>13</v>
      </c>
      <c r="E346" s="0" t="n">
        <f aca="false">MOD(C346,Pemetaan!$B$4)</f>
        <v>19</v>
      </c>
      <c r="F346" s="0" t="n">
        <f aca="false">IF(B346="PRODUKSI",Pemetaan!$B$5,Pemetaan!$B$6)</f>
        <v>5</v>
      </c>
      <c r="G346" s="0" t="n">
        <f aca="false">F346+2+D346</f>
        <v>20</v>
      </c>
      <c r="H346" s="0" t="n">
        <f aca="false">Pemetaan!$B$2+E346</f>
        <v>24</v>
      </c>
      <c r="I346" s="0" t="str">
        <f aca="false">INDEX(Laporan!$A$1:$AZ$300,G346,1)</f>
        <v>Water Treatment</v>
      </c>
      <c r="J346" s="0" t="str">
        <f aca="false">INDEX(Laporan!$A$1:$AZ$300,G346,2)</f>
        <v>1,5 L</v>
      </c>
      <c r="K346" s="0" t="str">
        <f aca="false">INDEX(Laporan!$A$1:$AZ$300,G346,3)</f>
        <v>Shift 1</v>
      </c>
      <c r="L346" s="0" t="n">
        <f aca="false">INDEX(Laporan!$A$1:$AZ$300,G346,4)</f>
        <v>2</v>
      </c>
      <c r="M346" s="1" t="n">
        <f aca="false">DATE(Pemetaan!$B$1,VALUE(RIGHT(INDEX(Laporan!$A$1:$AZ$300,F346+1,H346),2)),VALUE(LEFT(INDEX(Laporan!$A$1:$AZ$300,F346+1,H346),2)))</f>
        <v>46108</v>
      </c>
      <c r="N346" s="0" t="n">
        <f aca="false">INDEX(Laporan!$A$1:$AZ$300,G346,H346)</f>
        <v>1433</v>
      </c>
      <c r="O346" s="0" t="n">
        <f aca="false">IF(N346="","",IFERROR(VALUE(SUBSTITUTE(SUBSTITUTE(N346," btl",""),".","")),""))</f>
        <v>1433</v>
      </c>
      <c r="P346" s="0" t="str">
        <f aca="false">IF(B346="PRODUKSI","produced","reject")</f>
        <v>produced</v>
      </c>
    </row>
    <row r="347" customFormat="false" ht="15" hidden="false" customHeight="false" outlineLevel="0" collapsed="false">
      <c r="A347" s="0" t="n">
        <v>346</v>
      </c>
      <c r="B347" s="0" t="str">
        <f aca="false">IF(A347&lt;=36*25,"PRODUKSI","REJECT")</f>
        <v>PRODUKSI</v>
      </c>
      <c r="C347" s="0" t="n">
        <f aca="false">MOD(A347-1,Pemetaan!$B$3*Pemetaan!$B$4)</f>
        <v>345</v>
      </c>
      <c r="D347" s="0" t="n">
        <f aca="false">INT(C347/Pemetaan!$B$4)</f>
        <v>13</v>
      </c>
      <c r="E347" s="0" t="n">
        <f aca="false">MOD(C347,Pemetaan!$B$4)</f>
        <v>20</v>
      </c>
      <c r="F347" s="0" t="n">
        <f aca="false">IF(B347="PRODUKSI",Pemetaan!$B$5,Pemetaan!$B$6)</f>
        <v>5</v>
      </c>
      <c r="G347" s="0" t="n">
        <f aca="false">F347+2+D347</f>
        <v>20</v>
      </c>
      <c r="H347" s="0" t="n">
        <f aca="false">Pemetaan!$B$2+E347</f>
        <v>25</v>
      </c>
      <c r="I347" s="0" t="str">
        <f aca="false">INDEX(Laporan!$A$1:$AZ$300,G347,1)</f>
        <v>Water Treatment</v>
      </c>
      <c r="J347" s="0" t="str">
        <f aca="false">INDEX(Laporan!$A$1:$AZ$300,G347,2)</f>
        <v>1,5 L</v>
      </c>
      <c r="K347" s="0" t="str">
        <f aca="false">INDEX(Laporan!$A$1:$AZ$300,G347,3)</f>
        <v>Shift 1</v>
      </c>
      <c r="L347" s="0" t="n">
        <f aca="false">INDEX(Laporan!$A$1:$AZ$300,G347,4)</f>
        <v>2</v>
      </c>
      <c r="M347" s="1" t="n">
        <f aca="false">DATE(Pemetaan!$B$1,VALUE(RIGHT(INDEX(Laporan!$A$1:$AZ$300,F347+1,H347),2)),VALUE(LEFT(INDEX(Laporan!$A$1:$AZ$300,F347+1,H347),2)))</f>
        <v>46111</v>
      </c>
      <c r="N347" s="0" t="n">
        <f aca="false">INDEX(Laporan!$A$1:$AZ$300,G347,H347)</f>
        <v>1522</v>
      </c>
      <c r="O347" s="0" t="n">
        <f aca="false">IF(N347="","",IFERROR(VALUE(SUBSTITUTE(SUBSTITUTE(N347," btl",""),".","")),""))</f>
        <v>1522</v>
      </c>
      <c r="P347" s="0" t="str">
        <f aca="false">IF(B347="PRODUKSI","produced","reject")</f>
        <v>produced</v>
      </c>
    </row>
    <row r="348" customFormat="false" ht="15" hidden="false" customHeight="false" outlineLevel="0" collapsed="false">
      <c r="A348" s="0" t="n">
        <v>347</v>
      </c>
      <c r="B348" s="0" t="str">
        <f aca="false">IF(A348&lt;=36*25,"PRODUKSI","REJECT")</f>
        <v>PRODUKSI</v>
      </c>
      <c r="C348" s="0" t="n">
        <f aca="false">MOD(A348-1,Pemetaan!$B$3*Pemetaan!$B$4)</f>
        <v>346</v>
      </c>
      <c r="D348" s="0" t="n">
        <f aca="false">INT(C348/Pemetaan!$B$4)</f>
        <v>13</v>
      </c>
      <c r="E348" s="0" t="n">
        <f aca="false">MOD(C348,Pemetaan!$B$4)</f>
        <v>21</v>
      </c>
      <c r="F348" s="0" t="n">
        <f aca="false">IF(B348="PRODUKSI",Pemetaan!$B$5,Pemetaan!$B$6)</f>
        <v>5</v>
      </c>
      <c r="G348" s="0" t="n">
        <f aca="false">F348+2+D348</f>
        <v>20</v>
      </c>
      <c r="H348" s="0" t="n">
        <f aca="false">Pemetaan!$B$2+E348</f>
        <v>26</v>
      </c>
      <c r="I348" s="0" t="str">
        <f aca="false">INDEX(Laporan!$A$1:$AZ$300,G348,1)</f>
        <v>Water Treatment</v>
      </c>
      <c r="J348" s="0" t="str">
        <f aca="false">INDEX(Laporan!$A$1:$AZ$300,G348,2)</f>
        <v>1,5 L</v>
      </c>
      <c r="K348" s="0" t="str">
        <f aca="false">INDEX(Laporan!$A$1:$AZ$300,G348,3)</f>
        <v>Shift 1</v>
      </c>
      <c r="L348" s="0" t="n">
        <f aca="false">INDEX(Laporan!$A$1:$AZ$300,G348,4)</f>
        <v>2</v>
      </c>
      <c r="M348" s="1" t="n">
        <f aca="false">DATE(Pemetaan!$B$1,VALUE(RIGHT(INDEX(Laporan!$A$1:$AZ$300,F348+1,H348),2)),VALUE(LEFT(INDEX(Laporan!$A$1:$AZ$300,F348+1,H348),2)))</f>
        <v>46112</v>
      </c>
      <c r="N348" s="0" t="n">
        <f aca="false">INDEX(Laporan!$A$1:$AZ$300,G348,H348)</f>
        <v>1620</v>
      </c>
      <c r="O348" s="0" t="n">
        <f aca="false">IF(N348="","",IFERROR(VALUE(SUBSTITUTE(SUBSTITUTE(N348," btl",""),".","")),""))</f>
        <v>1620</v>
      </c>
      <c r="P348" s="0" t="str">
        <f aca="false">IF(B348="PRODUKSI","produced","reject")</f>
        <v>produced</v>
      </c>
    </row>
    <row r="349" customFormat="false" ht="15" hidden="false" customHeight="false" outlineLevel="0" collapsed="false">
      <c r="A349" s="0" t="n">
        <v>348</v>
      </c>
      <c r="B349" s="0" t="str">
        <f aca="false">IF(A349&lt;=36*25,"PRODUKSI","REJECT")</f>
        <v>PRODUKSI</v>
      </c>
      <c r="C349" s="0" t="n">
        <f aca="false">MOD(A349-1,Pemetaan!$B$3*Pemetaan!$B$4)</f>
        <v>347</v>
      </c>
      <c r="D349" s="0" t="n">
        <f aca="false">INT(C349/Pemetaan!$B$4)</f>
        <v>13</v>
      </c>
      <c r="E349" s="0" t="n">
        <f aca="false">MOD(C349,Pemetaan!$B$4)</f>
        <v>22</v>
      </c>
      <c r="F349" s="0" t="n">
        <f aca="false">IF(B349="PRODUKSI",Pemetaan!$B$5,Pemetaan!$B$6)</f>
        <v>5</v>
      </c>
      <c r="G349" s="0" t="n">
        <f aca="false">F349+2+D349</f>
        <v>20</v>
      </c>
      <c r="H349" s="0" t="n">
        <f aca="false">Pemetaan!$B$2+E349</f>
        <v>27</v>
      </c>
      <c r="I349" s="0" t="str">
        <f aca="false">INDEX(Laporan!$A$1:$AZ$300,G349,1)</f>
        <v>Water Treatment</v>
      </c>
      <c r="J349" s="0" t="str">
        <f aca="false">INDEX(Laporan!$A$1:$AZ$300,G349,2)</f>
        <v>1,5 L</v>
      </c>
      <c r="K349" s="0" t="str">
        <f aca="false">INDEX(Laporan!$A$1:$AZ$300,G349,3)</f>
        <v>Shift 1</v>
      </c>
      <c r="L349" s="0" t="n">
        <f aca="false">INDEX(Laporan!$A$1:$AZ$300,G349,4)</f>
        <v>2</v>
      </c>
      <c r="M349" s="1" t="n">
        <f aca="false">DATE(Pemetaan!$B$1,VALUE(RIGHT(INDEX(Laporan!$A$1:$AZ$300,F349+1,H349),2)),VALUE(LEFT(INDEX(Laporan!$A$1:$AZ$300,F349+1,H349),2)))</f>
        <v>46113</v>
      </c>
      <c r="N349" s="0" t="n">
        <f aca="false">INDEX(Laporan!$A$1:$AZ$300,G349,H349)</f>
        <v>1376</v>
      </c>
      <c r="O349" s="0" t="n">
        <f aca="false">IF(N349="","",IFERROR(VALUE(SUBSTITUTE(SUBSTITUTE(N349," btl",""),".","")),""))</f>
        <v>1376</v>
      </c>
      <c r="P349" s="0" t="str">
        <f aca="false">IF(B349="PRODUKSI","produced","reject")</f>
        <v>produced</v>
      </c>
    </row>
    <row r="350" customFormat="false" ht="15" hidden="false" customHeight="false" outlineLevel="0" collapsed="false">
      <c r="A350" s="0" t="n">
        <v>349</v>
      </c>
      <c r="B350" s="0" t="str">
        <f aca="false">IF(A350&lt;=36*25,"PRODUKSI","REJECT")</f>
        <v>PRODUKSI</v>
      </c>
      <c r="C350" s="0" t="n">
        <f aca="false">MOD(A350-1,Pemetaan!$B$3*Pemetaan!$B$4)</f>
        <v>348</v>
      </c>
      <c r="D350" s="0" t="n">
        <f aca="false">INT(C350/Pemetaan!$B$4)</f>
        <v>13</v>
      </c>
      <c r="E350" s="0" t="n">
        <f aca="false">MOD(C350,Pemetaan!$B$4)</f>
        <v>23</v>
      </c>
      <c r="F350" s="0" t="n">
        <f aca="false">IF(B350="PRODUKSI",Pemetaan!$B$5,Pemetaan!$B$6)</f>
        <v>5</v>
      </c>
      <c r="G350" s="0" t="n">
        <f aca="false">F350+2+D350</f>
        <v>20</v>
      </c>
      <c r="H350" s="0" t="n">
        <f aca="false">Pemetaan!$B$2+E350</f>
        <v>28</v>
      </c>
      <c r="I350" s="0" t="str">
        <f aca="false">INDEX(Laporan!$A$1:$AZ$300,G350,1)</f>
        <v>Water Treatment</v>
      </c>
      <c r="J350" s="0" t="str">
        <f aca="false">INDEX(Laporan!$A$1:$AZ$300,G350,2)</f>
        <v>1,5 L</v>
      </c>
      <c r="K350" s="0" t="str">
        <f aca="false">INDEX(Laporan!$A$1:$AZ$300,G350,3)</f>
        <v>Shift 1</v>
      </c>
      <c r="L350" s="0" t="n">
        <f aca="false">INDEX(Laporan!$A$1:$AZ$300,G350,4)</f>
        <v>2</v>
      </c>
      <c r="M350" s="1" t="n">
        <f aca="false">DATE(Pemetaan!$B$1,VALUE(RIGHT(INDEX(Laporan!$A$1:$AZ$300,F350+1,H350),2)),VALUE(LEFT(INDEX(Laporan!$A$1:$AZ$300,F350+1,H350),2)))</f>
        <v>46114</v>
      </c>
      <c r="N350" s="0" t="n">
        <f aca="false">INDEX(Laporan!$A$1:$AZ$300,G350,H350)</f>
        <v>1563</v>
      </c>
      <c r="O350" s="0" t="n">
        <f aca="false">IF(N350="","",IFERROR(VALUE(SUBSTITUTE(SUBSTITUTE(N350," btl",""),".","")),""))</f>
        <v>1563</v>
      </c>
      <c r="P350" s="0" t="str">
        <f aca="false">IF(B350="PRODUKSI","produced","reject")</f>
        <v>produced</v>
      </c>
    </row>
    <row r="351" customFormat="false" ht="15" hidden="false" customHeight="false" outlineLevel="0" collapsed="false">
      <c r="A351" s="0" t="n">
        <v>350</v>
      </c>
      <c r="B351" s="0" t="str">
        <f aca="false">IF(A351&lt;=36*25,"PRODUKSI","REJECT")</f>
        <v>PRODUKSI</v>
      </c>
      <c r="C351" s="0" t="n">
        <f aca="false">MOD(A351-1,Pemetaan!$B$3*Pemetaan!$B$4)</f>
        <v>349</v>
      </c>
      <c r="D351" s="0" t="n">
        <f aca="false">INT(C351/Pemetaan!$B$4)</f>
        <v>13</v>
      </c>
      <c r="E351" s="0" t="n">
        <f aca="false">MOD(C351,Pemetaan!$B$4)</f>
        <v>24</v>
      </c>
      <c r="F351" s="0" t="n">
        <f aca="false">IF(B351="PRODUKSI",Pemetaan!$B$5,Pemetaan!$B$6)</f>
        <v>5</v>
      </c>
      <c r="G351" s="0" t="n">
        <f aca="false">F351+2+D351</f>
        <v>20</v>
      </c>
      <c r="H351" s="0" t="n">
        <f aca="false">Pemetaan!$B$2+E351</f>
        <v>29</v>
      </c>
      <c r="I351" s="0" t="str">
        <f aca="false">INDEX(Laporan!$A$1:$AZ$300,G351,1)</f>
        <v>Water Treatment</v>
      </c>
      <c r="J351" s="0" t="str">
        <f aca="false">INDEX(Laporan!$A$1:$AZ$300,G351,2)</f>
        <v>1,5 L</v>
      </c>
      <c r="K351" s="0" t="str">
        <f aca="false">INDEX(Laporan!$A$1:$AZ$300,G351,3)</f>
        <v>Shift 1</v>
      </c>
      <c r="L351" s="0" t="n">
        <f aca="false">INDEX(Laporan!$A$1:$AZ$300,G351,4)</f>
        <v>2</v>
      </c>
      <c r="M351" s="1" t="n">
        <f aca="false">DATE(Pemetaan!$B$1,VALUE(RIGHT(INDEX(Laporan!$A$1:$AZ$300,F351+1,H351),2)),VALUE(LEFT(INDEX(Laporan!$A$1:$AZ$300,F351+1,H351),2)))</f>
        <v>46115</v>
      </c>
      <c r="N351" s="0" t="n">
        <f aca="false">INDEX(Laporan!$A$1:$AZ$300,G351,H351)</f>
        <v>1469</v>
      </c>
      <c r="O351" s="0" t="n">
        <f aca="false">IF(N351="","",IFERROR(VALUE(SUBSTITUTE(SUBSTITUTE(N351," btl",""),".","")),""))</f>
        <v>1469</v>
      </c>
      <c r="P351" s="0" t="str">
        <f aca="false">IF(B351="PRODUKSI","produced","reject")</f>
        <v>produced</v>
      </c>
    </row>
    <row r="352" customFormat="false" ht="15" hidden="false" customHeight="false" outlineLevel="0" collapsed="false">
      <c r="A352" s="0" t="n">
        <v>351</v>
      </c>
      <c r="B352" s="0" t="str">
        <f aca="false">IF(A352&lt;=36*25,"PRODUKSI","REJECT")</f>
        <v>PRODUKSI</v>
      </c>
      <c r="C352" s="0" t="n">
        <f aca="false">MOD(A352-1,Pemetaan!$B$3*Pemetaan!$B$4)</f>
        <v>350</v>
      </c>
      <c r="D352" s="0" t="n">
        <f aca="false">INT(C352/Pemetaan!$B$4)</f>
        <v>14</v>
      </c>
      <c r="E352" s="0" t="n">
        <f aca="false">MOD(C352,Pemetaan!$B$4)</f>
        <v>0</v>
      </c>
      <c r="F352" s="0" t="n">
        <f aca="false">IF(B352="PRODUKSI",Pemetaan!$B$5,Pemetaan!$B$6)</f>
        <v>5</v>
      </c>
      <c r="G352" s="0" t="n">
        <f aca="false">F352+2+D352</f>
        <v>21</v>
      </c>
      <c r="H352" s="0" t="n">
        <f aca="false">Pemetaan!$B$2+E352</f>
        <v>5</v>
      </c>
      <c r="I352" s="0" t="str">
        <f aca="false">INDEX(Laporan!$A$1:$AZ$300,G352,1)</f>
        <v>Water Treatment</v>
      </c>
      <c r="J352" s="0" t="str">
        <f aca="false">INDEX(Laporan!$A$1:$AZ$300,G352,2)</f>
        <v>1,5 L</v>
      </c>
      <c r="K352" s="0" t="str">
        <f aca="false">INDEX(Laporan!$A$1:$AZ$300,G352,3)</f>
        <v>Shift 1</v>
      </c>
      <c r="L352" s="0" t="n">
        <f aca="false">INDEX(Laporan!$A$1:$AZ$300,G352,4)</f>
        <v>3</v>
      </c>
      <c r="M352" s="1" t="n">
        <f aca="false">DATE(Pemetaan!$B$1,VALUE(RIGHT(INDEX(Laporan!$A$1:$AZ$300,F352+1,H352),2)),VALUE(LEFT(INDEX(Laporan!$A$1:$AZ$300,F352+1,H352),2)))</f>
        <v>46083</v>
      </c>
      <c r="N352" s="0" t="n">
        <f aca="false">INDEX(Laporan!$A$1:$AZ$300,G352,H352)</f>
        <v>1615</v>
      </c>
      <c r="O352" s="0" t="n">
        <f aca="false">IF(N352="","",IFERROR(VALUE(SUBSTITUTE(SUBSTITUTE(N352," btl",""),".","")),""))</f>
        <v>1615</v>
      </c>
      <c r="P352" s="0" t="str">
        <f aca="false">IF(B352="PRODUKSI","produced","reject")</f>
        <v>produced</v>
      </c>
    </row>
    <row r="353" customFormat="false" ht="15" hidden="false" customHeight="false" outlineLevel="0" collapsed="false">
      <c r="A353" s="0" t="n">
        <v>352</v>
      </c>
      <c r="B353" s="0" t="str">
        <f aca="false">IF(A353&lt;=36*25,"PRODUKSI","REJECT")</f>
        <v>PRODUKSI</v>
      </c>
      <c r="C353" s="0" t="n">
        <f aca="false">MOD(A353-1,Pemetaan!$B$3*Pemetaan!$B$4)</f>
        <v>351</v>
      </c>
      <c r="D353" s="0" t="n">
        <f aca="false">INT(C353/Pemetaan!$B$4)</f>
        <v>14</v>
      </c>
      <c r="E353" s="0" t="n">
        <f aca="false">MOD(C353,Pemetaan!$B$4)</f>
        <v>1</v>
      </c>
      <c r="F353" s="0" t="n">
        <f aca="false">IF(B353="PRODUKSI",Pemetaan!$B$5,Pemetaan!$B$6)</f>
        <v>5</v>
      </c>
      <c r="G353" s="0" t="n">
        <f aca="false">F353+2+D353</f>
        <v>21</v>
      </c>
      <c r="H353" s="0" t="n">
        <f aca="false">Pemetaan!$B$2+E353</f>
        <v>6</v>
      </c>
      <c r="I353" s="0" t="str">
        <f aca="false">INDEX(Laporan!$A$1:$AZ$300,G353,1)</f>
        <v>Water Treatment</v>
      </c>
      <c r="J353" s="0" t="str">
        <f aca="false">INDEX(Laporan!$A$1:$AZ$300,G353,2)</f>
        <v>1,5 L</v>
      </c>
      <c r="K353" s="0" t="str">
        <f aca="false">INDEX(Laporan!$A$1:$AZ$300,G353,3)</f>
        <v>Shift 1</v>
      </c>
      <c r="L353" s="0" t="n">
        <f aca="false">INDEX(Laporan!$A$1:$AZ$300,G353,4)</f>
        <v>3</v>
      </c>
      <c r="M353" s="1" t="n">
        <f aca="false">DATE(Pemetaan!$B$1,VALUE(RIGHT(INDEX(Laporan!$A$1:$AZ$300,F353+1,H353),2)),VALUE(LEFT(INDEX(Laporan!$A$1:$AZ$300,F353+1,H353),2)))</f>
        <v>46084</v>
      </c>
      <c r="N353" s="0" t="n">
        <f aca="false">INDEX(Laporan!$A$1:$AZ$300,G353,H353)</f>
        <v>1474</v>
      </c>
      <c r="O353" s="0" t="n">
        <f aca="false">IF(N353="","",IFERROR(VALUE(SUBSTITUTE(SUBSTITUTE(N353," btl",""),".","")),""))</f>
        <v>1474</v>
      </c>
      <c r="P353" s="0" t="str">
        <f aca="false">IF(B353="PRODUKSI","produced","reject")</f>
        <v>produced</v>
      </c>
    </row>
    <row r="354" customFormat="false" ht="15" hidden="false" customHeight="false" outlineLevel="0" collapsed="false">
      <c r="A354" s="0" t="n">
        <v>353</v>
      </c>
      <c r="B354" s="0" t="str">
        <f aca="false">IF(A354&lt;=36*25,"PRODUKSI","REJECT")</f>
        <v>PRODUKSI</v>
      </c>
      <c r="C354" s="0" t="n">
        <f aca="false">MOD(A354-1,Pemetaan!$B$3*Pemetaan!$B$4)</f>
        <v>352</v>
      </c>
      <c r="D354" s="0" t="n">
        <f aca="false">INT(C354/Pemetaan!$B$4)</f>
        <v>14</v>
      </c>
      <c r="E354" s="0" t="n">
        <f aca="false">MOD(C354,Pemetaan!$B$4)</f>
        <v>2</v>
      </c>
      <c r="F354" s="0" t="n">
        <f aca="false">IF(B354="PRODUKSI",Pemetaan!$B$5,Pemetaan!$B$6)</f>
        <v>5</v>
      </c>
      <c r="G354" s="0" t="n">
        <f aca="false">F354+2+D354</f>
        <v>21</v>
      </c>
      <c r="H354" s="0" t="n">
        <f aca="false">Pemetaan!$B$2+E354</f>
        <v>7</v>
      </c>
      <c r="I354" s="0" t="str">
        <f aca="false">INDEX(Laporan!$A$1:$AZ$300,G354,1)</f>
        <v>Water Treatment</v>
      </c>
      <c r="J354" s="0" t="str">
        <f aca="false">INDEX(Laporan!$A$1:$AZ$300,G354,2)</f>
        <v>1,5 L</v>
      </c>
      <c r="K354" s="0" t="str">
        <f aca="false">INDEX(Laporan!$A$1:$AZ$300,G354,3)</f>
        <v>Shift 1</v>
      </c>
      <c r="L354" s="0" t="n">
        <f aca="false">INDEX(Laporan!$A$1:$AZ$300,G354,4)</f>
        <v>3</v>
      </c>
      <c r="M354" s="1" t="n">
        <f aca="false">DATE(Pemetaan!$B$1,VALUE(RIGHT(INDEX(Laporan!$A$1:$AZ$300,F354+1,H354),2)),VALUE(LEFT(INDEX(Laporan!$A$1:$AZ$300,F354+1,H354),2)))</f>
        <v>46085</v>
      </c>
      <c r="N354" s="0" t="n">
        <f aca="false">INDEX(Laporan!$A$1:$AZ$300,G354,H354)</f>
        <v>1501</v>
      </c>
      <c r="O354" s="0" t="n">
        <f aca="false">IF(N354="","",IFERROR(VALUE(SUBSTITUTE(SUBSTITUTE(N354," btl",""),".","")),""))</f>
        <v>1501</v>
      </c>
      <c r="P354" s="0" t="str">
        <f aca="false">IF(B354="PRODUKSI","produced","reject")</f>
        <v>produced</v>
      </c>
    </row>
    <row r="355" customFormat="false" ht="15" hidden="false" customHeight="false" outlineLevel="0" collapsed="false">
      <c r="A355" s="0" t="n">
        <v>354</v>
      </c>
      <c r="B355" s="0" t="str">
        <f aca="false">IF(A355&lt;=36*25,"PRODUKSI","REJECT")</f>
        <v>PRODUKSI</v>
      </c>
      <c r="C355" s="0" t="n">
        <f aca="false">MOD(A355-1,Pemetaan!$B$3*Pemetaan!$B$4)</f>
        <v>353</v>
      </c>
      <c r="D355" s="0" t="n">
        <f aca="false">INT(C355/Pemetaan!$B$4)</f>
        <v>14</v>
      </c>
      <c r="E355" s="0" t="n">
        <f aca="false">MOD(C355,Pemetaan!$B$4)</f>
        <v>3</v>
      </c>
      <c r="F355" s="0" t="n">
        <f aca="false">IF(B355="PRODUKSI",Pemetaan!$B$5,Pemetaan!$B$6)</f>
        <v>5</v>
      </c>
      <c r="G355" s="0" t="n">
        <f aca="false">F355+2+D355</f>
        <v>21</v>
      </c>
      <c r="H355" s="0" t="n">
        <f aca="false">Pemetaan!$B$2+E355</f>
        <v>8</v>
      </c>
      <c r="I355" s="0" t="str">
        <f aca="false">INDEX(Laporan!$A$1:$AZ$300,G355,1)</f>
        <v>Water Treatment</v>
      </c>
      <c r="J355" s="0" t="str">
        <f aca="false">INDEX(Laporan!$A$1:$AZ$300,G355,2)</f>
        <v>1,5 L</v>
      </c>
      <c r="K355" s="0" t="str">
        <f aca="false">INDEX(Laporan!$A$1:$AZ$300,G355,3)</f>
        <v>Shift 1</v>
      </c>
      <c r="L355" s="0" t="n">
        <f aca="false">INDEX(Laporan!$A$1:$AZ$300,G355,4)</f>
        <v>3</v>
      </c>
      <c r="M355" s="1" t="n">
        <f aca="false">DATE(Pemetaan!$B$1,VALUE(RIGHT(INDEX(Laporan!$A$1:$AZ$300,F355+1,H355),2)),VALUE(LEFT(INDEX(Laporan!$A$1:$AZ$300,F355+1,H355),2)))</f>
        <v>46086</v>
      </c>
      <c r="N355" s="0" t="n">
        <f aca="false">INDEX(Laporan!$A$1:$AZ$300,G355,H355)</f>
        <v>1490</v>
      </c>
      <c r="O355" s="0" t="n">
        <f aca="false">IF(N355="","",IFERROR(VALUE(SUBSTITUTE(SUBSTITUTE(N355," btl",""),".","")),""))</f>
        <v>1490</v>
      </c>
      <c r="P355" s="0" t="str">
        <f aca="false">IF(B355="PRODUKSI","produced","reject")</f>
        <v>produced</v>
      </c>
    </row>
    <row r="356" customFormat="false" ht="15" hidden="false" customHeight="false" outlineLevel="0" collapsed="false">
      <c r="A356" s="0" t="n">
        <v>355</v>
      </c>
      <c r="B356" s="0" t="str">
        <f aca="false">IF(A356&lt;=36*25,"PRODUKSI","REJECT")</f>
        <v>PRODUKSI</v>
      </c>
      <c r="C356" s="0" t="n">
        <f aca="false">MOD(A356-1,Pemetaan!$B$3*Pemetaan!$B$4)</f>
        <v>354</v>
      </c>
      <c r="D356" s="0" t="n">
        <f aca="false">INT(C356/Pemetaan!$B$4)</f>
        <v>14</v>
      </c>
      <c r="E356" s="0" t="n">
        <f aca="false">MOD(C356,Pemetaan!$B$4)</f>
        <v>4</v>
      </c>
      <c r="F356" s="0" t="n">
        <f aca="false">IF(B356="PRODUKSI",Pemetaan!$B$5,Pemetaan!$B$6)</f>
        <v>5</v>
      </c>
      <c r="G356" s="0" t="n">
        <f aca="false">F356+2+D356</f>
        <v>21</v>
      </c>
      <c r="H356" s="0" t="n">
        <f aca="false">Pemetaan!$B$2+E356</f>
        <v>9</v>
      </c>
      <c r="I356" s="0" t="str">
        <f aca="false">INDEX(Laporan!$A$1:$AZ$300,G356,1)</f>
        <v>Water Treatment</v>
      </c>
      <c r="J356" s="0" t="str">
        <f aca="false">INDEX(Laporan!$A$1:$AZ$300,G356,2)</f>
        <v>1,5 L</v>
      </c>
      <c r="K356" s="0" t="str">
        <f aca="false">INDEX(Laporan!$A$1:$AZ$300,G356,3)</f>
        <v>Shift 1</v>
      </c>
      <c r="L356" s="0" t="n">
        <f aca="false">INDEX(Laporan!$A$1:$AZ$300,G356,4)</f>
        <v>3</v>
      </c>
      <c r="M356" s="1" t="n">
        <f aca="false">DATE(Pemetaan!$B$1,VALUE(RIGHT(INDEX(Laporan!$A$1:$AZ$300,F356+1,H356),2)),VALUE(LEFT(INDEX(Laporan!$A$1:$AZ$300,F356+1,H356),2)))</f>
        <v>46087</v>
      </c>
      <c r="N356" s="0" t="n">
        <f aca="false">INDEX(Laporan!$A$1:$AZ$300,G356,H356)</f>
        <v>1360</v>
      </c>
      <c r="O356" s="0" t="n">
        <f aca="false">IF(N356="","",IFERROR(VALUE(SUBSTITUTE(SUBSTITUTE(N356," btl",""),".","")),""))</f>
        <v>1360</v>
      </c>
      <c r="P356" s="0" t="str">
        <f aca="false">IF(B356="PRODUKSI","produced","reject")</f>
        <v>produced</v>
      </c>
    </row>
    <row r="357" customFormat="false" ht="15" hidden="false" customHeight="false" outlineLevel="0" collapsed="false">
      <c r="A357" s="0" t="n">
        <v>356</v>
      </c>
      <c r="B357" s="0" t="str">
        <f aca="false">IF(A357&lt;=36*25,"PRODUKSI","REJECT")</f>
        <v>PRODUKSI</v>
      </c>
      <c r="C357" s="0" t="n">
        <f aca="false">MOD(A357-1,Pemetaan!$B$3*Pemetaan!$B$4)</f>
        <v>355</v>
      </c>
      <c r="D357" s="0" t="n">
        <f aca="false">INT(C357/Pemetaan!$B$4)</f>
        <v>14</v>
      </c>
      <c r="E357" s="0" t="n">
        <f aca="false">MOD(C357,Pemetaan!$B$4)</f>
        <v>5</v>
      </c>
      <c r="F357" s="0" t="n">
        <f aca="false">IF(B357="PRODUKSI",Pemetaan!$B$5,Pemetaan!$B$6)</f>
        <v>5</v>
      </c>
      <c r="G357" s="0" t="n">
        <f aca="false">F357+2+D357</f>
        <v>21</v>
      </c>
      <c r="H357" s="0" t="n">
        <f aca="false">Pemetaan!$B$2+E357</f>
        <v>10</v>
      </c>
      <c r="I357" s="0" t="str">
        <f aca="false">INDEX(Laporan!$A$1:$AZ$300,G357,1)</f>
        <v>Water Treatment</v>
      </c>
      <c r="J357" s="0" t="str">
        <f aca="false">INDEX(Laporan!$A$1:$AZ$300,G357,2)</f>
        <v>1,5 L</v>
      </c>
      <c r="K357" s="0" t="str">
        <f aca="false">INDEX(Laporan!$A$1:$AZ$300,G357,3)</f>
        <v>Shift 1</v>
      </c>
      <c r="L357" s="0" t="n">
        <f aca="false">INDEX(Laporan!$A$1:$AZ$300,G357,4)</f>
        <v>3</v>
      </c>
      <c r="M357" s="1" t="n">
        <f aca="false">DATE(Pemetaan!$B$1,VALUE(RIGHT(INDEX(Laporan!$A$1:$AZ$300,F357+1,H357),2)),VALUE(LEFT(INDEX(Laporan!$A$1:$AZ$300,F357+1,H357),2)))</f>
        <v>46090</v>
      </c>
      <c r="N357" s="0" t="n">
        <f aca="false">INDEX(Laporan!$A$1:$AZ$300,G357,H357)</f>
        <v>1605</v>
      </c>
      <c r="O357" s="0" t="n">
        <f aca="false">IF(N357="","",IFERROR(VALUE(SUBSTITUTE(SUBSTITUTE(N357," btl",""),".","")),""))</f>
        <v>1605</v>
      </c>
      <c r="P357" s="0" t="str">
        <f aca="false">IF(B357="PRODUKSI","produced","reject")</f>
        <v>produced</v>
      </c>
    </row>
    <row r="358" customFormat="false" ht="15" hidden="false" customHeight="false" outlineLevel="0" collapsed="false">
      <c r="A358" s="0" t="n">
        <v>357</v>
      </c>
      <c r="B358" s="0" t="str">
        <f aca="false">IF(A358&lt;=36*25,"PRODUKSI","REJECT")</f>
        <v>PRODUKSI</v>
      </c>
      <c r="C358" s="0" t="n">
        <f aca="false">MOD(A358-1,Pemetaan!$B$3*Pemetaan!$B$4)</f>
        <v>356</v>
      </c>
      <c r="D358" s="0" t="n">
        <f aca="false">INT(C358/Pemetaan!$B$4)</f>
        <v>14</v>
      </c>
      <c r="E358" s="0" t="n">
        <f aca="false">MOD(C358,Pemetaan!$B$4)</f>
        <v>6</v>
      </c>
      <c r="F358" s="0" t="n">
        <f aca="false">IF(B358="PRODUKSI",Pemetaan!$B$5,Pemetaan!$B$6)</f>
        <v>5</v>
      </c>
      <c r="G358" s="0" t="n">
        <f aca="false">F358+2+D358</f>
        <v>21</v>
      </c>
      <c r="H358" s="0" t="n">
        <f aca="false">Pemetaan!$B$2+E358</f>
        <v>11</v>
      </c>
      <c r="I358" s="0" t="str">
        <f aca="false">INDEX(Laporan!$A$1:$AZ$300,G358,1)</f>
        <v>Water Treatment</v>
      </c>
      <c r="J358" s="0" t="str">
        <f aca="false">INDEX(Laporan!$A$1:$AZ$300,G358,2)</f>
        <v>1,5 L</v>
      </c>
      <c r="K358" s="0" t="str">
        <f aca="false">INDEX(Laporan!$A$1:$AZ$300,G358,3)</f>
        <v>Shift 1</v>
      </c>
      <c r="L358" s="0" t="n">
        <f aca="false">INDEX(Laporan!$A$1:$AZ$300,G358,4)</f>
        <v>3</v>
      </c>
      <c r="M358" s="1" t="n">
        <f aca="false">DATE(Pemetaan!$B$1,VALUE(RIGHT(INDEX(Laporan!$A$1:$AZ$300,F358+1,H358),2)),VALUE(LEFT(INDEX(Laporan!$A$1:$AZ$300,F358+1,H358),2)))</f>
        <v>46091</v>
      </c>
      <c r="N358" s="0" t="n">
        <f aca="false">INDEX(Laporan!$A$1:$AZ$300,G358,H358)</f>
        <v>1543</v>
      </c>
      <c r="O358" s="0" t="n">
        <f aca="false">IF(N358="","",IFERROR(VALUE(SUBSTITUTE(SUBSTITUTE(N358," btl",""),".","")),""))</f>
        <v>1543</v>
      </c>
      <c r="P358" s="0" t="str">
        <f aca="false">IF(B358="PRODUKSI","produced","reject")</f>
        <v>produced</v>
      </c>
    </row>
    <row r="359" customFormat="false" ht="15" hidden="false" customHeight="false" outlineLevel="0" collapsed="false">
      <c r="A359" s="0" t="n">
        <v>358</v>
      </c>
      <c r="B359" s="0" t="str">
        <f aca="false">IF(A359&lt;=36*25,"PRODUKSI","REJECT")</f>
        <v>PRODUKSI</v>
      </c>
      <c r="C359" s="0" t="n">
        <f aca="false">MOD(A359-1,Pemetaan!$B$3*Pemetaan!$B$4)</f>
        <v>357</v>
      </c>
      <c r="D359" s="0" t="n">
        <f aca="false">INT(C359/Pemetaan!$B$4)</f>
        <v>14</v>
      </c>
      <c r="E359" s="0" t="n">
        <f aca="false">MOD(C359,Pemetaan!$B$4)</f>
        <v>7</v>
      </c>
      <c r="F359" s="0" t="n">
        <f aca="false">IF(B359="PRODUKSI",Pemetaan!$B$5,Pemetaan!$B$6)</f>
        <v>5</v>
      </c>
      <c r="G359" s="0" t="n">
        <f aca="false">F359+2+D359</f>
        <v>21</v>
      </c>
      <c r="H359" s="0" t="n">
        <f aca="false">Pemetaan!$B$2+E359</f>
        <v>12</v>
      </c>
      <c r="I359" s="0" t="str">
        <f aca="false">INDEX(Laporan!$A$1:$AZ$300,G359,1)</f>
        <v>Water Treatment</v>
      </c>
      <c r="J359" s="0" t="str">
        <f aca="false">INDEX(Laporan!$A$1:$AZ$300,G359,2)</f>
        <v>1,5 L</v>
      </c>
      <c r="K359" s="0" t="str">
        <f aca="false">INDEX(Laporan!$A$1:$AZ$300,G359,3)</f>
        <v>Shift 1</v>
      </c>
      <c r="L359" s="0" t="n">
        <f aca="false">INDEX(Laporan!$A$1:$AZ$300,G359,4)</f>
        <v>3</v>
      </c>
      <c r="M359" s="1" t="n">
        <f aca="false">DATE(Pemetaan!$B$1,VALUE(RIGHT(INDEX(Laporan!$A$1:$AZ$300,F359+1,H359),2)),VALUE(LEFT(INDEX(Laporan!$A$1:$AZ$300,F359+1,H359),2)))</f>
        <v>46092</v>
      </c>
      <c r="N359" s="0" t="n">
        <f aca="false">INDEX(Laporan!$A$1:$AZ$300,G359,H359)</f>
        <v>1636</v>
      </c>
      <c r="O359" s="0" t="n">
        <f aca="false">IF(N359="","",IFERROR(VALUE(SUBSTITUTE(SUBSTITUTE(N359," btl",""),".","")),""))</f>
        <v>1636</v>
      </c>
      <c r="P359" s="0" t="str">
        <f aca="false">IF(B359="PRODUKSI","produced","reject")</f>
        <v>produced</v>
      </c>
    </row>
    <row r="360" customFormat="false" ht="15" hidden="false" customHeight="false" outlineLevel="0" collapsed="false">
      <c r="A360" s="0" t="n">
        <v>359</v>
      </c>
      <c r="B360" s="0" t="str">
        <f aca="false">IF(A360&lt;=36*25,"PRODUKSI","REJECT")</f>
        <v>PRODUKSI</v>
      </c>
      <c r="C360" s="0" t="n">
        <f aca="false">MOD(A360-1,Pemetaan!$B$3*Pemetaan!$B$4)</f>
        <v>358</v>
      </c>
      <c r="D360" s="0" t="n">
        <f aca="false">INT(C360/Pemetaan!$B$4)</f>
        <v>14</v>
      </c>
      <c r="E360" s="0" t="n">
        <f aca="false">MOD(C360,Pemetaan!$B$4)</f>
        <v>8</v>
      </c>
      <c r="F360" s="0" t="n">
        <f aca="false">IF(B360="PRODUKSI",Pemetaan!$B$5,Pemetaan!$B$6)</f>
        <v>5</v>
      </c>
      <c r="G360" s="0" t="n">
        <f aca="false">F360+2+D360</f>
        <v>21</v>
      </c>
      <c r="H360" s="0" t="n">
        <f aca="false">Pemetaan!$B$2+E360</f>
        <v>13</v>
      </c>
      <c r="I360" s="0" t="str">
        <f aca="false">INDEX(Laporan!$A$1:$AZ$300,G360,1)</f>
        <v>Water Treatment</v>
      </c>
      <c r="J360" s="0" t="str">
        <f aca="false">INDEX(Laporan!$A$1:$AZ$300,G360,2)</f>
        <v>1,5 L</v>
      </c>
      <c r="K360" s="0" t="str">
        <f aca="false">INDEX(Laporan!$A$1:$AZ$300,G360,3)</f>
        <v>Shift 1</v>
      </c>
      <c r="L360" s="0" t="n">
        <f aca="false">INDEX(Laporan!$A$1:$AZ$300,G360,4)</f>
        <v>3</v>
      </c>
      <c r="M360" s="1" t="n">
        <f aca="false">DATE(Pemetaan!$B$1,VALUE(RIGHT(INDEX(Laporan!$A$1:$AZ$300,F360+1,H360),2)),VALUE(LEFT(INDEX(Laporan!$A$1:$AZ$300,F360+1,H360),2)))</f>
        <v>46093</v>
      </c>
      <c r="N360" s="0" t="n">
        <f aca="false">INDEX(Laporan!$A$1:$AZ$300,G360,H360)</f>
        <v>1368</v>
      </c>
      <c r="O360" s="0" t="n">
        <f aca="false">IF(N360="","",IFERROR(VALUE(SUBSTITUTE(SUBSTITUTE(N360," btl",""),".","")),""))</f>
        <v>1368</v>
      </c>
      <c r="P360" s="0" t="str">
        <f aca="false">IF(B360="PRODUKSI","produced","reject")</f>
        <v>produced</v>
      </c>
    </row>
    <row r="361" customFormat="false" ht="15" hidden="false" customHeight="false" outlineLevel="0" collapsed="false">
      <c r="A361" s="0" t="n">
        <v>360</v>
      </c>
      <c r="B361" s="0" t="str">
        <f aca="false">IF(A361&lt;=36*25,"PRODUKSI","REJECT")</f>
        <v>PRODUKSI</v>
      </c>
      <c r="C361" s="0" t="n">
        <f aca="false">MOD(A361-1,Pemetaan!$B$3*Pemetaan!$B$4)</f>
        <v>359</v>
      </c>
      <c r="D361" s="0" t="n">
        <f aca="false">INT(C361/Pemetaan!$B$4)</f>
        <v>14</v>
      </c>
      <c r="E361" s="0" t="n">
        <f aca="false">MOD(C361,Pemetaan!$B$4)</f>
        <v>9</v>
      </c>
      <c r="F361" s="0" t="n">
        <f aca="false">IF(B361="PRODUKSI",Pemetaan!$B$5,Pemetaan!$B$6)</f>
        <v>5</v>
      </c>
      <c r="G361" s="0" t="n">
        <f aca="false">F361+2+D361</f>
        <v>21</v>
      </c>
      <c r="H361" s="0" t="n">
        <f aca="false">Pemetaan!$B$2+E361</f>
        <v>14</v>
      </c>
      <c r="I361" s="0" t="str">
        <f aca="false">INDEX(Laporan!$A$1:$AZ$300,G361,1)</f>
        <v>Water Treatment</v>
      </c>
      <c r="J361" s="0" t="str">
        <f aca="false">INDEX(Laporan!$A$1:$AZ$300,G361,2)</f>
        <v>1,5 L</v>
      </c>
      <c r="K361" s="0" t="str">
        <f aca="false">INDEX(Laporan!$A$1:$AZ$300,G361,3)</f>
        <v>Shift 1</v>
      </c>
      <c r="L361" s="0" t="n">
        <f aca="false">INDEX(Laporan!$A$1:$AZ$300,G361,4)</f>
        <v>3</v>
      </c>
      <c r="M361" s="1" t="n">
        <f aca="false">DATE(Pemetaan!$B$1,VALUE(RIGHT(INDEX(Laporan!$A$1:$AZ$300,F361+1,H361),2)),VALUE(LEFT(INDEX(Laporan!$A$1:$AZ$300,F361+1,H361),2)))</f>
        <v>46094</v>
      </c>
      <c r="N361" s="0" t="n">
        <f aca="false">INDEX(Laporan!$A$1:$AZ$300,G361,H361)</f>
        <v>1626</v>
      </c>
      <c r="O361" s="0" t="n">
        <f aca="false">IF(N361="","",IFERROR(VALUE(SUBSTITUTE(SUBSTITUTE(N361," btl",""),".","")),""))</f>
        <v>1626</v>
      </c>
      <c r="P361" s="0" t="str">
        <f aca="false">IF(B361="PRODUKSI","produced","reject")</f>
        <v>produced</v>
      </c>
    </row>
    <row r="362" customFormat="false" ht="15" hidden="false" customHeight="false" outlineLevel="0" collapsed="false">
      <c r="A362" s="0" t="n">
        <v>361</v>
      </c>
      <c r="B362" s="0" t="str">
        <f aca="false">IF(A362&lt;=36*25,"PRODUKSI","REJECT")</f>
        <v>PRODUKSI</v>
      </c>
      <c r="C362" s="0" t="n">
        <f aca="false">MOD(A362-1,Pemetaan!$B$3*Pemetaan!$B$4)</f>
        <v>360</v>
      </c>
      <c r="D362" s="0" t="n">
        <f aca="false">INT(C362/Pemetaan!$B$4)</f>
        <v>14</v>
      </c>
      <c r="E362" s="0" t="n">
        <f aca="false">MOD(C362,Pemetaan!$B$4)</f>
        <v>10</v>
      </c>
      <c r="F362" s="0" t="n">
        <f aca="false">IF(B362="PRODUKSI",Pemetaan!$B$5,Pemetaan!$B$6)</f>
        <v>5</v>
      </c>
      <c r="G362" s="0" t="n">
        <f aca="false">F362+2+D362</f>
        <v>21</v>
      </c>
      <c r="H362" s="0" t="n">
        <f aca="false">Pemetaan!$B$2+E362</f>
        <v>15</v>
      </c>
      <c r="I362" s="0" t="str">
        <f aca="false">INDEX(Laporan!$A$1:$AZ$300,G362,1)</f>
        <v>Water Treatment</v>
      </c>
      <c r="J362" s="0" t="str">
        <f aca="false">INDEX(Laporan!$A$1:$AZ$300,G362,2)</f>
        <v>1,5 L</v>
      </c>
      <c r="K362" s="0" t="str">
        <f aca="false">INDEX(Laporan!$A$1:$AZ$300,G362,3)</f>
        <v>Shift 1</v>
      </c>
      <c r="L362" s="0" t="n">
        <f aca="false">INDEX(Laporan!$A$1:$AZ$300,G362,4)</f>
        <v>3</v>
      </c>
      <c r="M362" s="1" t="n">
        <f aca="false">DATE(Pemetaan!$B$1,VALUE(RIGHT(INDEX(Laporan!$A$1:$AZ$300,F362+1,H362),2)),VALUE(LEFT(INDEX(Laporan!$A$1:$AZ$300,F362+1,H362),2)))</f>
        <v>46097</v>
      </c>
      <c r="N362" s="0" t="n">
        <f aca="false">INDEX(Laporan!$A$1:$AZ$300,G362,H362)</f>
        <v>1454</v>
      </c>
      <c r="O362" s="0" t="n">
        <f aca="false">IF(N362="","",IFERROR(VALUE(SUBSTITUTE(SUBSTITUTE(N362," btl",""),".","")),""))</f>
        <v>1454</v>
      </c>
      <c r="P362" s="0" t="str">
        <f aca="false">IF(B362="PRODUKSI","produced","reject")</f>
        <v>produced</v>
      </c>
    </row>
    <row r="363" customFormat="false" ht="15" hidden="false" customHeight="false" outlineLevel="0" collapsed="false">
      <c r="A363" s="0" t="n">
        <v>362</v>
      </c>
      <c r="B363" s="0" t="str">
        <f aca="false">IF(A363&lt;=36*25,"PRODUKSI","REJECT")</f>
        <v>PRODUKSI</v>
      </c>
      <c r="C363" s="0" t="n">
        <f aca="false">MOD(A363-1,Pemetaan!$B$3*Pemetaan!$B$4)</f>
        <v>361</v>
      </c>
      <c r="D363" s="0" t="n">
        <f aca="false">INT(C363/Pemetaan!$B$4)</f>
        <v>14</v>
      </c>
      <c r="E363" s="0" t="n">
        <f aca="false">MOD(C363,Pemetaan!$B$4)</f>
        <v>11</v>
      </c>
      <c r="F363" s="0" t="n">
        <f aca="false">IF(B363="PRODUKSI",Pemetaan!$B$5,Pemetaan!$B$6)</f>
        <v>5</v>
      </c>
      <c r="G363" s="0" t="n">
        <f aca="false">F363+2+D363</f>
        <v>21</v>
      </c>
      <c r="H363" s="0" t="n">
        <f aca="false">Pemetaan!$B$2+E363</f>
        <v>16</v>
      </c>
      <c r="I363" s="0" t="str">
        <f aca="false">INDEX(Laporan!$A$1:$AZ$300,G363,1)</f>
        <v>Water Treatment</v>
      </c>
      <c r="J363" s="0" t="str">
        <f aca="false">INDEX(Laporan!$A$1:$AZ$300,G363,2)</f>
        <v>1,5 L</v>
      </c>
      <c r="K363" s="0" t="str">
        <f aca="false">INDEX(Laporan!$A$1:$AZ$300,G363,3)</f>
        <v>Shift 1</v>
      </c>
      <c r="L363" s="0" t="n">
        <f aca="false">INDEX(Laporan!$A$1:$AZ$300,G363,4)</f>
        <v>3</v>
      </c>
      <c r="M363" s="1" t="n">
        <f aca="false">DATE(Pemetaan!$B$1,VALUE(RIGHT(INDEX(Laporan!$A$1:$AZ$300,F363+1,H363),2)),VALUE(LEFT(INDEX(Laporan!$A$1:$AZ$300,F363+1,H363),2)))</f>
        <v>46098</v>
      </c>
      <c r="N363" s="0" t="n">
        <f aca="false">INDEX(Laporan!$A$1:$AZ$300,G363,H363)</f>
        <v>1506</v>
      </c>
      <c r="O363" s="0" t="n">
        <f aca="false">IF(N363="","",IFERROR(VALUE(SUBSTITUTE(SUBSTITUTE(N363," btl",""),".","")),""))</f>
        <v>1506</v>
      </c>
      <c r="P363" s="0" t="str">
        <f aca="false">IF(B363="PRODUKSI","produced","reject")</f>
        <v>produced</v>
      </c>
    </row>
    <row r="364" customFormat="false" ht="15" hidden="false" customHeight="false" outlineLevel="0" collapsed="false">
      <c r="A364" s="0" t="n">
        <v>363</v>
      </c>
      <c r="B364" s="0" t="str">
        <f aca="false">IF(A364&lt;=36*25,"PRODUKSI","REJECT")</f>
        <v>PRODUKSI</v>
      </c>
      <c r="C364" s="0" t="n">
        <f aca="false">MOD(A364-1,Pemetaan!$B$3*Pemetaan!$B$4)</f>
        <v>362</v>
      </c>
      <c r="D364" s="0" t="n">
        <f aca="false">INT(C364/Pemetaan!$B$4)</f>
        <v>14</v>
      </c>
      <c r="E364" s="0" t="n">
        <f aca="false">MOD(C364,Pemetaan!$B$4)</f>
        <v>12</v>
      </c>
      <c r="F364" s="0" t="n">
        <f aca="false">IF(B364="PRODUKSI",Pemetaan!$B$5,Pemetaan!$B$6)</f>
        <v>5</v>
      </c>
      <c r="G364" s="0" t="n">
        <f aca="false">F364+2+D364</f>
        <v>21</v>
      </c>
      <c r="H364" s="0" t="n">
        <f aca="false">Pemetaan!$B$2+E364</f>
        <v>17</v>
      </c>
      <c r="I364" s="0" t="str">
        <f aca="false">INDEX(Laporan!$A$1:$AZ$300,G364,1)</f>
        <v>Water Treatment</v>
      </c>
      <c r="J364" s="0" t="str">
        <f aca="false">INDEX(Laporan!$A$1:$AZ$300,G364,2)</f>
        <v>1,5 L</v>
      </c>
      <c r="K364" s="0" t="str">
        <f aca="false">INDEX(Laporan!$A$1:$AZ$300,G364,3)</f>
        <v>Shift 1</v>
      </c>
      <c r="L364" s="0" t="n">
        <f aca="false">INDEX(Laporan!$A$1:$AZ$300,G364,4)</f>
        <v>3</v>
      </c>
      <c r="M364" s="1" t="n">
        <f aca="false">DATE(Pemetaan!$B$1,VALUE(RIGHT(INDEX(Laporan!$A$1:$AZ$300,F364+1,H364),2)),VALUE(LEFT(INDEX(Laporan!$A$1:$AZ$300,F364+1,H364),2)))</f>
        <v>46099</v>
      </c>
      <c r="N364" s="0" t="n">
        <f aca="false">INDEX(Laporan!$A$1:$AZ$300,G364,H364)</f>
        <v>1368</v>
      </c>
      <c r="O364" s="0" t="n">
        <f aca="false">IF(N364="","",IFERROR(VALUE(SUBSTITUTE(SUBSTITUTE(N364," btl",""),".","")),""))</f>
        <v>1368</v>
      </c>
      <c r="P364" s="0" t="str">
        <f aca="false">IF(B364="PRODUKSI","produced","reject")</f>
        <v>produced</v>
      </c>
    </row>
    <row r="365" customFormat="false" ht="15" hidden="false" customHeight="false" outlineLevel="0" collapsed="false">
      <c r="A365" s="0" t="n">
        <v>364</v>
      </c>
      <c r="B365" s="0" t="str">
        <f aca="false">IF(A365&lt;=36*25,"PRODUKSI","REJECT")</f>
        <v>PRODUKSI</v>
      </c>
      <c r="C365" s="0" t="n">
        <f aca="false">MOD(A365-1,Pemetaan!$B$3*Pemetaan!$B$4)</f>
        <v>363</v>
      </c>
      <c r="D365" s="0" t="n">
        <f aca="false">INT(C365/Pemetaan!$B$4)</f>
        <v>14</v>
      </c>
      <c r="E365" s="0" t="n">
        <f aca="false">MOD(C365,Pemetaan!$B$4)</f>
        <v>13</v>
      </c>
      <c r="F365" s="0" t="n">
        <f aca="false">IF(B365="PRODUKSI",Pemetaan!$B$5,Pemetaan!$B$6)</f>
        <v>5</v>
      </c>
      <c r="G365" s="0" t="n">
        <f aca="false">F365+2+D365</f>
        <v>21</v>
      </c>
      <c r="H365" s="0" t="n">
        <f aca="false">Pemetaan!$B$2+E365</f>
        <v>18</v>
      </c>
      <c r="I365" s="0" t="str">
        <f aca="false">INDEX(Laporan!$A$1:$AZ$300,G365,1)</f>
        <v>Water Treatment</v>
      </c>
      <c r="J365" s="0" t="str">
        <f aca="false">INDEX(Laporan!$A$1:$AZ$300,G365,2)</f>
        <v>1,5 L</v>
      </c>
      <c r="K365" s="0" t="str">
        <f aca="false">INDEX(Laporan!$A$1:$AZ$300,G365,3)</f>
        <v>Shift 1</v>
      </c>
      <c r="L365" s="0" t="n">
        <f aca="false">INDEX(Laporan!$A$1:$AZ$300,G365,4)</f>
        <v>3</v>
      </c>
      <c r="M365" s="1" t="n">
        <f aca="false">DATE(Pemetaan!$B$1,VALUE(RIGHT(INDEX(Laporan!$A$1:$AZ$300,F365+1,H365),2)),VALUE(LEFT(INDEX(Laporan!$A$1:$AZ$300,F365+1,H365),2)))</f>
        <v>46100</v>
      </c>
      <c r="N365" s="0" t="n">
        <f aca="false">INDEX(Laporan!$A$1:$AZ$300,G365,H365)</f>
        <v>1427</v>
      </c>
      <c r="O365" s="0" t="n">
        <f aca="false">IF(N365="","",IFERROR(VALUE(SUBSTITUTE(SUBSTITUTE(N365," btl",""),".","")),""))</f>
        <v>1427</v>
      </c>
      <c r="P365" s="0" t="str">
        <f aca="false">IF(B365="PRODUKSI","produced","reject")</f>
        <v>produced</v>
      </c>
    </row>
    <row r="366" customFormat="false" ht="15" hidden="false" customHeight="false" outlineLevel="0" collapsed="false">
      <c r="A366" s="0" t="n">
        <v>365</v>
      </c>
      <c r="B366" s="0" t="str">
        <f aca="false">IF(A366&lt;=36*25,"PRODUKSI","REJECT")</f>
        <v>PRODUKSI</v>
      </c>
      <c r="C366" s="0" t="n">
        <f aca="false">MOD(A366-1,Pemetaan!$B$3*Pemetaan!$B$4)</f>
        <v>364</v>
      </c>
      <c r="D366" s="0" t="n">
        <f aca="false">INT(C366/Pemetaan!$B$4)</f>
        <v>14</v>
      </c>
      <c r="E366" s="0" t="n">
        <f aca="false">MOD(C366,Pemetaan!$B$4)</f>
        <v>14</v>
      </c>
      <c r="F366" s="0" t="n">
        <f aca="false">IF(B366="PRODUKSI",Pemetaan!$B$5,Pemetaan!$B$6)</f>
        <v>5</v>
      </c>
      <c r="G366" s="0" t="n">
        <f aca="false">F366+2+D366</f>
        <v>21</v>
      </c>
      <c r="H366" s="0" t="n">
        <f aca="false">Pemetaan!$B$2+E366</f>
        <v>19</v>
      </c>
      <c r="I366" s="0" t="str">
        <f aca="false">INDEX(Laporan!$A$1:$AZ$300,G366,1)</f>
        <v>Water Treatment</v>
      </c>
      <c r="J366" s="0" t="str">
        <f aca="false">INDEX(Laporan!$A$1:$AZ$300,G366,2)</f>
        <v>1,5 L</v>
      </c>
      <c r="K366" s="0" t="str">
        <f aca="false">INDEX(Laporan!$A$1:$AZ$300,G366,3)</f>
        <v>Shift 1</v>
      </c>
      <c r="L366" s="0" t="n">
        <f aca="false">INDEX(Laporan!$A$1:$AZ$300,G366,4)</f>
        <v>3</v>
      </c>
      <c r="M366" s="1" t="n">
        <f aca="false">DATE(Pemetaan!$B$1,VALUE(RIGHT(INDEX(Laporan!$A$1:$AZ$300,F366+1,H366),2)),VALUE(LEFT(INDEX(Laporan!$A$1:$AZ$300,F366+1,H366),2)))</f>
        <v>46101</v>
      </c>
      <c r="N366" s="0" t="n">
        <f aca="false">INDEX(Laporan!$A$1:$AZ$300,G366,H366)</f>
        <v>1783</v>
      </c>
      <c r="O366" s="0" t="n">
        <f aca="false">IF(N366="","",IFERROR(VALUE(SUBSTITUTE(SUBSTITUTE(N366," btl",""),".","")),""))</f>
        <v>1783</v>
      </c>
      <c r="P366" s="0" t="str">
        <f aca="false">IF(B366="PRODUKSI","produced","reject")</f>
        <v>produced</v>
      </c>
    </row>
    <row r="367" customFormat="false" ht="15" hidden="false" customHeight="false" outlineLevel="0" collapsed="false">
      <c r="A367" s="0" t="n">
        <v>366</v>
      </c>
      <c r="B367" s="0" t="str">
        <f aca="false">IF(A367&lt;=36*25,"PRODUKSI","REJECT")</f>
        <v>PRODUKSI</v>
      </c>
      <c r="C367" s="0" t="n">
        <f aca="false">MOD(A367-1,Pemetaan!$B$3*Pemetaan!$B$4)</f>
        <v>365</v>
      </c>
      <c r="D367" s="0" t="n">
        <f aca="false">INT(C367/Pemetaan!$B$4)</f>
        <v>14</v>
      </c>
      <c r="E367" s="0" t="n">
        <f aca="false">MOD(C367,Pemetaan!$B$4)</f>
        <v>15</v>
      </c>
      <c r="F367" s="0" t="n">
        <f aca="false">IF(B367="PRODUKSI",Pemetaan!$B$5,Pemetaan!$B$6)</f>
        <v>5</v>
      </c>
      <c r="G367" s="0" t="n">
        <f aca="false">F367+2+D367</f>
        <v>21</v>
      </c>
      <c r="H367" s="0" t="n">
        <f aca="false">Pemetaan!$B$2+E367</f>
        <v>20</v>
      </c>
      <c r="I367" s="0" t="str">
        <f aca="false">INDEX(Laporan!$A$1:$AZ$300,G367,1)</f>
        <v>Water Treatment</v>
      </c>
      <c r="J367" s="0" t="str">
        <f aca="false">INDEX(Laporan!$A$1:$AZ$300,G367,2)</f>
        <v>1,5 L</v>
      </c>
      <c r="K367" s="0" t="str">
        <f aca="false">INDEX(Laporan!$A$1:$AZ$300,G367,3)</f>
        <v>Shift 1</v>
      </c>
      <c r="L367" s="0" t="n">
        <f aca="false">INDEX(Laporan!$A$1:$AZ$300,G367,4)</f>
        <v>3</v>
      </c>
      <c r="M367" s="1" t="n">
        <f aca="false">DATE(Pemetaan!$B$1,VALUE(RIGHT(INDEX(Laporan!$A$1:$AZ$300,F367+1,H367),2)),VALUE(LEFT(INDEX(Laporan!$A$1:$AZ$300,F367+1,H367),2)))</f>
        <v>46104</v>
      </c>
      <c r="N367" s="0" t="n">
        <f aca="false">INDEX(Laporan!$A$1:$AZ$300,G367,H367)</f>
        <v>1391</v>
      </c>
      <c r="O367" s="0" t="n">
        <f aca="false">IF(N367="","",IFERROR(VALUE(SUBSTITUTE(SUBSTITUTE(N367," btl",""),".","")),""))</f>
        <v>1391</v>
      </c>
      <c r="P367" s="0" t="str">
        <f aca="false">IF(B367="PRODUKSI","produced","reject")</f>
        <v>produced</v>
      </c>
    </row>
    <row r="368" customFormat="false" ht="15" hidden="false" customHeight="false" outlineLevel="0" collapsed="false">
      <c r="A368" s="0" t="n">
        <v>367</v>
      </c>
      <c r="B368" s="0" t="str">
        <f aca="false">IF(A368&lt;=36*25,"PRODUKSI","REJECT")</f>
        <v>PRODUKSI</v>
      </c>
      <c r="C368" s="0" t="n">
        <f aca="false">MOD(A368-1,Pemetaan!$B$3*Pemetaan!$B$4)</f>
        <v>366</v>
      </c>
      <c r="D368" s="0" t="n">
        <f aca="false">INT(C368/Pemetaan!$B$4)</f>
        <v>14</v>
      </c>
      <c r="E368" s="0" t="n">
        <f aca="false">MOD(C368,Pemetaan!$B$4)</f>
        <v>16</v>
      </c>
      <c r="F368" s="0" t="n">
        <f aca="false">IF(B368="PRODUKSI",Pemetaan!$B$5,Pemetaan!$B$6)</f>
        <v>5</v>
      </c>
      <c r="G368" s="0" t="n">
        <f aca="false">F368+2+D368</f>
        <v>21</v>
      </c>
      <c r="H368" s="0" t="n">
        <f aca="false">Pemetaan!$B$2+E368</f>
        <v>21</v>
      </c>
      <c r="I368" s="0" t="str">
        <f aca="false">INDEX(Laporan!$A$1:$AZ$300,G368,1)</f>
        <v>Water Treatment</v>
      </c>
      <c r="J368" s="0" t="str">
        <f aca="false">INDEX(Laporan!$A$1:$AZ$300,G368,2)</f>
        <v>1,5 L</v>
      </c>
      <c r="K368" s="0" t="str">
        <f aca="false">INDEX(Laporan!$A$1:$AZ$300,G368,3)</f>
        <v>Shift 1</v>
      </c>
      <c r="L368" s="0" t="n">
        <f aca="false">INDEX(Laporan!$A$1:$AZ$300,G368,4)</f>
        <v>3</v>
      </c>
      <c r="M368" s="1" t="n">
        <f aca="false">DATE(Pemetaan!$B$1,VALUE(RIGHT(INDEX(Laporan!$A$1:$AZ$300,F368+1,H368),2)),VALUE(LEFT(INDEX(Laporan!$A$1:$AZ$300,F368+1,H368),2)))</f>
        <v>46105</v>
      </c>
      <c r="N368" s="0" t="n">
        <f aca="false">INDEX(Laporan!$A$1:$AZ$300,G368,H368)</f>
        <v>1524</v>
      </c>
      <c r="O368" s="0" t="n">
        <f aca="false">IF(N368="","",IFERROR(VALUE(SUBSTITUTE(SUBSTITUTE(N368," btl",""),".","")),""))</f>
        <v>1524</v>
      </c>
      <c r="P368" s="0" t="str">
        <f aca="false">IF(B368="PRODUKSI","produced","reject")</f>
        <v>produced</v>
      </c>
    </row>
    <row r="369" customFormat="false" ht="15" hidden="false" customHeight="false" outlineLevel="0" collapsed="false">
      <c r="A369" s="0" t="n">
        <v>368</v>
      </c>
      <c r="B369" s="0" t="str">
        <f aca="false">IF(A369&lt;=36*25,"PRODUKSI","REJECT")</f>
        <v>PRODUKSI</v>
      </c>
      <c r="C369" s="0" t="n">
        <f aca="false">MOD(A369-1,Pemetaan!$B$3*Pemetaan!$B$4)</f>
        <v>367</v>
      </c>
      <c r="D369" s="0" t="n">
        <f aca="false">INT(C369/Pemetaan!$B$4)</f>
        <v>14</v>
      </c>
      <c r="E369" s="0" t="n">
        <f aca="false">MOD(C369,Pemetaan!$B$4)</f>
        <v>17</v>
      </c>
      <c r="F369" s="0" t="n">
        <f aca="false">IF(B369="PRODUKSI",Pemetaan!$B$5,Pemetaan!$B$6)</f>
        <v>5</v>
      </c>
      <c r="G369" s="0" t="n">
        <f aca="false">F369+2+D369</f>
        <v>21</v>
      </c>
      <c r="H369" s="0" t="n">
        <f aca="false">Pemetaan!$B$2+E369</f>
        <v>22</v>
      </c>
      <c r="I369" s="0" t="str">
        <f aca="false">INDEX(Laporan!$A$1:$AZ$300,G369,1)</f>
        <v>Water Treatment</v>
      </c>
      <c r="J369" s="0" t="str">
        <f aca="false">INDEX(Laporan!$A$1:$AZ$300,G369,2)</f>
        <v>1,5 L</v>
      </c>
      <c r="K369" s="0" t="str">
        <f aca="false">INDEX(Laporan!$A$1:$AZ$300,G369,3)</f>
        <v>Shift 1</v>
      </c>
      <c r="L369" s="0" t="n">
        <f aca="false">INDEX(Laporan!$A$1:$AZ$300,G369,4)</f>
        <v>3</v>
      </c>
      <c r="M369" s="1" t="n">
        <f aca="false">DATE(Pemetaan!$B$1,VALUE(RIGHT(INDEX(Laporan!$A$1:$AZ$300,F369+1,H369),2)),VALUE(LEFT(INDEX(Laporan!$A$1:$AZ$300,F369+1,H369),2)))</f>
        <v>46106</v>
      </c>
      <c r="N369" s="0" t="n">
        <f aca="false">INDEX(Laporan!$A$1:$AZ$300,G369,H369)</f>
        <v>1509</v>
      </c>
      <c r="O369" s="0" t="n">
        <f aca="false">IF(N369="","",IFERROR(VALUE(SUBSTITUTE(SUBSTITUTE(N369," btl",""),".","")),""))</f>
        <v>1509</v>
      </c>
      <c r="P369" s="0" t="str">
        <f aca="false">IF(B369="PRODUKSI","produced","reject")</f>
        <v>produced</v>
      </c>
    </row>
    <row r="370" customFormat="false" ht="15" hidden="false" customHeight="false" outlineLevel="0" collapsed="false">
      <c r="A370" s="0" t="n">
        <v>369</v>
      </c>
      <c r="B370" s="0" t="str">
        <f aca="false">IF(A370&lt;=36*25,"PRODUKSI","REJECT")</f>
        <v>PRODUKSI</v>
      </c>
      <c r="C370" s="0" t="n">
        <f aca="false">MOD(A370-1,Pemetaan!$B$3*Pemetaan!$B$4)</f>
        <v>368</v>
      </c>
      <c r="D370" s="0" t="n">
        <f aca="false">INT(C370/Pemetaan!$B$4)</f>
        <v>14</v>
      </c>
      <c r="E370" s="0" t="n">
        <f aca="false">MOD(C370,Pemetaan!$B$4)</f>
        <v>18</v>
      </c>
      <c r="F370" s="0" t="n">
        <f aca="false">IF(B370="PRODUKSI",Pemetaan!$B$5,Pemetaan!$B$6)</f>
        <v>5</v>
      </c>
      <c r="G370" s="0" t="n">
        <f aca="false">F370+2+D370</f>
        <v>21</v>
      </c>
      <c r="H370" s="0" t="n">
        <f aca="false">Pemetaan!$B$2+E370</f>
        <v>23</v>
      </c>
      <c r="I370" s="0" t="str">
        <f aca="false">INDEX(Laporan!$A$1:$AZ$300,G370,1)</f>
        <v>Water Treatment</v>
      </c>
      <c r="J370" s="0" t="str">
        <f aca="false">INDEX(Laporan!$A$1:$AZ$300,G370,2)</f>
        <v>1,5 L</v>
      </c>
      <c r="K370" s="0" t="str">
        <f aca="false">INDEX(Laporan!$A$1:$AZ$300,G370,3)</f>
        <v>Shift 1</v>
      </c>
      <c r="L370" s="0" t="n">
        <f aca="false">INDEX(Laporan!$A$1:$AZ$300,G370,4)</f>
        <v>3</v>
      </c>
      <c r="M370" s="1" t="n">
        <f aca="false">DATE(Pemetaan!$B$1,VALUE(RIGHT(INDEX(Laporan!$A$1:$AZ$300,F370+1,H370),2)),VALUE(LEFT(INDEX(Laporan!$A$1:$AZ$300,F370+1,H370),2)))</f>
        <v>46107</v>
      </c>
      <c r="N370" s="0" t="n">
        <f aca="false">INDEX(Laporan!$A$1:$AZ$300,G370,H370)</f>
        <v>1566</v>
      </c>
      <c r="O370" s="0" t="n">
        <f aca="false">IF(N370="","",IFERROR(VALUE(SUBSTITUTE(SUBSTITUTE(N370," btl",""),".","")),""))</f>
        <v>1566</v>
      </c>
      <c r="P370" s="0" t="str">
        <f aca="false">IF(B370="PRODUKSI","produced","reject")</f>
        <v>produced</v>
      </c>
    </row>
    <row r="371" customFormat="false" ht="15" hidden="false" customHeight="false" outlineLevel="0" collapsed="false">
      <c r="A371" s="0" t="n">
        <v>370</v>
      </c>
      <c r="B371" s="0" t="str">
        <f aca="false">IF(A371&lt;=36*25,"PRODUKSI","REJECT")</f>
        <v>PRODUKSI</v>
      </c>
      <c r="C371" s="0" t="n">
        <f aca="false">MOD(A371-1,Pemetaan!$B$3*Pemetaan!$B$4)</f>
        <v>369</v>
      </c>
      <c r="D371" s="0" t="n">
        <f aca="false">INT(C371/Pemetaan!$B$4)</f>
        <v>14</v>
      </c>
      <c r="E371" s="0" t="n">
        <f aca="false">MOD(C371,Pemetaan!$B$4)</f>
        <v>19</v>
      </c>
      <c r="F371" s="0" t="n">
        <f aca="false">IF(B371="PRODUKSI",Pemetaan!$B$5,Pemetaan!$B$6)</f>
        <v>5</v>
      </c>
      <c r="G371" s="0" t="n">
        <f aca="false">F371+2+D371</f>
        <v>21</v>
      </c>
      <c r="H371" s="0" t="n">
        <f aca="false">Pemetaan!$B$2+E371</f>
        <v>24</v>
      </c>
      <c r="I371" s="0" t="str">
        <f aca="false">INDEX(Laporan!$A$1:$AZ$300,G371,1)</f>
        <v>Water Treatment</v>
      </c>
      <c r="J371" s="0" t="str">
        <f aca="false">INDEX(Laporan!$A$1:$AZ$300,G371,2)</f>
        <v>1,5 L</v>
      </c>
      <c r="K371" s="0" t="str">
        <f aca="false">INDEX(Laporan!$A$1:$AZ$300,G371,3)</f>
        <v>Shift 1</v>
      </c>
      <c r="L371" s="0" t="n">
        <f aca="false">INDEX(Laporan!$A$1:$AZ$300,G371,4)</f>
        <v>3</v>
      </c>
      <c r="M371" s="1" t="n">
        <f aca="false">DATE(Pemetaan!$B$1,VALUE(RIGHT(INDEX(Laporan!$A$1:$AZ$300,F371+1,H371),2)),VALUE(LEFT(INDEX(Laporan!$A$1:$AZ$300,F371+1,H371),2)))</f>
        <v>46108</v>
      </c>
      <c r="N371" s="0" t="n">
        <f aca="false">INDEX(Laporan!$A$1:$AZ$300,G371,H371)</f>
        <v>1646</v>
      </c>
      <c r="O371" s="0" t="n">
        <f aca="false">IF(N371="","",IFERROR(VALUE(SUBSTITUTE(SUBSTITUTE(N371," btl",""),".","")),""))</f>
        <v>1646</v>
      </c>
      <c r="P371" s="0" t="str">
        <f aca="false">IF(B371="PRODUKSI","produced","reject")</f>
        <v>produced</v>
      </c>
    </row>
    <row r="372" customFormat="false" ht="15" hidden="false" customHeight="false" outlineLevel="0" collapsed="false">
      <c r="A372" s="0" t="n">
        <v>371</v>
      </c>
      <c r="B372" s="0" t="str">
        <f aca="false">IF(A372&lt;=36*25,"PRODUKSI","REJECT")</f>
        <v>PRODUKSI</v>
      </c>
      <c r="C372" s="0" t="n">
        <f aca="false">MOD(A372-1,Pemetaan!$B$3*Pemetaan!$B$4)</f>
        <v>370</v>
      </c>
      <c r="D372" s="0" t="n">
        <f aca="false">INT(C372/Pemetaan!$B$4)</f>
        <v>14</v>
      </c>
      <c r="E372" s="0" t="n">
        <f aca="false">MOD(C372,Pemetaan!$B$4)</f>
        <v>20</v>
      </c>
      <c r="F372" s="0" t="n">
        <f aca="false">IF(B372="PRODUKSI",Pemetaan!$B$5,Pemetaan!$B$6)</f>
        <v>5</v>
      </c>
      <c r="G372" s="0" t="n">
        <f aca="false">F372+2+D372</f>
        <v>21</v>
      </c>
      <c r="H372" s="0" t="n">
        <f aca="false">Pemetaan!$B$2+E372</f>
        <v>25</v>
      </c>
      <c r="I372" s="0" t="str">
        <f aca="false">INDEX(Laporan!$A$1:$AZ$300,G372,1)</f>
        <v>Water Treatment</v>
      </c>
      <c r="J372" s="0" t="str">
        <f aca="false">INDEX(Laporan!$A$1:$AZ$300,G372,2)</f>
        <v>1,5 L</v>
      </c>
      <c r="K372" s="0" t="str">
        <f aca="false">INDEX(Laporan!$A$1:$AZ$300,G372,3)</f>
        <v>Shift 1</v>
      </c>
      <c r="L372" s="0" t="n">
        <f aca="false">INDEX(Laporan!$A$1:$AZ$300,G372,4)</f>
        <v>3</v>
      </c>
      <c r="M372" s="1" t="n">
        <f aca="false">DATE(Pemetaan!$B$1,VALUE(RIGHT(INDEX(Laporan!$A$1:$AZ$300,F372+1,H372),2)),VALUE(LEFT(INDEX(Laporan!$A$1:$AZ$300,F372+1,H372),2)))</f>
        <v>46111</v>
      </c>
      <c r="N372" s="0" t="n">
        <f aca="false">INDEX(Laporan!$A$1:$AZ$300,G372,H372)</f>
        <v>1672</v>
      </c>
      <c r="O372" s="0" t="n">
        <f aca="false">IF(N372="","",IFERROR(VALUE(SUBSTITUTE(SUBSTITUTE(N372," btl",""),".","")),""))</f>
        <v>1672</v>
      </c>
      <c r="P372" s="0" t="str">
        <f aca="false">IF(B372="PRODUKSI","produced","reject")</f>
        <v>produced</v>
      </c>
    </row>
    <row r="373" customFormat="false" ht="15" hidden="false" customHeight="false" outlineLevel="0" collapsed="false">
      <c r="A373" s="0" t="n">
        <v>372</v>
      </c>
      <c r="B373" s="0" t="str">
        <f aca="false">IF(A373&lt;=36*25,"PRODUKSI","REJECT")</f>
        <v>PRODUKSI</v>
      </c>
      <c r="C373" s="0" t="n">
        <f aca="false">MOD(A373-1,Pemetaan!$B$3*Pemetaan!$B$4)</f>
        <v>371</v>
      </c>
      <c r="D373" s="0" t="n">
        <f aca="false">INT(C373/Pemetaan!$B$4)</f>
        <v>14</v>
      </c>
      <c r="E373" s="0" t="n">
        <f aca="false">MOD(C373,Pemetaan!$B$4)</f>
        <v>21</v>
      </c>
      <c r="F373" s="0" t="n">
        <f aca="false">IF(B373="PRODUKSI",Pemetaan!$B$5,Pemetaan!$B$6)</f>
        <v>5</v>
      </c>
      <c r="G373" s="0" t="n">
        <f aca="false">F373+2+D373</f>
        <v>21</v>
      </c>
      <c r="H373" s="0" t="n">
        <f aca="false">Pemetaan!$B$2+E373</f>
        <v>26</v>
      </c>
      <c r="I373" s="0" t="str">
        <f aca="false">INDEX(Laporan!$A$1:$AZ$300,G373,1)</f>
        <v>Water Treatment</v>
      </c>
      <c r="J373" s="0" t="str">
        <f aca="false">INDEX(Laporan!$A$1:$AZ$300,G373,2)</f>
        <v>1,5 L</v>
      </c>
      <c r="K373" s="0" t="str">
        <f aca="false">INDEX(Laporan!$A$1:$AZ$300,G373,3)</f>
        <v>Shift 1</v>
      </c>
      <c r="L373" s="0" t="n">
        <f aca="false">INDEX(Laporan!$A$1:$AZ$300,G373,4)</f>
        <v>3</v>
      </c>
      <c r="M373" s="1" t="n">
        <f aca="false">DATE(Pemetaan!$B$1,VALUE(RIGHT(INDEX(Laporan!$A$1:$AZ$300,F373+1,H373),2)),VALUE(LEFT(INDEX(Laporan!$A$1:$AZ$300,F373+1,H373),2)))</f>
        <v>46112</v>
      </c>
      <c r="N373" s="0" t="n">
        <f aca="false">INDEX(Laporan!$A$1:$AZ$300,G373,H373)</f>
        <v>1309</v>
      </c>
      <c r="O373" s="0" t="n">
        <f aca="false">IF(N373="","",IFERROR(VALUE(SUBSTITUTE(SUBSTITUTE(N373," btl",""),".","")),""))</f>
        <v>1309</v>
      </c>
      <c r="P373" s="0" t="str">
        <f aca="false">IF(B373="PRODUKSI","produced","reject")</f>
        <v>produced</v>
      </c>
    </row>
    <row r="374" customFormat="false" ht="15" hidden="false" customHeight="false" outlineLevel="0" collapsed="false">
      <c r="A374" s="0" t="n">
        <v>373</v>
      </c>
      <c r="B374" s="0" t="str">
        <f aca="false">IF(A374&lt;=36*25,"PRODUKSI","REJECT")</f>
        <v>PRODUKSI</v>
      </c>
      <c r="C374" s="0" t="n">
        <f aca="false">MOD(A374-1,Pemetaan!$B$3*Pemetaan!$B$4)</f>
        <v>372</v>
      </c>
      <c r="D374" s="0" t="n">
        <f aca="false">INT(C374/Pemetaan!$B$4)</f>
        <v>14</v>
      </c>
      <c r="E374" s="0" t="n">
        <f aca="false">MOD(C374,Pemetaan!$B$4)</f>
        <v>22</v>
      </c>
      <c r="F374" s="0" t="n">
        <f aca="false">IF(B374="PRODUKSI",Pemetaan!$B$5,Pemetaan!$B$6)</f>
        <v>5</v>
      </c>
      <c r="G374" s="0" t="n">
        <f aca="false">F374+2+D374</f>
        <v>21</v>
      </c>
      <c r="H374" s="0" t="n">
        <f aca="false">Pemetaan!$B$2+E374</f>
        <v>27</v>
      </c>
      <c r="I374" s="0" t="str">
        <f aca="false">INDEX(Laporan!$A$1:$AZ$300,G374,1)</f>
        <v>Water Treatment</v>
      </c>
      <c r="J374" s="0" t="str">
        <f aca="false">INDEX(Laporan!$A$1:$AZ$300,G374,2)</f>
        <v>1,5 L</v>
      </c>
      <c r="K374" s="0" t="str">
        <f aca="false">INDEX(Laporan!$A$1:$AZ$300,G374,3)</f>
        <v>Shift 1</v>
      </c>
      <c r="L374" s="0" t="n">
        <f aca="false">INDEX(Laporan!$A$1:$AZ$300,G374,4)</f>
        <v>3</v>
      </c>
      <c r="M374" s="1" t="n">
        <f aca="false">DATE(Pemetaan!$B$1,VALUE(RIGHT(INDEX(Laporan!$A$1:$AZ$300,F374+1,H374),2)),VALUE(LEFT(INDEX(Laporan!$A$1:$AZ$300,F374+1,H374),2)))</f>
        <v>46113</v>
      </c>
      <c r="N374" s="0" t="n">
        <f aca="false">INDEX(Laporan!$A$1:$AZ$300,G374,H374)</f>
        <v>1534</v>
      </c>
      <c r="O374" s="0" t="n">
        <f aca="false">IF(N374="","",IFERROR(VALUE(SUBSTITUTE(SUBSTITUTE(N374," btl",""),".","")),""))</f>
        <v>1534</v>
      </c>
      <c r="P374" s="0" t="str">
        <f aca="false">IF(B374="PRODUKSI","produced","reject")</f>
        <v>produced</v>
      </c>
    </row>
    <row r="375" customFormat="false" ht="15" hidden="false" customHeight="false" outlineLevel="0" collapsed="false">
      <c r="A375" s="0" t="n">
        <v>374</v>
      </c>
      <c r="B375" s="0" t="str">
        <f aca="false">IF(A375&lt;=36*25,"PRODUKSI","REJECT")</f>
        <v>PRODUKSI</v>
      </c>
      <c r="C375" s="0" t="n">
        <f aca="false">MOD(A375-1,Pemetaan!$B$3*Pemetaan!$B$4)</f>
        <v>373</v>
      </c>
      <c r="D375" s="0" t="n">
        <f aca="false">INT(C375/Pemetaan!$B$4)</f>
        <v>14</v>
      </c>
      <c r="E375" s="0" t="n">
        <f aca="false">MOD(C375,Pemetaan!$B$4)</f>
        <v>23</v>
      </c>
      <c r="F375" s="0" t="n">
        <f aca="false">IF(B375="PRODUKSI",Pemetaan!$B$5,Pemetaan!$B$6)</f>
        <v>5</v>
      </c>
      <c r="G375" s="0" t="n">
        <f aca="false">F375+2+D375</f>
        <v>21</v>
      </c>
      <c r="H375" s="0" t="n">
        <f aca="false">Pemetaan!$B$2+E375</f>
        <v>28</v>
      </c>
      <c r="I375" s="0" t="str">
        <f aca="false">INDEX(Laporan!$A$1:$AZ$300,G375,1)</f>
        <v>Water Treatment</v>
      </c>
      <c r="J375" s="0" t="str">
        <f aca="false">INDEX(Laporan!$A$1:$AZ$300,G375,2)</f>
        <v>1,5 L</v>
      </c>
      <c r="K375" s="0" t="str">
        <f aca="false">INDEX(Laporan!$A$1:$AZ$300,G375,3)</f>
        <v>Shift 1</v>
      </c>
      <c r="L375" s="0" t="n">
        <f aca="false">INDEX(Laporan!$A$1:$AZ$300,G375,4)</f>
        <v>3</v>
      </c>
      <c r="M375" s="1" t="n">
        <f aca="false">DATE(Pemetaan!$B$1,VALUE(RIGHT(INDEX(Laporan!$A$1:$AZ$300,F375+1,H375),2)),VALUE(LEFT(INDEX(Laporan!$A$1:$AZ$300,F375+1,H375),2)))</f>
        <v>46114</v>
      </c>
      <c r="N375" s="0" t="n">
        <f aca="false">INDEX(Laporan!$A$1:$AZ$300,G375,H375)</f>
        <v>1410</v>
      </c>
      <c r="O375" s="0" t="n">
        <f aca="false">IF(N375="","",IFERROR(VALUE(SUBSTITUTE(SUBSTITUTE(N375," btl",""),".","")),""))</f>
        <v>1410</v>
      </c>
      <c r="P375" s="0" t="str">
        <f aca="false">IF(B375="PRODUKSI","produced","reject")</f>
        <v>produced</v>
      </c>
    </row>
    <row r="376" customFormat="false" ht="15" hidden="false" customHeight="false" outlineLevel="0" collapsed="false">
      <c r="A376" s="0" t="n">
        <v>375</v>
      </c>
      <c r="B376" s="0" t="str">
        <f aca="false">IF(A376&lt;=36*25,"PRODUKSI","REJECT")</f>
        <v>PRODUKSI</v>
      </c>
      <c r="C376" s="0" t="n">
        <f aca="false">MOD(A376-1,Pemetaan!$B$3*Pemetaan!$B$4)</f>
        <v>374</v>
      </c>
      <c r="D376" s="0" t="n">
        <f aca="false">INT(C376/Pemetaan!$B$4)</f>
        <v>14</v>
      </c>
      <c r="E376" s="0" t="n">
        <f aca="false">MOD(C376,Pemetaan!$B$4)</f>
        <v>24</v>
      </c>
      <c r="F376" s="0" t="n">
        <f aca="false">IF(B376="PRODUKSI",Pemetaan!$B$5,Pemetaan!$B$6)</f>
        <v>5</v>
      </c>
      <c r="G376" s="0" t="n">
        <f aca="false">F376+2+D376</f>
        <v>21</v>
      </c>
      <c r="H376" s="0" t="n">
        <f aca="false">Pemetaan!$B$2+E376</f>
        <v>29</v>
      </c>
      <c r="I376" s="0" t="str">
        <f aca="false">INDEX(Laporan!$A$1:$AZ$300,G376,1)</f>
        <v>Water Treatment</v>
      </c>
      <c r="J376" s="0" t="str">
        <f aca="false">INDEX(Laporan!$A$1:$AZ$300,G376,2)</f>
        <v>1,5 L</v>
      </c>
      <c r="K376" s="0" t="str">
        <f aca="false">INDEX(Laporan!$A$1:$AZ$300,G376,3)</f>
        <v>Shift 1</v>
      </c>
      <c r="L376" s="0" t="n">
        <f aca="false">INDEX(Laporan!$A$1:$AZ$300,G376,4)</f>
        <v>3</v>
      </c>
      <c r="M376" s="1" t="n">
        <f aca="false">DATE(Pemetaan!$B$1,VALUE(RIGHT(INDEX(Laporan!$A$1:$AZ$300,F376+1,H376),2)),VALUE(LEFT(INDEX(Laporan!$A$1:$AZ$300,F376+1,H376),2)))</f>
        <v>46115</v>
      </c>
      <c r="N376" s="0" t="n">
        <f aca="false">INDEX(Laporan!$A$1:$AZ$300,G376,H376)</f>
        <v>1360</v>
      </c>
      <c r="O376" s="0" t="n">
        <f aca="false">IF(N376="","",IFERROR(VALUE(SUBSTITUTE(SUBSTITUTE(N376," btl",""),".","")),""))</f>
        <v>1360</v>
      </c>
      <c r="P376" s="0" t="str">
        <f aca="false">IF(B376="PRODUKSI","produced","reject")</f>
        <v>produced</v>
      </c>
    </row>
    <row r="377" customFormat="false" ht="15" hidden="false" customHeight="false" outlineLevel="0" collapsed="false">
      <c r="A377" s="0" t="n">
        <v>376</v>
      </c>
      <c r="B377" s="0" t="str">
        <f aca="false">IF(A377&lt;=36*25,"PRODUKSI","REJECT")</f>
        <v>PRODUKSI</v>
      </c>
      <c r="C377" s="0" t="n">
        <f aca="false">MOD(A377-1,Pemetaan!$B$3*Pemetaan!$B$4)</f>
        <v>375</v>
      </c>
      <c r="D377" s="0" t="n">
        <f aca="false">INT(C377/Pemetaan!$B$4)</f>
        <v>15</v>
      </c>
      <c r="E377" s="0" t="n">
        <f aca="false">MOD(C377,Pemetaan!$B$4)</f>
        <v>0</v>
      </c>
      <c r="F377" s="0" t="n">
        <f aca="false">IF(B377="PRODUKSI",Pemetaan!$B$5,Pemetaan!$B$6)</f>
        <v>5</v>
      </c>
      <c r="G377" s="0" t="n">
        <f aca="false">F377+2+D377</f>
        <v>22</v>
      </c>
      <c r="H377" s="0" t="n">
        <f aca="false">Pemetaan!$B$2+E377</f>
        <v>5</v>
      </c>
      <c r="I377" s="0" t="str">
        <f aca="false">INDEX(Laporan!$A$1:$AZ$300,G377,1)</f>
        <v>Water Treatment</v>
      </c>
      <c r="J377" s="0" t="str">
        <f aca="false">INDEX(Laporan!$A$1:$AZ$300,G377,2)</f>
        <v>1,5 L</v>
      </c>
      <c r="K377" s="0" t="str">
        <f aca="false">INDEX(Laporan!$A$1:$AZ$300,G377,3)</f>
        <v>Shift 2</v>
      </c>
      <c r="L377" s="0" t="n">
        <f aca="false">INDEX(Laporan!$A$1:$AZ$300,G377,4)</f>
        <v>1</v>
      </c>
      <c r="M377" s="1" t="n">
        <f aca="false">DATE(Pemetaan!$B$1,VALUE(RIGHT(INDEX(Laporan!$A$1:$AZ$300,F377+1,H377),2)),VALUE(LEFT(INDEX(Laporan!$A$1:$AZ$300,F377+1,H377),2)))</f>
        <v>46083</v>
      </c>
      <c r="N377" s="0" t="n">
        <f aca="false">INDEX(Laporan!$A$1:$AZ$300,G377,H377)</f>
        <v>1639</v>
      </c>
      <c r="O377" s="0" t="n">
        <f aca="false">IF(N377="","",IFERROR(VALUE(SUBSTITUTE(SUBSTITUTE(N377," btl",""),".","")),""))</f>
        <v>1639</v>
      </c>
      <c r="P377" s="0" t="str">
        <f aca="false">IF(B377="PRODUKSI","produced","reject")</f>
        <v>produced</v>
      </c>
    </row>
    <row r="378" customFormat="false" ht="15" hidden="false" customHeight="false" outlineLevel="0" collapsed="false">
      <c r="A378" s="0" t="n">
        <v>377</v>
      </c>
      <c r="B378" s="0" t="str">
        <f aca="false">IF(A378&lt;=36*25,"PRODUKSI","REJECT")</f>
        <v>PRODUKSI</v>
      </c>
      <c r="C378" s="0" t="n">
        <f aca="false">MOD(A378-1,Pemetaan!$B$3*Pemetaan!$B$4)</f>
        <v>376</v>
      </c>
      <c r="D378" s="0" t="n">
        <f aca="false">INT(C378/Pemetaan!$B$4)</f>
        <v>15</v>
      </c>
      <c r="E378" s="0" t="n">
        <f aca="false">MOD(C378,Pemetaan!$B$4)</f>
        <v>1</v>
      </c>
      <c r="F378" s="0" t="n">
        <f aca="false">IF(B378="PRODUKSI",Pemetaan!$B$5,Pemetaan!$B$6)</f>
        <v>5</v>
      </c>
      <c r="G378" s="0" t="n">
        <f aca="false">F378+2+D378</f>
        <v>22</v>
      </c>
      <c r="H378" s="0" t="n">
        <f aca="false">Pemetaan!$B$2+E378</f>
        <v>6</v>
      </c>
      <c r="I378" s="0" t="str">
        <f aca="false">INDEX(Laporan!$A$1:$AZ$300,G378,1)</f>
        <v>Water Treatment</v>
      </c>
      <c r="J378" s="0" t="str">
        <f aca="false">INDEX(Laporan!$A$1:$AZ$300,G378,2)</f>
        <v>1,5 L</v>
      </c>
      <c r="K378" s="0" t="str">
        <f aca="false">INDEX(Laporan!$A$1:$AZ$300,G378,3)</f>
        <v>Shift 2</v>
      </c>
      <c r="L378" s="0" t="n">
        <f aca="false">INDEX(Laporan!$A$1:$AZ$300,G378,4)</f>
        <v>1</v>
      </c>
      <c r="M378" s="1" t="n">
        <f aca="false">DATE(Pemetaan!$B$1,VALUE(RIGHT(INDEX(Laporan!$A$1:$AZ$300,F378+1,H378),2)),VALUE(LEFT(INDEX(Laporan!$A$1:$AZ$300,F378+1,H378),2)))</f>
        <v>46084</v>
      </c>
      <c r="N378" s="0" t="n">
        <f aca="false">INDEX(Laporan!$A$1:$AZ$300,G378,H378)</f>
        <v>1574</v>
      </c>
      <c r="O378" s="0" t="n">
        <f aca="false">IF(N378="","",IFERROR(VALUE(SUBSTITUTE(SUBSTITUTE(N378," btl",""),".","")),""))</f>
        <v>1574</v>
      </c>
      <c r="P378" s="0" t="str">
        <f aca="false">IF(B378="PRODUKSI","produced","reject")</f>
        <v>produced</v>
      </c>
    </row>
    <row r="379" customFormat="false" ht="15" hidden="false" customHeight="false" outlineLevel="0" collapsed="false">
      <c r="A379" s="0" t="n">
        <v>378</v>
      </c>
      <c r="B379" s="0" t="str">
        <f aca="false">IF(A379&lt;=36*25,"PRODUKSI","REJECT")</f>
        <v>PRODUKSI</v>
      </c>
      <c r="C379" s="0" t="n">
        <f aca="false">MOD(A379-1,Pemetaan!$B$3*Pemetaan!$B$4)</f>
        <v>377</v>
      </c>
      <c r="D379" s="0" t="n">
        <f aca="false">INT(C379/Pemetaan!$B$4)</f>
        <v>15</v>
      </c>
      <c r="E379" s="0" t="n">
        <f aca="false">MOD(C379,Pemetaan!$B$4)</f>
        <v>2</v>
      </c>
      <c r="F379" s="0" t="n">
        <f aca="false">IF(B379="PRODUKSI",Pemetaan!$B$5,Pemetaan!$B$6)</f>
        <v>5</v>
      </c>
      <c r="G379" s="0" t="n">
        <f aca="false">F379+2+D379</f>
        <v>22</v>
      </c>
      <c r="H379" s="0" t="n">
        <f aca="false">Pemetaan!$B$2+E379</f>
        <v>7</v>
      </c>
      <c r="I379" s="0" t="str">
        <f aca="false">INDEX(Laporan!$A$1:$AZ$300,G379,1)</f>
        <v>Water Treatment</v>
      </c>
      <c r="J379" s="0" t="str">
        <f aca="false">INDEX(Laporan!$A$1:$AZ$300,G379,2)</f>
        <v>1,5 L</v>
      </c>
      <c r="K379" s="0" t="str">
        <f aca="false">INDEX(Laporan!$A$1:$AZ$300,G379,3)</f>
        <v>Shift 2</v>
      </c>
      <c r="L379" s="0" t="n">
        <f aca="false">INDEX(Laporan!$A$1:$AZ$300,G379,4)</f>
        <v>1</v>
      </c>
      <c r="M379" s="1" t="n">
        <f aca="false">DATE(Pemetaan!$B$1,VALUE(RIGHT(INDEX(Laporan!$A$1:$AZ$300,F379+1,H379),2)),VALUE(LEFT(INDEX(Laporan!$A$1:$AZ$300,F379+1,H379),2)))</f>
        <v>46085</v>
      </c>
      <c r="N379" s="0" t="n">
        <f aca="false">INDEX(Laporan!$A$1:$AZ$300,G379,H379)</f>
        <v>1503</v>
      </c>
      <c r="O379" s="0" t="n">
        <f aca="false">IF(N379="","",IFERROR(VALUE(SUBSTITUTE(SUBSTITUTE(N379," btl",""),".","")),""))</f>
        <v>1503</v>
      </c>
      <c r="P379" s="0" t="str">
        <f aca="false">IF(B379="PRODUKSI","produced","reject")</f>
        <v>produced</v>
      </c>
    </row>
    <row r="380" customFormat="false" ht="15" hidden="false" customHeight="false" outlineLevel="0" collapsed="false">
      <c r="A380" s="0" t="n">
        <v>379</v>
      </c>
      <c r="B380" s="0" t="str">
        <f aca="false">IF(A380&lt;=36*25,"PRODUKSI","REJECT")</f>
        <v>PRODUKSI</v>
      </c>
      <c r="C380" s="0" t="n">
        <f aca="false">MOD(A380-1,Pemetaan!$B$3*Pemetaan!$B$4)</f>
        <v>378</v>
      </c>
      <c r="D380" s="0" t="n">
        <f aca="false">INT(C380/Pemetaan!$B$4)</f>
        <v>15</v>
      </c>
      <c r="E380" s="0" t="n">
        <f aca="false">MOD(C380,Pemetaan!$B$4)</f>
        <v>3</v>
      </c>
      <c r="F380" s="0" t="n">
        <f aca="false">IF(B380="PRODUKSI",Pemetaan!$B$5,Pemetaan!$B$6)</f>
        <v>5</v>
      </c>
      <c r="G380" s="0" t="n">
        <f aca="false">F380+2+D380</f>
        <v>22</v>
      </c>
      <c r="H380" s="0" t="n">
        <f aca="false">Pemetaan!$B$2+E380</f>
        <v>8</v>
      </c>
      <c r="I380" s="0" t="str">
        <f aca="false">INDEX(Laporan!$A$1:$AZ$300,G380,1)</f>
        <v>Water Treatment</v>
      </c>
      <c r="J380" s="0" t="str">
        <f aca="false">INDEX(Laporan!$A$1:$AZ$300,G380,2)</f>
        <v>1,5 L</v>
      </c>
      <c r="K380" s="0" t="str">
        <f aca="false">INDEX(Laporan!$A$1:$AZ$300,G380,3)</f>
        <v>Shift 2</v>
      </c>
      <c r="L380" s="0" t="n">
        <f aca="false">INDEX(Laporan!$A$1:$AZ$300,G380,4)</f>
        <v>1</v>
      </c>
      <c r="M380" s="1" t="n">
        <f aca="false">DATE(Pemetaan!$B$1,VALUE(RIGHT(INDEX(Laporan!$A$1:$AZ$300,F380+1,H380),2)),VALUE(LEFT(INDEX(Laporan!$A$1:$AZ$300,F380+1,H380),2)))</f>
        <v>46086</v>
      </c>
      <c r="N380" s="0" t="n">
        <f aca="false">INDEX(Laporan!$A$1:$AZ$300,G380,H380)</f>
        <v>1479</v>
      </c>
      <c r="O380" s="0" t="n">
        <f aca="false">IF(N380="","",IFERROR(VALUE(SUBSTITUTE(SUBSTITUTE(N380," btl",""),".","")),""))</f>
        <v>1479</v>
      </c>
      <c r="P380" s="0" t="str">
        <f aca="false">IF(B380="PRODUKSI","produced","reject")</f>
        <v>produced</v>
      </c>
    </row>
    <row r="381" customFormat="false" ht="15" hidden="false" customHeight="false" outlineLevel="0" collapsed="false">
      <c r="A381" s="0" t="n">
        <v>380</v>
      </c>
      <c r="B381" s="0" t="str">
        <f aca="false">IF(A381&lt;=36*25,"PRODUKSI","REJECT")</f>
        <v>PRODUKSI</v>
      </c>
      <c r="C381" s="0" t="n">
        <f aca="false">MOD(A381-1,Pemetaan!$B$3*Pemetaan!$B$4)</f>
        <v>379</v>
      </c>
      <c r="D381" s="0" t="n">
        <f aca="false">INT(C381/Pemetaan!$B$4)</f>
        <v>15</v>
      </c>
      <c r="E381" s="0" t="n">
        <f aca="false">MOD(C381,Pemetaan!$B$4)</f>
        <v>4</v>
      </c>
      <c r="F381" s="0" t="n">
        <f aca="false">IF(B381="PRODUKSI",Pemetaan!$B$5,Pemetaan!$B$6)</f>
        <v>5</v>
      </c>
      <c r="G381" s="0" t="n">
        <f aca="false">F381+2+D381</f>
        <v>22</v>
      </c>
      <c r="H381" s="0" t="n">
        <f aca="false">Pemetaan!$B$2+E381</f>
        <v>9</v>
      </c>
      <c r="I381" s="0" t="str">
        <f aca="false">INDEX(Laporan!$A$1:$AZ$300,G381,1)</f>
        <v>Water Treatment</v>
      </c>
      <c r="J381" s="0" t="str">
        <f aca="false">INDEX(Laporan!$A$1:$AZ$300,G381,2)</f>
        <v>1,5 L</v>
      </c>
      <c r="K381" s="0" t="str">
        <f aca="false">INDEX(Laporan!$A$1:$AZ$300,G381,3)</f>
        <v>Shift 2</v>
      </c>
      <c r="L381" s="0" t="n">
        <f aca="false">INDEX(Laporan!$A$1:$AZ$300,G381,4)</f>
        <v>1</v>
      </c>
      <c r="M381" s="1" t="n">
        <f aca="false">DATE(Pemetaan!$B$1,VALUE(RIGHT(INDEX(Laporan!$A$1:$AZ$300,F381+1,H381),2)),VALUE(LEFT(INDEX(Laporan!$A$1:$AZ$300,F381+1,H381),2)))</f>
        <v>46087</v>
      </c>
      <c r="N381" s="0" t="n">
        <f aca="false">INDEX(Laporan!$A$1:$AZ$300,G381,H381)</f>
        <v>1481</v>
      </c>
      <c r="O381" s="0" t="n">
        <f aca="false">IF(N381="","",IFERROR(VALUE(SUBSTITUTE(SUBSTITUTE(N381," btl",""),".","")),""))</f>
        <v>1481</v>
      </c>
      <c r="P381" s="0" t="str">
        <f aca="false">IF(B381="PRODUKSI","produced","reject")</f>
        <v>produced</v>
      </c>
    </row>
    <row r="382" customFormat="false" ht="15" hidden="false" customHeight="false" outlineLevel="0" collapsed="false">
      <c r="A382" s="0" t="n">
        <v>381</v>
      </c>
      <c r="B382" s="0" t="str">
        <f aca="false">IF(A382&lt;=36*25,"PRODUKSI","REJECT")</f>
        <v>PRODUKSI</v>
      </c>
      <c r="C382" s="0" t="n">
        <f aca="false">MOD(A382-1,Pemetaan!$B$3*Pemetaan!$B$4)</f>
        <v>380</v>
      </c>
      <c r="D382" s="0" t="n">
        <f aca="false">INT(C382/Pemetaan!$B$4)</f>
        <v>15</v>
      </c>
      <c r="E382" s="0" t="n">
        <f aca="false">MOD(C382,Pemetaan!$B$4)</f>
        <v>5</v>
      </c>
      <c r="F382" s="0" t="n">
        <f aca="false">IF(B382="PRODUKSI",Pemetaan!$B$5,Pemetaan!$B$6)</f>
        <v>5</v>
      </c>
      <c r="G382" s="0" t="n">
        <f aca="false">F382+2+D382</f>
        <v>22</v>
      </c>
      <c r="H382" s="0" t="n">
        <f aca="false">Pemetaan!$B$2+E382</f>
        <v>10</v>
      </c>
      <c r="I382" s="0" t="str">
        <f aca="false">INDEX(Laporan!$A$1:$AZ$300,G382,1)</f>
        <v>Water Treatment</v>
      </c>
      <c r="J382" s="0" t="str">
        <f aca="false">INDEX(Laporan!$A$1:$AZ$300,G382,2)</f>
        <v>1,5 L</v>
      </c>
      <c r="K382" s="0" t="str">
        <f aca="false">INDEX(Laporan!$A$1:$AZ$300,G382,3)</f>
        <v>Shift 2</v>
      </c>
      <c r="L382" s="0" t="n">
        <f aca="false">INDEX(Laporan!$A$1:$AZ$300,G382,4)</f>
        <v>1</v>
      </c>
      <c r="M382" s="1" t="n">
        <f aca="false">DATE(Pemetaan!$B$1,VALUE(RIGHT(INDEX(Laporan!$A$1:$AZ$300,F382+1,H382),2)),VALUE(LEFT(INDEX(Laporan!$A$1:$AZ$300,F382+1,H382),2)))</f>
        <v>46090</v>
      </c>
      <c r="N382" s="0" t="n">
        <f aca="false">INDEX(Laporan!$A$1:$AZ$300,G382,H382)</f>
        <v>1552</v>
      </c>
      <c r="O382" s="0" t="n">
        <f aca="false">IF(N382="","",IFERROR(VALUE(SUBSTITUTE(SUBSTITUTE(N382," btl",""),".","")),""))</f>
        <v>1552</v>
      </c>
      <c r="P382" s="0" t="str">
        <f aca="false">IF(B382="PRODUKSI","produced","reject")</f>
        <v>produced</v>
      </c>
    </row>
    <row r="383" customFormat="false" ht="15" hidden="false" customHeight="false" outlineLevel="0" collapsed="false">
      <c r="A383" s="0" t="n">
        <v>382</v>
      </c>
      <c r="B383" s="0" t="str">
        <f aca="false">IF(A383&lt;=36*25,"PRODUKSI","REJECT")</f>
        <v>PRODUKSI</v>
      </c>
      <c r="C383" s="0" t="n">
        <f aca="false">MOD(A383-1,Pemetaan!$B$3*Pemetaan!$B$4)</f>
        <v>381</v>
      </c>
      <c r="D383" s="0" t="n">
        <f aca="false">INT(C383/Pemetaan!$B$4)</f>
        <v>15</v>
      </c>
      <c r="E383" s="0" t="n">
        <f aca="false">MOD(C383,Pemetaan!$B$4)</f>
        <v>6</v>
      </c>
      <c r="F383" s="0" t="n">
        <f aca="false">IF(B383="PRODUKSI",Pemetaan!$B$5,Pemetaan!$B$6)</f>
        <v>5</v>
      </c>
      <c r="G383" s="0" t="n">
        <f aca="false">F383+2+D383</f>
        <v>22</v>
      </c>
      <c r="H383" s="0" t="n">
        <f aca="false">Pemetaan!$B$2+E383</f>
        <v>11</v>
      </c>
      <c r="I383" s="0" t="str">
        <f aca="false">INDEX(Laporan!$A$1:$AZ$300,G383,1)</f>
        <v>Water Treatment</v>
      </c>
      <c r="J383" s="0" t="str">
        <f aca="false">INDEX(Laporan!$A$1:$AZ$300,G383,2)</f>
        <v>1,5 L</v>
      </c>
      <c r="K383" s="0" t="str">
        <f aca="false">INDEX(Laporan!$A$1:$AZ$300,G383,3)</f>
        <v>Shift 2</v>
      </c>
      <c r="L383" s="0" t="n">
        <f aca="false">INDEX(Laporan!$A$1:$AZ$300,G383,4)</f>
        <v>1</v>
      </c>
      <c r="M383" s="1" t="n">
        <f aca="false">DATE(Pemetaan!$B$1,VALUE(RIGHT(INDEX(Laporan!$A$1:$AZ$300,F383+1,H383),2)),VALUE(LEFT(INDEX(Laporan!$A$1:$AZ$300,F383+1,H383),2)))</f>
        <v>46091</v>
      </c>
      <c r="N383" s="0" t="n">
        <f aca="false">INDEX(Laporan!$A$1:$AZ$300,G383,H383)</f>
        <v>1638</v>
      </c>
      <c r="O383" s="0" t="n">
        <f aca="false">IF(N383="","",IFERROR(VALUE(SUBSTITUTE(SUBSTITUTE(N383," btl",""),".","")),""))</f>
        <v>1638</v>
      </c>
      <c r="P383" s="0" t="str">
        <f aca="false">IF(B383="PRODUKSI","produced","reject")</f>
        <v>produced</v>
      </c>
    </row>
    <row r="384" customFormat="false" ht="15" hidden="false" customHeight="false" outlineLevel="0" collapsed="false">
      <c r="A384" s="0" t="n">
        <v>383</v>
      </c>
      <c r="B384" s="0" t="str">
        <f aca="false">IF(A384&lt;=36*25,"PRODUKSI","REJECT")</f>
        <v>PRODUKSI</v>
      </c>
      <c r="C384" s="0" t="n">
        <f aca="false">MOD(A384-1,Pemetaan!$B$3*Pemetaan!$B$4)</f>
        <v>382</v>
      </c>
      <c r="D384" s="0" t="n">
        <f aca="false">INT(C384/Pemetaan!$B$4)</f>
        <v>15</v>
      </c>
      <c r="E384" s="0" t="n">
        <f aca="false">MOD(C384,Pemetaan!$B$4)</f>
        <v>7</v>
      </c>
      <c r="F384" s="0" t="n">
        <f aca="false">IF(B384="PRODUKSI",Pemetaan!$B$5,Pemetaan!$B$6)</f>
        <v>5</v>
      </c>
      <c r="G384" s="0" t="n">
        <f aca="false">F384+2+D384</f>
        <v>22</v>
      </c>
      <c r="H384" s="0" t="n">
        <f aca="false">Pemetaan!$B$2+E384</f>
        <v>12</v>
      </c>
      <c r="I384" s="0" t="str">
        <f aca="false">INDEX(Laporan!$A$1:$AZ$300,G384,1)</f>
        <v>Water Treatment</v>
      </c>
      <c r="J384" s="0" t="str">
        <f aca="false">INDEX(Laporan!$A$1:$AZ$300,G384,2)</f>
        <v>1,5 L</v>
      </c>
      <c r="K384" s="0" t="str">
        <f aca="false">INDEX(Laporan!$A$1:$AZ$300,G384,3)</f>
        <v>Shift 2</v>
      </c>
      <c r="L384" s="0" t="n">
        <f aca="false">INDEX(Laporan!$A$1:$AZ$300,G384,4)</f>
        <v>1</v>
      </c>
      <c r="M384" s="1" t="n">
        <f aca="false">DATE(Pemetaan!$B$1,VALUE(RIGHT(INDEX(Laporan!$A$1:$AZ$300,F384+1,H384),2)),VALUE(LEFT(INDEX(Laporan!$A$1:$AZ$300,F384+1,H384),2)))</f>
        <v>46092</v>
      </c>
      <c r="N384" s="0" t="n">
        <f aca="false">INDEX(Laporan!$A$1:$AZ$300,G384,H384)</f>
        <v>1546</v>
      </c>
      <c r="O384" s="0" t="n">
        <f aca="false">IF(N384="","",IFERROR(VALUE(SUBSTITUTE(SUBSTITUTE(N384," btl",""),".","")),""))</f>
        <v>1546</v>
      </c>
      <c r="P384" s="0" t="str">
        <f aca="false">IF(B384="PRODUKSI","produced","reject")</f>
        <v>produced</v>
      </c>
    </row>
    <row r="385" customFormat="false" ht="15" hidden="false" customHeight="false" outlineLevel="0" collapsed="false">
      <c r="A385" s="0" t="n">
        <v>384</v>
      </c>
      <c r="B385" s="0" t="str">
        <f aca="false">IF(A385&lt;=36*25,"PRODUKSI","REJECT")</f>
        <v>PRODUKSI</v>
      </c>
      <c r="C385" s="0" t="n">
        <f aca="false">MOD(A385-1,Pemetaan!$B$3*Pemetaan!$B$4)</f>
        <v>383</v>
      </c>
      <c r="D385" s="0" t="n">
        <f aca="false">INT(C385/Pemetaan!$B$4)</f>
        <v>15</v>
      </c>
      <c r="E385" s="0" t="n">
        <f aca="false">MOD(C385,Pemetaan!$B$4)</f>
        <v>8</v>
      </c>
      <c r="F385" s="0" t="n">
        <f aca="false">IF(B385="PRODUKSI",Pemetaan!$B$5,Pemetaan!$B$6)</f>
        <v>5</v>
      </c>
      <c r="G385" s="0" t="n">
        <f aca="false">F385+2+D385</f>
        <v>22</v>
      </c>
      <c r="H385" s="0" t="n">
        <f aca="false">Pemetaan!$B$2+E385</f>
        <v>13</v>
      </c>
      <c r="I385" s="0" t="str">
        <f aca="false">INDEX(Laporan!$A$1:$AZ$300,G385,1)</f>
        <v>Water Treatment</v>
      </c>
      <c r="J385" s="0" t="str">
        <f aca="false">INDEX(Laporan!$A$1:$AZ$300,G385,2)</f>
        <v>1,5 L</v>
      </c>
      <c r="K385" s="0" t="str">
        <f aca="false">INDEX(Laporan!$A$1:$AZ$300,G385,3)</f>
        <v>Shift 2</v>
      </c>
      <c r="L385" s="0" t="n">
        <f aca="false">INDEX(Laporan!$A$1:$AZ$300,G385,4)</f>
        <v>1</v>
      </c>
      <c r="M385" s="1" t="n">
        <f aca="false">DATE(Pemetaan!$B$1,VALUE(RIGHT(INDEX(Laporan!$A$1:$AZ$300,F385+1,H385),2)),VALUE(LEFT(INDEX(Laporan!$A$1:$AZ$300,F385+1,H385),2)))</f>
        <v>46093</v>
      </c>
      <c r="N385" s="0" t="n">
        <f aca="false">INDEX(Laporan!$A$1:$AZ$300,G385,H385)</f>
        <v>1656</v>
      </c>
      <c r="O385" s="0" t="n">
        <f aca="false">IF(N385="","",IFERROR(VALUE(SUBSTITUTE(SUBSTITUTE(N385," btl",""),".","")),""))</f>
        <v>1656</v>
      </c>
      <c r="P385" s="0" t="str">
        <f aca="false">IF(B385="PRODUKSI","produced","reject")</f>
        <v>produced</v>
      </c>
    </row>
    <row r="386" customFormat="false" ht="15" hidden="false" customHeight="false" outlineLevel="0" collapsed="false">
      <c r="A386" s="0" t="n">
        <v>385</v>
      </c>
      <c r="B386" s="0" t="str">
        <f aca="false">IF(A386&lt;=36*25,"PRODUKSI","REJECT")</f>
        <v>PRODUKSI</v>
      </c>
      <c r="C386" s="0" t="n">
        <f aca="false">MOD(A386-1,Pemetaan!$B$3*Pemetaan!$B$4)</f>
        <v>384</v>
      </c>
      <c r="D386" s="0" t="n">
        <f aca="false">INT(C386/Pemetaan!$B$4)</f>
        <v>15</v>
      </c>
      <c r="E386" s="0" t="n">
        <f aca="false">MOD(C386,Pemetaan!$B$4)</f>
        <v>9</v>
      </c>
      <c r="F386" s="0" t="n">
        <f aca="false">IF(B386="PRODUKSI",Pemetaan!$B$5,Pemetaan!$B$6)</f>
        <v>5</v>
      </c>
      <c r="G386" s="0" t="n">
        <f aca="false">F386+2+D386</f>
        <v>22</v>
      </c>
      <c r="H386" s="0" t="n">
        <f aca="false">Pemetaan!$B$2+E386</f>
        <v>14</v>
      </c>
      <c r="I386" s="0" t="str">
        <f aca="false">INDEX(Laporan!$A$1:$AZ$300,G386,1)</f>
        <v>Water Treatment</v>
      </c>
      <c r="J386" s="0" t="str">
        <f aca="false">INDEX(Laporan!$A$1:$AZ$300,G386,2)</f>
        <v>1,5 L</v>
      </c>
      <c r="K386" s="0" t="str">
        <f aca="false">INDEX(Laporan!$A$1:$AZ$300,G386,3)</f>
        <v>Shift 2</v>
      </c>
      <c r="L386" s="0" t="n">
        <f aca="false">INDEX(Laporan!$A$1:$AZ$300,G386,4)</f>
        <v>1</v>
      </c>
      <c r="M386" s="1" t="n">
        <f aca="false">DATE(Pemetaan!$B$1,VALUE(RIGHT(INDEX(Laporan!$A$1:$AZ$300,F386+1,H386),2)),VALUE(LEFT(INDEX(Laporan!$A$1:$AZ$300,F386+1,H386),2)))</f>
        <v>46094</v>
      </c>
      <c r="N386" s="0" t="n">
        <f aca="false">INDEX(Laporan!$A$1:$AZ$300,G386,H386)</f>
        <v>1425</v>
      </c>
      <c r="O386" s="0" t="n">
        <f aca="false">IF(N386="","",IFERROR(VALUE(SUBSTITUTE(SUBSTITUTE(N386," btl",""),".","")),""))</f>
        <v>1425</v>
      </c>
      <c r="P386" s="0" t="str">
        <f aca="false">IF(B386="PRODUKSI","produced","reject")</f>
        <v>produced</v>
      </c>
    </row>
    <row r="387" customFormat="false" ht="15" hidden="false" customHeight="false" outlineLevel="0" collapsed="false">
      <c r="A387" s="0" t="n">
        <v>386</v>
      </c>
      <c r="B387" s="0" t="str">
        <f aca="false">IF(A387&lt;=36*25,"PRODUKSI","REJECT")</f>
        <v>PRODUKSI</v>
      </c>
      <c r="C387" s="0" t="n">
        <f aca="false">MOD(A387-1,Pemetaan!$B$3*Pemetaan!$B$4)</f>
        <v>385</v>
      </c>
      <c r="D387" s="0" t="n">
        <f aca="false">INT(C387/Pemetaan!$B$4)</f>
        <v>15</v>
      </c>
      <c r="E387" s="0" t="n">
        <f aca="false">MOD(C387,Pemetaan!$B$4)</f>
        <v>10</v>
      </c>
      <c r="F387" s="0" t="n">
        <f aca="false">IF(B387="PRODUKSI",Pemetaan!$B$5,Pemetaan!$B$6)</f>
        <v>5</v>
      </c>
      <c r="G387" s="0" t="n">
        <f aca="false">F387+2+D387</f>
        <v>22</v>
      </c>
      <c r="H387" s="0" t="n">
        <f aca="false">Pemetaan!$B$2+E387</f>
        <v>15</v>
      </c>
      <c r="I387" s="0" t="str">
        <f aca="false">INDEX(Laporan!$A$1:$AZ$300,G387,1)</f>
        <v>Water Treatment</v>
      </c>
      <c r="J387" s="0" t="str">
        <f aca="false">INDEX(Laporan!$A$1:$AZ$300,G387,2)</f>
        <v>1,5 L</v>
      </c>
      <c r="K387" s="0" t="str">
        <f aca="false">INDEX(Laporan!$A$1:$AZ$300,G387,3)</f>
        <v>Shift 2</v>
      </c>
      <c r="L387" s="0" t="n">
        <f aca="false">INDEX(Laporan!$A$1:$AZ$300,G387,4)</f>
        <v>1</v>
      </c>
      <c r="M387" s="1" t="n">
        <f aca="false">DATE(Pemetaan!$B$1,VALUE(RIGHT(INDEX(Laporan!$A$1:$AZ$300,F387+1,H387),2)),VALUE(LEFT(INDEX(Laporan!$A$1:$AZ$300,F387+1,H387),2)))</f>
        <v>46097</v>
      </c>
      <c r="N387" s="0" t="n">
        <f aca="false">INDEX(Laporan!$A$1:$AZ$300,G387,H387)</f>
        <v>1419</v>
      </c>
      <c r="O387" s="0" t="n">
        <f aca="false">IF(N387="","",IFERROR(VALUE(SUBSTITUTE(SUBSTITUTE(N387," btl",""),".","")),""))</f>
        <v>1419</v>
      </c>
      <c r="P387" s="0" t="str">
        <f aca="false">IF(B387="PRODUKSI","produced","reject")</f>
        <v>produced</v>
      </c>
    </row>
    <row r="388" customFormat="false" ht="15" hidden="false" customHeight="false" outlineLevel="0" collapsed="false">
      <c r="A388" s="0" t="n">
        <v>387</v>
      </c>
      <c r="B388" s="0" t="str">
        <f aca="false">IF(A388&lt;=36*25,"PRODUKSI","REJECT")</f>
        <v>PRODUKSI</v>
      </c>
      <c r="C388" s="0" t="n">
        <f aca="false">MOD(A388-1,Pemetaan!$B$3*Pemetaan!$B$4)</f>
        <v>386</v>
      </c>
      <c r="D388" s="0" t="n">
        <f aca="false">INT(C388/Pemetaan!$B$4)</f>
        <v>15</v>
      </c>
      <c r="E388" s="0" t="n">
        <f aca="false">MOD(C388,Pemetaan!$B$4)</f>
        <v>11</v>
      </c>
      <c r="F388" s="0" t="n">
        <f aca="false">IF(B388="PRODUKSI",Pemetaan!$B$5,Pemetaan!$B$6)</f>
        <v>5</v>
      </c>
      <c r="G388" s="0" t="n">
        <f aca="false">F388+2+D388</f>
        <v>22</v>
      </c>
      <c r="H388" s="0" t="n">
        <f aca="false">Pemetaan!$B$2+E388</f>
        <v>16</v>
      </c>
      <c r="I388" s="0" t="str">
        <f aca="false">INDEX(Laporan!$A$1:$AZ$300,G388,1)</f>
        <v>Water Treatment</v>
      </c>
      <c r="J388" s="0" t="str">
        <f aca="false">INDEX(Laporan!$A$1:$AZ$300,G388,2)</f>
        <v>1,5 L</v>
      </c>
      <c r="K388" s="0" t="str">
        <f aca="false">INDEX(Laporan!$A$1:$AZ$300,G388,3)</f>
        <v>Shift 2</v>
      </c>
      <c r="L388" s="0" t="n">
        <f aca="false">INDEX(Laporan!$A$1:$AZ$300,G388,4)</f>
        <v>1</v>
      </c>
      <c r="M388" s="1" t="n">
        <f aca="false">DATE(Pemetaan!$B$1,VALUE(RIGHT(INDEX(Laporan!$A$1:$AZ$300,F388+1,H388),2)),VALUE(LEFT(INDEX(Laporan!$A$1:$AZ$300,F388+1,H388),2)))</f>
        <v>46098</v>
      </c>
      <c r="N388" s="0" t="n">
        <f aca="false">INDEX(Laporan!$A$1:$AZ$300,G388,H388)</f>
        <v>1624</v>
      </c>
      <c r="O388" s="0" t="n">
        <f aca="false">IF(N388="","",IFERROR(VALUE(SUBSTITUTE(SUBSTITUTE(N388," btl",""),".","")),""))</f>
        <v>1624</v>
      </c>
      <c r="P388" s="0" t="str">
        <f aca="false">IF(B388="PRODUKSI","produced","reject")</f>
        <v>produced</v>
      </c>
    </row>
    <row r="389" customFormat="false" ht="15" hidden="false" customHeight="false" outlineLevel="0" collapsed="false">
      <c r="A389" s="0" t="n">
        <v>388</v>
      </c>
      <c r="B389" s="0" t="str">
        <f aca="false">IF(A389&lt;=36*25,"PRODUKSI","REJECT")</f>
        <v>PRODUKSI</v>
      </c>
      <c r="C389" s="0" t="n">
        <f aca="false">MOD(A389-1,Pemetaan!$B$3*Pemetaan!$B$4)</f>
        <v>387</v>
      </c>
      <c r="D389" s="0" t="n">
        <f aca="false">INT(C389/Pemetaan!$B$4)</f>
        <v>15</v>
      </c>
      <c r="E389" s="0" t="n">
        <f aca="false">MOD(C389,Pemetaan!$B$4)</f>
        <v>12</v>
      </c>
      <c r="F389" s="0" t="n">
        <f aca="false">IF(B389="PRODUKSI",Pemetaan!$B$5,Pemetaan!$B$6)</f>
        <v>5</v>
      </c>
      <c r="G389" s="0" t="n">
        <f aca="false">F389+2+D389</f>
        <v>22</v>
      </c>
      <c r="H389" s="0" t="n">
        <f aca="false">Pemetaan!$B$2+E389</f>
        <v>17</v>
      </c>
      <c r="I389" s="0" t="str">
        <f aca="false">INDEX(Laporan!$A$1:$AZ$300,G389,1)</f>
        <v>Water Treatment</v>
      </c>
      <c r="J389" s="0" t="str">
        <f aca="false">INDEX(Laporan!$A$1:$AZ$300,G389,2)</f>
        <v>1,5 L</v>
      </c>
      <c r="K389" s="0" t="str">
        <f aca="false">INDEX(Laporan!$A$1:$AZ$300,G389,3)</f>
        <v>Shift 2</v>
      </c>
      <c r="L389" s="0" t="n">
        <f aca="false">INDEX(Laporan!$A$1:$AZ$300,G389,4)</f>
        <v>1</v>
      </c>
      <c r="M389" s="1" t="n">
        <f aca="false">DATE(Pemetaan!$B$1,VALUE(RIGHT(INDEX(Laporan!$A$1:$AZ$300,F389+1,H389),2)),VALUE(LEFT(INDEX(Laporan!$A$1:$AZ$300,F389+1,H389),2)))</f>
        <v>46099</v>
      </c>
      <c r="N389" s="0" t="n">
        <f aca="false">INDEX(Laporan!$A$1:$AZ$300,G389,H389)</f>
        <v>1452</v>
      </c>
      <c r="O389" s="0" t="n">
        <f aca="false">IF(N389="","",IFERROR(VALUE(SUBSTITUTE(SUBSTITUTE(N389," btl",""),".","")),""))</f>
        <v>1452</v>
      </c>
      <c r="P389" s="0" t="str">
        <f aca="false">IF(B389="PRODUKSI","produced","reject")</f>
        <v>produced</v>
      </c>
    </row>
    <row r="390" customFormat="false" ht="15" hidden="false" customHeight="false" outlineLevel="0" collapsed="false">
      <c r="A390" s="0" t="n">
        <v>389</v>
      </c>
      <c r="B390" s="0" t="str">
        <f aca="false">IF(A390&lt;=36*25,"PRODUKSI","REJECT")</f>
        <v>PRODUKSI</v>
      </c>
      <c r="C390" s="0" t="n">
        <f aca="false">MOD(A390-1,Pemetaan!$B$3*Pemetaan!$B$4)</f>
        <v>388</v>
      </c>
      <c r="D390" s="0" t="n">
        <f aca="false">INT(C390/Pemetaan!$B$4)</f>
        <v>15</v>
      </c>
      <c r="E390" s="0" t="n">
        <f aca="false">MOD(C390,Pemetaan!$B$4)</f>
        <v>13</v>
      </c>
      <c r="F390" s="0" t="n">
        <f aca="false">IF(B390="PRODUKSI",Pemetaan!$B$5,Pemetaan!$B$6)</f>
        <v>5</v>
      </c>
      <c r="G390" s="0" t="n">
        <f aca="false">F390+2+D390</f>
        <v>22</v>
      </c>
      <c r="H390" s="0" t="n">
        <f aca="false">Pemetaan!$B$2+E390</f>
        <v>18</v>
      </c>
      <c r="I390" s="0" t="str">
        <f aca="false">INDEX(Laporan!$A$1:$AZ$300,G390,1)</f>
        <v>Water Treatment</v>
      </c>
      <c r="J390" s="0" t="str">
        <f aca="false">INDEX(Laporan!$A$1:$AZ$300,G390,2)</f>
        <v>1,5 L</v>
      </c>
      <c r="K390" s="0" t="str">
        <f aca="false">INDEX(Laporan!$A$1:$AZ$300,G390,3)</f>
        <v>Shift 2</v>
      </c>
      <c r="L390" s="0" t="n">
        <f aca="false">INDEX(Laporan!$A$1:$AZ$300,G390,4)</f>
        <v>1</v>
      </c>
      <c r="M390" s="1" t="n">
        <f aca="false">DATE(Pemetaan!$B$1,VALUE(RIGHT(INDEX(Laporan!$A$1:$AZ$300,F390+1,H390),2)),VALUE(LEFT(INDEX(Laporan!$A$1:$AZ$300,F390+1,H390),2)))</f>
        <v>46100</v>
      </c>
      <c r="N390" s="0" t="n">
        <f aca="false">INDEX(Laporan!$A$1:$AZ$300,G390,H390)</f>
        <v>1351</v>
      </c>
      <c r="O390" s="0" t="n">
        <f aca="false">IF(N390="","",IFERROR(VALUE(SUBSTITUTE(SUBSTITUTE(N390," btl",""),".","")),""))</f>
        <v>1351</v>
      </c>
      <c r="P390" s="0" t="str">
        <f aca="false">IF(B390="PRODUKSI","produced","reject")</f>
        <v>produced</v>
      </c>
    </row>
    <row r="391" customFormat="false" ht="15" hidden="false" customHeight="false" outlineLevel="0" collapsed="false">
      <c r="A391" s="0" t="n">
        <v>390</v>
      </c>
      <c r="B391" s="0" t="str">
        <f aca="false">IF(A391&lt;=36*25,"PRODUKSI","REJECT")</f>
        <v>PRODUKSI</v>
      </c>
      <c r="C391" s="0" t="n">
        <f aca="false">MOD(A391-1,Pemetaan!$B$3*Pemetaan!$B$4)</f>
        <v>389</v>
      </c>
      <c r="D391" s="0" t="n">
        <f aca="false">INT(C391/Pemetaan!$B$4)</f>
        <v>15</v>
      </c>
      <c r="E391" s="0" t="n">
        <f aca="false">MOD(C391,Pemetaan!$B$4)</f>
        <v>14</v>
      </c>
      <c r="F391" s="0" t="n">
        <f aca="false">IF(B391="PRODUKSI",Pemetaan!$B$5,Pemetaan!$B$6)</f>
        <v>5</v>
      </c>
      <c r="G391" s="0" t="n">
        <f aca="false">F391+2+D391</f>
        <v>22</v>
      </c>
      <c r="H391" s="0" t="n">
        <f aca="false">Pemetaan!$B$2+E391</f>
        <v>19</v>
      </c>
      <c r="I391" s="0" t="str">
        <f aca="false">INDEX(Laporan!$A$1:$AZ$300,G391,1)</f>
        <v>Water Treatment</v>
      </c>
      <c r="J391" s="0" t="str">
        <f aca="false">INDEX(Laporan!$A$1:$AZ$300,G391,2)</f>
        <v>1,5 L</v>
      </c>
      <c r="K391" s="0" t="str">
        <f aca="false">INDEX(Laporan!$A$1:$AZ$300,G391,3)</f>
        <v>Shift 2</v>
      </c>
      <c r="L391" s="0" t="n">
        <f aca="false">INDEX(Laporan!$A$1:$AZ$300,G391,4)</f>
        <v>1</v>
      </c>
      <c r="M391" s="1" t="n">
        <f aca="false">DATE(Pemetaan!$B$1,VALUE(RIGHT(INDEX(Laporan!$A$1:$AZ$300,F391+1,H391),2)),VALUE(LEFT(INDEX(Laporan!$A$1:$AZ$300,F391+1,H391),2)))</f>
        <v>46101</v>
      </c>
      <c r="N391" s="0" t="n">
        <f aca="false">INDEX(Laporan!$A$1:$AZ$300,G391,H391)</f>
        <v>1377</v>
      </c>
      <c r="O391" s="0" t="n">
        <f aca="false">IF(N391="","",IFERROR(VALUE(SUBSTITUTE(SUBSTITUTE(N391," btl",""),".","")),""))</f>
        <v>1377</v>
      </c>
      <c r="P391" s="0" t="str">
        <f aca="false">IF(B391="PRODUKSI","produced","reject")</f>
        <v>produced</v>
      </c>
    </row>
    <row r="392" customFormat="false" ht="15" hidden="false" customHeight="false" outlineLevel="0" collapsed="false">
      <c r="A392" s="0" t="n">
        <v>391</v>
      </c>
      <c r="B392" s="0" t="str">
        <f aca="false">IF(A392&lt;=36*25,"PRODUKSI","REJECT")</f>
        <v>PRODUKSI</v>
      </c>
      <c r="C392" s="0" t="n">
        <f aca="false">MOD(A392-1,Pemetaan!$B$3*Pemetaan!$B$4)</f>
        <v>390</v>
      </c>
      <c r="D392" s="0" t="n">
        <f aca="false">INT(C392/Pemetaan!$B$4)</f>
        <v>15</v>
      </c>
      <c r="E392" s="0" t="n">
        <f aca="false">MOD(C392,Pemetaan!$B$4)</f>
        <v>15</v>
      </c>
      <c r="F392" s="0" t="n">
        <f aca="false">IF(B392="PRODUKSI",Pemetaan!$B$5,Pemetaan!$B$6)</f>
        <v>5</v>
      </c>
      <c r="G392" s="0" t="n">
        <f aca="false">F392+2+D392</f>
        <v>22</v>
      </c>
      <c r="H392" s="0" t="n">
        <f aca="false">Pemetaan!$B$2+E392</f>
        <v>20</v>
      </c>
      <c r="I392" s="0" t="str">
        <f aca="false">INDEX(Laporan!$A$1:$AZ$300,G392,1)</f>
        <v>Water Treatment</v>
      </c>
      <c r="J392" s="0" t="str">
        <f aca="false">INDEX(Laporan!$A$1:$AZ$300,G392,2)</f>
        <v>1,5 L</v>
      </c>
      <c r="K392" s="0" t="str">
        <f aca="false">INDEX(Laporan!$A$1:$AZ$300,G392,3)</f>
        <v>Shift 2</v>
      </c>
      <c r="L392" s="0" t="n">
        <f aca="false">INDEX(Laporan!$A$1:$AZ$300,G392,4)</f>
        <v>1</v>
      </c>
      <c r="M392" s="1" t="n">
        <f aca="false">DATE(Pemetaan!$B$1,VALUE(RIGHT(INDEX(Laporan!$A$1:$AZ$300,F392+1,H392),2)),VALUE(LEFT(INDEX(Laporan!$A$1:$AZ$300,F392+1,H392),2)))</f>
        <v>46104</v>
      </c>
      <c r="N392" s="0" t="n">
        <f aca="false">INDEX(Laporan!$A$1:$AZ$300,G392,H392)</f>
        <v>1507</v>
      </c>
      <c r="O392" s="0" t="n">
        <f aca="false">IF(N392="","",IFERROR(VALUE(SUBSTITUTE(SUBSTITUTE(N392," btl",""),".","")),""))</f>
        <v>1507</v>
      </c>
      <c r="P392" s="0" t="str">
        <f aca="false">IF(B392="PRODUKSI","produced","reject")</f>
        <v>produced</v>
      </c>
    </row>
    <row r="393" customFormat="false" ht="15" hidden="false" customHeight="false" outlineLevel="0" collapsed="false">
      <c r="A393" s="0" t="n">
        <v>392</v>
      </c>
      <c r="B393" s="0" t="str">
        <f aca="false">IF(A393&lt;=36*25,"PRODUKSI","REJECT")</f>
        <v>PRODUKSI</v>
      </c>
      <c r="C393" s="0" t="n">
        <f aca="false">MOD(A393-1,Pemetaan!$B$3*Pemetaan!$B$4)</f>
        <v>391</v>
      </c>
      <c r="D393" s="0" t="n">
        <f aca="false">INT(C393/Pemetaan!$B$4)</f>
        <v>15</v>
      </c>
      <c r="E393" s="0" t="n">
        <f aca="false">MOD(C393,Pemetaan!$B$4)</f>
        <v>16</v>
      </c>
      <c r="F393" s="0" t="n">
        <f aca="false">IF(B393="PRODUKSI",Pemetaan!$B$5,Pemetaan!$B$6)</f>
        <v>5</v>
      </c>
      <c r="G393" s="0" t="n">
        <f aca="false">F393+2+D393</f>
        <v>22</v>
      </c>
      <c r="H393" s="0" t="n">
        <f aca="false">Pemetaan!$B$2+E393</f>
        <v>21</v>
      </c>
      <c r="I393" s="0" t="str">
        <f aca="false">INDEX(Laporan!$A$1:$AZ$300,G393,1)</f>
        <v>Water Treatment</v>
      </c>
      <c r="J393" s="0" t="str">
        <f aca="false">INDEX(Laporan!$A$1:$AZ$300,G393,2)</f>
        <v>1,5 L</v>
      </c>
      <c r="K393" s="0" t="str">
        <f aca="false">INDEX(Laporan!$A$1:$AZ$300,G393,3)</f>
        <v>Shift 2</v>
      </c>
      <c r="L393" s="0" t="n">
        <f aca="false">INDEX(Laporan!$A$1:$AZ$300,G393,4)</f>
        <v>1</v>
      </c>
      <c r="M393" s="1" t="n">
        <f aca="false">DATE(Pemetaan!$B$1,VALUE(RIGHT(INDEX(Laporan!$A$1:$AZ$300,F393+1,H393),2)),VALUE(LEFT(INDEX(Laporan!$A$1:$AZ$300,F393+1,H393),2)))</f>
        <v>46105</v>
      </c>
      <c r="N393" s="0" t="n">
        <f aca="false">INDEX(Laporan!$A$1:$AZ$300,G393,H393)</f>
        <v>1387</v>
      </c>
      <c r="O393" s="0" t="n">
        <f aca="false">IF(N393="","",IFERROR(VALUE(SUBSTITUTE(SUBSTITUTE(N393," btl",""),".","")),""))</f>
        <v>1387</v>
      </c>
      <c r="P393" s="0" t="str">
        <f aca="false">IF(B393="PRODUKSI","produced","reject")</f>
        <v>produced</v>
      </c>
    </row>
    <row r="394" customFormat="false" ht="15" hidden="false" customHeight="false" outlineLevel="0" collapsed="false">
      <c r="A394" s="0" t="n">
        <v>393</v>
      </c>
      <c r="B394" s="0" t="str">
        <f aca="false">IF(A394&lt;=36*25,"PRODUKSI","REJECT")</f>
        <v>PRODUKSI</v>
      </c>
      <c r="C394" s="0" t="n">
        <f aca="false">MOD(A394-1,Pemetaan!$B$3*Pemetaan!$B$4)</f>
        <v>392</v>
      </c>
      <c r="D394" s="0" t="n">
        <f aca="false">INT(C394/Pemetaan!$B$4)</f>
        <v>15</v>
      </c>
      <c r="E394" s="0" t="n">
        <f aca="false">MOD(C394,Pemetaan!$B$4)</f>
        <v>17</v>
      </c>
      <c r="F394" s="0" t="n">
        <f aca="false">IF(B394="PRODUKSI",Pemetaan!$B$5,Pemetaan!$B$6)</f>
        <v>5</v>
      </c>
      <c r="G394" s="0" t="n">
        <f aca="false">F394+2+D394</f>
        <v>22</v>
      </c>
      <c r="H394" s="0" t="n">
        <f aca="false">Pemetaan!$B$2+E394</f>
        <v>22</v>
      </c>
      <c r="I394" s="0" t="str">
        <f aca="false">INDEX(Laporan!$A$1:$AZ$300,G394,1)</f>
        <v>Water Treatment</v>
      </c>
      <c r="J394" s="0" t="str">
        <f aca="false">INDEX(Laporan!$A$1:$AZ$300,G394,2)</f>
        <v>1,5 L</v>
      </c>
      <c r="K394" s="0" t="str">
        <f aca="false">INDEX(Laporan!$A$1:$AZ$300,G394,3)</f>
        <v>Shift 2</v>
      </c>
      <c r="L394" s="0" t="n">
        <f aca="false">INDEX(Laporan!$A$1:$AZ$300,G394,4)</f>
        <v>1</v>
      </c>
      <c r="M394" s="1" t="n">
        <f aca="false">DATE(Pemetaan!$B$1,VALUE(RIGHT(INDEX(Laporan!$A$1:$AZ$300,F394+1,H394),2)),VALUE(LEFT(INDEX(Laporan!$A$1:$AZ$300,F394+1,H394),2)))</f>
        <v>46106</v>
      </c>
      <c r="N394" s="0" t="n">
        <f aca="false">INDEX(Laporan!$A$1:$AZ$300,G394,H394)</f>
        <v>1450</v>
      </c>
      <c r="O394" s="0" t="n">
        <f aca="false">IF(N394="","",IFERROR(VALUE(SUBSTITUTE(SUBSTITUTE(N394," btl",""),".","")),""))</f>
        <v>1450</v>
      </c>
      <c r="P394" s="0" t="str">
        <f aca="false">IF(B394="PRODUKSI","produced","reject")</f>
        <v>produced</v>
      </c>
    </row>
    <row r="395" customFormat="false" ht="15" hidden="false" customHeight="false" outlineLevel="0" collapsed="false">
      <c r="A395" s="0" t="n">
        <v>394</v>
      </c>
      <c r="B395" s="0" t="str">
        <f aca="false">IF(A395&lt;=36*25,"PRODUKSI","REJECT")</f>
        <v>PRODUKSI</v>
      </c>
      <c r="C395" s="0" t="n">
        <f aca="false">MOD(A395-1,Pemetaan!$B$3*Pemetaan!$B$4)</f>
        <v>393</v>
      </c>
      <c r="D395" s="0" t="n">
        <f aca="false">INT(C395/Pemetaan!$B$4)</f>
        <v>15</v>
      </c>
      <c r="E395" s="0" t="n">
        <f aca="false">MOD(C395,Pemetaan!$B$4)</f>
        <v>18</v>
      </c>
      <c r="F395" s="0" t="n">
        <f aca="false">IF(B395="PRODUKSI",Pemetaan!$B$5,Pemetaan!$B$6)</f>
        <v>5</v>
      </c>
      <c r="G395" s="0" t="n">
        <f aca="false">F395+2+D395</f>
        <v>22</v>
      </c>
      <c r="H395" s="0" t="n">
        <f aca="false">Pemetaan!$B$2+E395</f>
        <v>23</v>
      </c>
      <c r="I395" s="0" t="str">
        <f aca="false">INDEX(Laporan!$A$1:$AZ$300,G395,1)</f>
        <v>Water Treatment</v>
      </c>
      <c r="J395" s="0" t="str">
        <f aca="false">INDEX(Laporan!$A$1:$AZ$300,G395,2)</f>
        <v>1,5 L</v>
      </c>
      <c r="K395" s="0" t="str">
        <f aca="false">INDEX(Laporan!$A$1:$AZ$300,G395,3)</f>
        <v>Shift 2</v>
      </c>
      <c r="L395" s="0" t="n">
        <f aca="false">INDEX(Laporan!$A$1:$AZ$300,G395,4)</f>
        <v>1</v>
      </c>
      <c r="M395" s="1" t="n">
        <f aca="false">DATE(Pemetaan!$B$1,VALUE(RIGHT(INDEX(Laporan!$A$1:$AZ$300,F395+1,H395),2)),VALUE(LEFT(INDEX(Laporan!$A$1:$AZ$300,F395+1,H395),2)))</f>
        <v>46107</v>
      </c>
      <c r="N395" s="0" t="n">
        <f aca="false">INDEX(Laporan!$A$1:$AZ$300,G395,H395)</f>
        <v>1675</v>
      </c>
      <c r="O395" s="0" t="n">
        <f aca="false">IF(N395="","",IFERROR(VALUE(SUBSTITUTE(SUBSTITUTE(N395," btl",""),".","")),""))</f>
        <v>1675</v>
      </c>
      <c r="P395" s="0" t="str">
        <f aca="false">IF(B395="PRODUKSI","produced","reject")</f>
        <v>produced</v>
      </c>
    </row>
    <row r="396" customFormat="false" ht="15" hidden="false" customHeight="false" outlineLevel="0" collapsed="false">
      <c r="A396" s="0" t="n">
        <v>395</v>
      </c>
      <c r="B396" s="0" t="str">
        <f aca="false">IF(A396&lt;=36*25,"PRODUKSI","REJECT")</f>
        <v>PRODUKSI</v>
      </c>
      <c r="C396" s="0" t="n">
        <f aca="false">MOD(A396-1,Pemetaan!$B$3*Pemetaan!$B$4)</f>
        <v>394</v>
      </c>
      <c r="D396" s="0" t="n">
        <f aca="false">INT(C396/Pemetaan!$B$4)</f>
        <v>15</v>
      </c>
      <c r="E396" s="0" t="n">
        <f aca="false">MOD(C396,Pemetaan!$B$4)</f>
        <v>19</v>
      </c>
      <c r="F396" s="0" t="n">
        <f aca="false">IF(B396="PRODUKSI",Pemetaan!$B$5,Pemetaan!$B$6)</f>
        <v>5</v>
      </c>
      <c r="G396" s="0" t="n">
        <f aca="false">F396+2+D396</f>
        <v>22</v>
      </c>
      <c r="H396" s="0" t="n">
        <f aca="false">Pemetaan!$B$2+E396</f>
        <v>24</v>
      </c>
      <c r="I396" s="0" t="str">
        <f aca="false">INDEX(Laporan!$A$1:$AZ$300,G396,1)</f>
        <v>Water Treatment</v>
      </c>
      <c r="J396" s="0" t="str">
        <f aca="false">INDEX(Laporan!$A$1:$AZ$300,G396,2)</f>
        <v>1,5 L</v>
      </c>
      <c r="K396" s="0" t="str">
        <f aca="false">INDEX(Laporan!$A$1:$AZ$300,G396,3)</f>
        <v>Shift 2</v>
      </c>
      <c r="L396" s="0" t="n">
        <f aca="false">INDEX(Laporan!$A$1:$AZ$300,G396,4)</f>
        <v>1</v>
      </c>
      <c r="M396" s="1" t="n">
        <f aca="false">DATE(Pemetaan!$B$1,VALUE(RIGHT(INDEX(Laporan!$A$1:$AZ$300,F396+1,H396),2)),VALUE(LEFT(INDEX(Laporan!$A$1:$AZ$300,F396+1,H396),2)))</f>
        <v>46108</v>
      </c>
      <c r="N396" s="0" t="n">
        <f aca="false">INDEX(Laporan!$A$1:$AZ$300,G396,H396)</f>
        <v>1416</v>
      </c>
      <c r="O396" s="0" t="n">
        <f aca="false">IF(N396="","",IFERROR(VALUE(SUBSTITUTE(SUBSTITUTE(N396," btl",""),".","")),""))</f>
        <v>1416</v>
      </c>
      <c r="P396" s="0" t="str">
        <f aca="false">IF(B396="PRODUKSI","produced","reject")</f>
        <v>produced</v>
      </c>
    </row>
    <row r="397" customFormat="false" ht="15" hidden="false" customHeight="false" outlineLevel="0" collapsed="false">
      <c r="A397" s="0" t="n">
        <v>396</v>
      </c>
      <c r="B397" s="0" t="str">
        <f aca="false">IF(A397&lt;=36*25,"PRODUKSI","REJECT")</f>
        <v>PRODUKSI</v>
      </c>
      <c r="C397" s="0" t="n">
        <f aca="false">MOD(A397-1,Pemetaan!$B$3*Pemetaan!$B$4)</f>
        <v>395</v>
      </c>
      <c r="D397" s="0" t="n">
        <f aca="false">INT(C397/Pemetaan!$B$4)</f>
        <v>15</v>
      </c>
      <c r="E397" s="0" t="n">
        <f aca="false">MOD(C397,Pemetaan!$B$4)</f>
        <v>20</v>
      </c>
      <c r="F397" s="0" t="n">
        <f aca="false">IF(B397="PRODUKSI",Pemetaan!$B$5,Pemetaan!$B$6)</f>
        <v>5</v>
      </c>
      <c r="G397" s="0" t="n">
        <f aca="false">F397+2+D397</f>
        <v>22</v>
      </c>
      <c r="H397" s="0" t="n">
        <f aca="false">Pemetaan!$B$2+E397</f>
        <v>25</v>
      </c>
      <c r="I397" s="0" t="str">
        <f aca="false">INDEX(Laporan!$A$1:$AZ$300,G397,1)</f>
        <v>Water Treatment</v>
      </c>
      <c r="J397" s="0" t="str">
        <f aca="false">INDEX(Laporan!$A$1:$AZ$300,G397,2)</f>
        <v>1,5 L</v>
      </c>
      <c r="K397" s="0" t="str">
        <f aca="false">INDEX(Laporan!$A$1:$AZ$300,G397,3)</f>
        <v>Shift 2</v>
      </c>
      <c r="L397" s="0" t="n">
        <f aca="false">INDEX(Laporan!$A$1:$AZ$300,G397,4)</f>
        <v>1</v>
      </c>
      <c r="M397" s="1" t="n">
        <f aca="false">DATE(Pemetaan!$B$1,VALUE(RIGHT(INDEX(Laporan!$A$1:$AZ$300,F397+1,H397),2)),VALUE(LEFT(INDEX(Laporan!$A$1:$AZ$300,F397+1,H397),2)))</f>
        <v>46111</v>
      </c>
      <c r="N397" s="0" t="n">
        <f aca="false">INDEX(Laporan!$A$1:$AZ$300,G397,H397)</f>
        <v>1323</v>
      </c>
      <c r="O397" s="0" t="n">
        <f aca="false">IF(N397="","",IFERROR(VALUE(SUBSTITUTE(SUBSTITUTE(N397," btl",""),".","")),""))</f>
        <v>1323</v>
      </c>
      <c r="P397" s="0" t="str">
        <f aca="false">IF(B397="PRODUKSI","produced","reject")</f>
        <v>produced</v>
      </c>
    </row>
    <row r="398" customFormat="false" ht="15" hidden="false" customHeight="false" outlineLevel="0" collapsed="false">
      <c r="A398" s="0" t="n">
        <v>397</v>
      </c>
      <c r="B398" s="0" t="str">
        <f aca="false">IF(A398&lt;=36*25,"PRODUKSI","REJECT")</f>
        <v>PRODUKSI</v>
      </c>
      <c r="C398" s="0" t="n">
        <f aca="false">MOD(A398-1,Pemetaan!$B$3*Pemetaan!$B$4)</f>
        <v>396</v>
      </c>
      <c r="D398" s="0" t="n">
        <f aca="false">INT(C398/Pemetaan!$B$4)</f>
        <v>15</v>
      </c>
      <c r="E398" s="0" t="n">
        <f aca="false">MOD(C398,Pemetaan!$B$4)</f>
        <v>21</v>
      </c>
      <c r="F398" s="0" t="n">
        <f aca="false">IF(B398="PRODUKSI",Pemetaan!$B$5,Pemetaan!$B$6)</f>
        <v>5</v>
      </c>
      <c r="G398" s="0" t="n">
        <f aca="false">F398+2+D398</f>
        <v>22</v>
      </c>
      <c r="H398" s="0" t="n">
        <f aca="false">Pemetaan!$B$2+E398</f>
        <v>26</v>
      </c>
      <c r="I398" s="0" t="str">
        <f aca="false">INDEX(Laporan!$A$1:$AZ$300,G398,1)</f>
        <v>Water Treatment</v>
      </c>
      <c r="J398" s="0" t="str">
        <f aca="false">INDEX(Laporan!$A$1:$AZ$300,G398,2)</f>
        <v>1,5 L</v>
      </c>
      <c r="K398" s="0" t="str">
        <f aca="false">INDEX(Laporan!$A$1:$AZ$300,G398,3)</f>
        <v>Shift 2</v>
      </c>
      <c r="L398" s="0" t="n">
        <f aca="false">INDEX(Laporan!$A$1:$AZ$300,G398,4)</f>
        <v>1</v>
      </c>
      <c r="M398" s="1" t="n">
        <f aca="false">DATE(Pemetaan!$B$1,VALUE(RIGHT(INDEX(Laporan!$A$1:$AZ$300,F398+1,H398),2)),VALUE(LEFT(INDEX(Laporan!$A$1:$AZ$300,F398+1,H398),2)))</f>
        <v>46112</v>
      </c>
      <c r="N398" s="0" t="n">
        <f aca="false">INDEX(Laporan!$A$1:$AZ$300,G398,H398)</f>
        <v>1440</v>
      </c>
      <c r="O398" s="0" t="n">
        <f aca="false">IF(N398="","",IFERROR(VALUE(SUBSTITUTE(SUBSTITUTE(N398," btl",""),".","")),""))</f>
        <v>1440</v>
      </c>
      <c r="P398" s="0" t="str">
        <f aca="false">IF(B398="PRODUKSI","produced","reject")</f>
        <v>produced</v>
      </c>
    </row>
    <row r="399" customFormat="false" ht="15" hidden="false" customHeight="false" outlineLevel="0" collapsed="false">
      <c r="A399" s="0" t="n">
        <v>398</v>
      </c>
      <c r="B399" s="0" t="str">
        <f aca="false">IF(A399&lt;=36*25,"PRODUKSI","REJECT")</f>
        <v>PRODUKSI</v>
      </c>
      <c r="C399" s="0" t="n">
        <f aca="false">MOD(A399-1,Pemetaan!$B$3*Pemetaan!$B$4)</f>
        <v>397</v>
      </c>
      <c r="D399" s="0" t="n">
        <f aca="false">INT(C399/Pemetaan!$B$4)</f>
        <v>15</v>
      </c>
      <c r="E399" s="0" t="n">
        <f aca="false">MOD(C399,Pemetaan!$B$4)</f>
        <v>22</v>
      </c>
      <c r="F399" s="0" t="n">
        <f aca="false">IF(B399="PRODUKSI",Pemetaan!$B$5,Pemetaan!$B$6)</f>
        <v>5</v>
      </c>
      <c r="G399" s="0" t="n">
        <f aca="false">F399+2+D399</f>
        <v>22</v>
      </c>
      <c r="H399" s="0" t="n">
        <f aca="false">Pemetaan!$B$2+E399</f>
        <v>27</v>
      </c>
      <c r="I399" s="0" t="str">
        <f aca="false">INDEX(Laporan!$A$1:$AZ$300,G399,1)</f>
        <v>Water Treatment</v>
      </c>
      <c r="J399" s="0" t="str">
        <f aca="false">INDEX(Laporan!$A$1:$AZ$300,G399,2)</f>
        <v>1,5 L</v>
      </c>
      <c r="K399" s="0" t="str">
        <f aca="false">INDEX(Laporan!$A$1:$AZ$300,G399,3)</f>
        <v>Shift 2</v>
      </c>
      <c r="L399" s="0" t="n">
        <f aca="false">INDEX(Laporan!$A$1:$AZ$300,G399,4)</f>
        <v>1</v>
      </c>
      <c r="M399" s="1" t="n">
        <f aca="false">DATE(Pemetaan!$B$1,VALUE(RIGHT(INDEX(Laporan!$A$1:$AZ$300,F399+1,H399),2)),VALUE(LEFT(INDEX(Laporan!$A$1:$AZ$300,F399+1,H399),2)))</f>
        <v>46113</v>
      </c>
      <c r="N399" s="0" t="n">
        <f aca="false">INDEX(Laporan!$A$1:$AZ$300,G399,H399)</f>
        <v>1321</v>
      </c>
      <c r="O399" s="0" t="n">
        <f aca="false">IF(N399="","",IFERROR(VALUE(SUBSTITUTE(SUBSTITUTE(N399," btl",""),".","")),""))</f>
        <v>1321</v>
      </c>
      <c r="P399" s="0" t="str">
        <f aca="false">IF(B399="PRODUKSI","produced","reject")</f>
        <v>produced</v>
      </c>
    </row>
    <row r="400" customFormat="false" ht="15" hidden="false" customHeight="false" outlineLevel="0" collapsed="false">
      <c r="A400" s="0" t="n">
        <v>399</v>
      </c>
      <c r="B400" s="0" t="str">
        <f aca="false">IF(A400&lt;=36*25,"PRODUKSI","REJECT")</f>
        <v>PRODUKSI</v>
      </c>
      <c r="C400" s="0" t="n">
        <f aca="false">MOD(A400-1,Pemetaan!$B$3*Pemetaan!$B$4)</f>
        <v>398</v>
      </c>
      <c r="D400" s="0" t="n">
        <f aca="false">INT(C400/Pemetaan!$B$4)</f>
        <v>15</v>
      </c>
      <c r="E400" s="0" t="n">
        <f aca="false">MOD(C400,Pemetaan!$B$4)</f>
        <v>23</v>
      </c>
      <c r="F400" s="0" t="n">
        <f aca="false">IF(B400="PRODUKSI",Pemetaan!$B$5,Pemetaan!$B$6)</f>
        <v>5</v>
      </c>
      <c r="G400" s="0" t="n">
        <f aca="false">F400+2+D400</f>
        <v>22</v>
      </c>
      <c r="H400" s="0" t="n">
        <f aca="false">Pemetaan!$B$2+E400</f>
        <v>28</v>
      </c>
      <c r="I400" s="0" t="str">
        <f aca="false">INDEX(Laporan!$A$1:$AZ$300,G400,1)</f>
        <v>Water Treatment</v>
      </c>
      <c r="J400" s="0" t="str">
        <f aca="false">INDEX(Laporan!$A$1:$AZ$300,G400,2)</f>
        <v>1,5 L</v>
      </c>
      <c r="K400" s="0" t="str">
        <f aca="false">INDEX(Laporan!$A$1:$AZ$300,G400,3)</f>
        <v>Shift 2</v>
      </c>
      <c r="L400" s="0" t="n">
        <f aca="false">INDEX(Laporan!$A$1:$AZ$300,G400,4)</f>
        <v>1</v>
      </c>
      <c r="M400" s="1" t="n">
        <f aca="false">DATE(Pemetaan!$B$1,VALUE(RIGHT(INDEX(Laporan!$A$1:$AZ$300,F400+1,H400),2)),VALUE(LEFT(INDEX(Laporan!$A$1:$AZ$300,F400+1,H400),2)))</f>
        <v>46114</v>
      </c>
      <c r="N400" s="0" t="n">
        <f aca="false">INDEX(Laporan!$A$1:$AZ$300,G400,H400)</f>
        <v>1515</v>
      </c>
      <c r="O400" s="0" t="n">
        <f aca="false">IF(N400="","",IFERROR(VALUE(SUBSTITUTE(SUBSTITUTE(N400," btl",""),".","")),""))</f>
        <v>1515</v>
      </c>
      <c r="P400" s="0" t="str">
        <f aca="false">IF(B400="PRODUKSI","produced","reject")</f>
        <v>produced</v>
      </c>
    </row>
    <row r="401" customFormat="false" ht="15" hidden="false" customHeight="false" outlineLevel="0" collapsed="false">
      <c r="A401" s="0" t="n">
        <v>400</v>
      </c>
      <c r="B401" s="0" t="str">
        <f aca="false">IF(A401&lt;=36*25,"PRODUKSI","REJECT")</f>
        <v>PRODUKSI</v>
      </c>
      <c r="C401" s="0" t="n">
        <f aca="false">MOD(A401-1,Pemetaan!$B$3*Pemetaan!$B$4)</f>
        <v>399</v>
      </c>
      <c r="D401" s="0" t="n">
        <f aca="false">INT(C401/Pemetaan!$B$4)</f>
        <v>15</v>
      </c>
      <c r="E401" s="0" t="n">
        <f aca="false">MOD(C401,Pemetaan!$B$4)</f>
        <v>24</v>
      </c>
      <c r="F401" s="0" t="n">
        <f aca="false">IF(B401="PRODUKSI",Pemetaan!$B$5,Pemetaan!$B$6)</f>
        <v>5</v>
      </c>
      <c r="G401" s="0" t="n">
        <f aca="false">F401+2+D401</f>
        <v>22</v>
      </c>
      <c r="H401" s="0" t="n">
        <f aca="false">Pemetaan!$B$2+E401</f>
        <v>29</v>
      </c>
      <c r="I401" s="0" t="str">
        <f aca="false">INDEX(Laporan!$A$1:$AZ$300,G401,1)</f>
        <v>Water Treatment</v>
      </c>
      <c r="J401" s="0" t="str">
        <f aca="false">INDEX(Laporan!$A$1:$AZ$300,G401,2)</f>
        <v>1,5 L</v>
      </c>
      <c r="K401" s="0" t="str">
        <f aca="false">INDEX(Laporan!$A$1:$AZ$300,G401,3)</f>
        <v>Shift 2</v>
      </c>
      <c r="L401" s="0" t="n">
        <f aca="false">INDEX(Laporan!$A$1:$AZ$300,G401,4)</f>
        <v>1</v>
      </c>
      <c r="M401" s="1" t="n">
        <f aca="false">DATE(Pemetaan!$B$1,VALUE(RIGHT(INDEX(Laporan!$A$1:$AZ$300,F401+1,H401),2)),VALUE(LEFT(INDEX(Laporan!$A$1:$AZ$300,F401+1,H401),2)))</f>
        <v>46115</v>
      </c>
      <c r="N401" s="0" t="n">
        <f aca="false">INDEX(Laporan!$A$1:$AZ$300,G401,H401)</f>
        <v>1387</v>
      </c>
      <c r="O401" s="0" t="n">
        <f aca="false">IF(N401="","",IFERROR(VALUE(SUBSTITUTE(SUBSTITUTE(N401," btl",""),".","")),""))</f>
        <v>1387</v>
      </c>
      <c r="P401" s="0" t="str">
        <f aca="false">IF(B401="PRODUKSI","produced","reject")</f>
        <v>produced</v>
      </c>
    </row>
    <row r="402" customFormat="false" ht="15" hidden="false" customHeight="false" outlineLevel="0" collapsed="false">
      <c r="A402" s="0" t="n">
        <v>401</v>
      </c>
      <c r="B402" s="0" t="str">
        <f aca="false">IF(A402&lt;=36*25,"PRODUKSI","REJECT")</f>
        <v>PRODUKSI</v>
      </c>
      <c r="C402" s="0" t="n">
        <f aca="false">MOD(A402-1,Pemetaan!$B$3*Pemetaan!$B$4)</f>
        <v>400</v>
      </c>
      <c r="D402" s="0" t="n">
        <f aca="false">INT(C402/Pemetaan!$B$4)</f>
        <v>16</v>
      </c>
      <c r="E402" s="0" t="n">
        <f aca="false">MOD(C402,Pemetaan!$B$4)</f>
        <v>0</v>
      </c>
      <c r="F402" s="0" t="n">
        <f aca="false">IF(B402="PRODUKSI",Pemetaan!$B$5,Pemetaan!$B$6)</f>
        <v>5</v>
      </c>
      <c r="G402" s="0" t="n">
        <f aca="false">F402+2+D402</f>
        <v>23</v>
      </c>
      <c r="H402" s="0" t="n">
        <f aca="false">Pemetaan!$B$2+E402</f>
        <v>5</v>
      </c>
      <c r="I402" s="0" t="str">
        <f aca="false">INDEX(Laporan!$A$1:$AZ$300,G402,1)</f>
        <v>Water Treatment</v>
      </c>
      <c r="J402" s="0" t="str">
        <f aca="false">INDEX(Laporan!$A$1:$AZ$300,G402,2)</f>
        <v>1,5 L</v>
      </c>
      <c r="K402" s="0" t="str">
        <f aca="false">INDEX(Laporan!$A$1:$AZ$300,G402,3)</f>
        <v>Shift 2</v>
      </c>
      <c r="L402" s="0" t="n">
        <f aca="false">INDEX(Laporan!$A$1:$AZ$300,G402,4)</f>
        <v>2</v>
      </c>
      <c r="M402" s="1" t="n">
        <f aca="false">DATE(Pemetaan!$B$1,VALUE(RIGHT(INDEX(Laporan!$A$1:$AZ$300,F402+1,H402),2)),VALUE(LEFT(INDEX(Laporan!$A$1:$AZ$300,F402+1,H402),2)))</f>
        <v>46083</v>
      </c>
      <c r="N402" s="0" t="n">
        <f aca="false">INDEX(Laporan!$A$1:$AZ$300,G402,H402)</f>
        <v>1337</v>
      </c>
      <c r="O402" s="0" t="n">
        <f aca="false">IF(N402="","",IFERROR(VALUE(SUBSTITUTE(SUBSTITUTE(N402," btl",""),".","")),""))</f>
        <v>1337</v>
      </c>
      <c r="P402" s="0" t="str">
        <f aca="false">IF(B402="PRODUKSI","produced","reject")</f>
        <v>produced</v>
      </c>
    </row>
    <row r="403" customFormat="false" ht="15" hidden="false" customHeight="false" outlineLevel="0" collapsed="false">
      <c r="A403" s="0" t="n">
        <v>402</v>
      </c>
      <c r="B403" s="0" t="str">
        <f aca="false">IF(A403&lt;=36*25,"PRODUKSI","REJECT")</f>
        <v>PRODUKSI</v>
      </c>
      <c r="C403" s="0" t="n">
        <f aca="false">MOD(A403-1,Pemetaan!$B$3*Pemetaan!$B$4)</f>
        <v>401</v>
      </c>
      <c r="D403" s="0" t="n">
        <f aca="false">INT(C403/Pemetaan!$B$4)</f>
        <v>16</v>
      </c>
      <c r="E403" s="0" t="n">
        <f aca="false">MOD(C403,Pemetaan!$B$4)</f>
        <v>1</v>
      </c>
      <c r="F403" s="0" t="n">
        <f aca="false">IF(B403="PRODUKSI",Pemetaan!$B$5,Pemetaan!$B$6)</f>
        <v>5</v>
      </c>
      <c r="G403" s="0" t="n">
        <f aca="false">F403+2+D403</f>
        <v>23</v>
      </c>
      <c r="H403" s="0" t="n">
        <f aca="false">Pemetaan!$B$2+E403</f>
        <v>6</v>
      </c>
      <c r="I403" s="0" t="str">
        <f aca="false">INDEX(Laporan!$A$1:$AZ$300,G403,1)</f>
        <v>Water Treatment</v>
      </c>
      <c r="J403" s="0" t="str">
        <f aca="false">INDEX(Laporan!$A$1:$AZ$300,G403,2)</f>
        <v>1,5 L</v>
      </c>
      <c r="K403" s="0" t="str">
        <f aca="false">INDEX(Laporan!$A$1:$AZ$300,G403,3)</f>
        <v>Shift 2</v>
      </c>
      <c r="L403" s="0" t="n">
        <f aca="false">INDEX(Laporan!$A$1:$AZ$300,G403,4)</f>
        <v>2</v>
      </c>
      <c r="M403" s="1" t="n">
        <f aca="false">DATE(Pemetaan!$B$1,VALUE(RIGHT(INDEX(Laporan!$A$1:$AZ$300,F403+1,H403),2)),VALUE(LEFT(INDEX(Laporan!$A$1:$AZ$300,F403+1,H403),2)))</f>
        <v>46084</v>
      </c>
      <c r="N403" s="0" t="n">
        <f aca="false">INDEX(Laporan!$A$1:$AZ$300,G403,H403)</f>
        <v>1443</v>
      </c>
      <c r="O403" s="0" t="n">
        <f aca="false">IF(N403="","",IFERROR(VALUE(SUBSTITUTE(SUBSTITUTE(N403," btl",""),".","")),""))</f>
        <v>1443</v>
      </c>
      <c r="P403" s="0" t="str">
        <f aca="false">IF(B403="PRODUKSI","produced","reject")</f>
        <v>produced</v>
      </c>
    </row>
    <row r="404" customFormat="false" ht="15" hidden="false" customHeight="false" outlineLevel="0" collapsed="false">
      <c r="A404" s="0" t="n">
        <v>403</v>
      </c>
      <c r="B404" s="0" t="str">
        <f aca="false">IF(A404&lt;=36*25,"PRODUKSI","REJECT")</f>
        <v>PRODUKSI</v>
      </c>
      <c r="C404" s="0" t="n">
        <f aca="false">MOD(A404-1,Pemetaan!$B$3*Pemetaan!$B$4)</f>
        <v>402</v>
      </c>
      <c r="D404" s="0" t="n">
        <f aca="false">INT(C404/Pemetaan!$B$4)</f>
        <v>16</v>
      </c>
      <c r="E404" s="0" t="n">
        <f aca="false">MOD(C404,Pemetaan!$B$4)</f>
        <v>2</v>
      </c>
      <c r="F404" s="0" t="n">
        <f aca="false">IF(B404="PRODUKSI",Pemetaan!$B$5,Pemetaan!$B$6)</f>
        <v>5</v>
      </c>
      <c r="G404" s="0" t="n">
        <f aca="false">F404+2+D404</f>
        <v>23</v>
      </c>
      <c r="H404" s="0" t="n">
        <f aca="false">Pemetaan!$B$2+E404</f>
        <v>7</v>
      </c>
      <c r="I404" s="0" t="str">
        <f aca="false">INDEX(Laporan!$A$1:$AZ$300,G404,1)</f>
        <v>Water Treatment</v>
      </c>
      <c r="J404" s="0" t="str">
        <f aca="false">INDEX(Laporan!$A$1:$AZ$300,G404,2)</f>
        <v>1,5 L</v>
      </c>
      <c r="K404" s="0" t="str">
        <f aca="false">INDEX(Laporan!$A$1:$AZ$300,G404,3)</f>
        <v>Shift 2</v>
      </c>
      <c r="L404" s="0" t="n">
        <f aca="false">INDEX(Laporan!$A$1:$AZ$300,G404,4)</f>
        <v>2</v>
      </c>
      <c r="M404" s="1" t="n">
        <f aca="false">DATE(Pemetaan!$B$1,VALUE(RIGHT(INDEX(Laporan!$A$1:$AZ$300,F404+1,H404),2)),VALUE(LEFT(INDEX(Laporan!$A$1:$AZ$300,F404+1,H404),2)))</f>
        <v>46085</v>
      </c>
      <c r="N404" s="0" t="n">
        <f aca="false">INDEX(Laporan!$A$1:$AZ$300,G404,H404)</f>
        <v>1557</v>
      </c>
      <c r="O404" s="0" t="n">
        <f aca="false">IF(N404="","",IFERROR(VALUE(SUBSTITUTE(SUBSTITUTE(N404," btl",""),".","")),""))</f>
        <v>1557</v>
      </c>
      <c r="P404" s="0" t="str">
        <f aca="false">IF(B404="PRODUKSI","produced","reject")</f>
        <v>produced</v>
      </c>
    </row>
    <row r="405" customFormat="false" ht="15" hidden="false" customHeight="false" outlineLevel="0" collapsed="false">
      <c r="A405" s="0" t="n">
        <v>404</v>
      </c>
      <c r="B405" s="0" t="str">
        <f aca="false">IF(A405&lt;=36*25,"PRODUKSI","REJECT")</f>
        <v>PRODUKSI</v>
      </c>
      <c r="C405" s="0" t="n">
        <f aca="false">MOD(A405-1,Pemetaan!$B$3*Pemetaan!$B$4)</f>
        <v>403</v>
      </c>
      <c r="D405" s="0" t="n">
        <f aca="false">INT(C405/Pemetaan!$B$4)</f>
        <v>16</v>
      </c>
      <c r="E405" s="0" t="n">
        <f aca="false">MOD(C405,Pemetaan!$B$4)</f>
        <v>3</v>
      </c>
      <c r="F405" s="0" t="n">
        <f aca="false">IF(B405="PRODUKSI",Pemetaan!$B$5,Pemetaan!$B$6)</f>
        <v>5</v>
      </c>
      <c r="G405" s="0" t="n">
        <f aca="false">F405+2+D405</f>
        <v>23</v>
      </c>
      <c r="H405" s="0" t="n">
        <f aca="false">Pemetaan!$B$2+E405</f>
        <v>8</v>
      </c>
      <c r="I405" s="0" t="str">
        <f aca="false">INDEX(Laporan!$A$1:$AZ$300,G405,1)</f>
        <v>Water Treatment</v>
      </c>
      <c r="J405" s="0" t="str">
        <f aca="false">INDEX(Laporan!$A$1:$AZ$300,G405,2)</f>
        <v>1,5 L</v>
      </c>
      <c r="K405" s="0" t="str">
        <f aca="false">INDEX(Laporan!$A$1:$AZ$300,G405,3)</f>
        <v>Shift 2</v>
      </c>
      <c r="L405" s="0" t="n">
        <f aca="false">INDEX(Laporan!$A$1:$AZ$300,G405,4)</f>
        <v>2</v>
      </c>
      <c r="M405" s="1" t="n">
        <f aca="false">DATE(Pemetaan!$B$1,VALUE(RIGHT(INDEX(Laporan!$A$1:$AZ$300,F405+1,H405),2)),VALUE(LEFT(INDEX(Laporan!$A$1:$AZ$300,F405+1,H405),2)))</f>
        <v>46086</v>
      </c>
      <c r="N405" s="0" t="n">
        <f aca="false">INDEX(Laporan!$A$1:$AZ$300,G405,H405)</f>
        <v>1589</v>
      </c>
      <c r="O405" s="0" t="n">
        <f aca="false">IF(N405="","",IFERROR(VALUE(SUBSTITUTE(SUBSTITUTE(N405," btl",""),".","")),""))</f>
        <v>1589</v>
      </c>
      <c r="P405" s="0" t="str">
        <f aca="false">IF(B405="PRODUKSI","produced","reject")</f>
        <v>produced</v>
      </c>
    </row>
    <row r="406" customFormat="false" ht="15" hidden="false" customHeight="false" outlineLevel="0" collapsed="false">
      <c r="A406" s="0" t="n">
        <v>405</v>
      </c>
      <c r="B406" s="0" t="str">
        <f aca="false">IF(A406&lt;=36*25,"PRODUKSI","REJECT")</f>
        <v>PRODUKSI</v>
      </c>
      <c r="C406" s="0" t="n">
        <f aca="false">MOD(A406-1,Pemetaan!$B$3*Pemetaan!$B$4)</f>
        <v>404</v>
      </c>
      <c r="D406" s="0" t="n">
        <f aca="false">INT(C406/Pemetaan!$B$4)</f>
        <v>16</v>
      </c>
      <c r="E406" s="0" t="n">
        <f aca="false">MOD(C406,Pemetaan!$B$4)</f>
        <v>4</v>
      </c>
      <c r="F406" s="0" t="n">
        <f aca="false">IF(B406="PRODUKSI",Pemetaan!$B$5,Pemetaan!$B$6)</f>
        <v>5</v>
      </c>
      <c r="G406" s="0" t="n">
        <f aca="false">F406+2+D406</f>
        <v>23</v>
      </c>
      <c r="H406" s="0" t="n">
        <f aca="false">Pemetaan!$B$2+E406</f>
        <v>9</v>
      </c>
      <c r="I406" s="0" t="str">
        <f aca="false">INDEX(Laporan!$A$1:$AZ$300,G406,1)</f>
        <v>Water Treatment</v>
      </c>
      <c r="J406" s="0" t="str">
        <f aca="false">INDEX(Laporan!$A$1:$AZ$300,G406,2)</f>
        <v>1,5 L</v>
      </c>
      <c r="K406" s="0" t="str">
        <f aca="false">INDEX(Laporan!$A$1:$AZ$300,G406,3)</f>
        <v>Shift 2</v>
      </c>
      <c r="L406" s="0" t="n">
        <f aca="false">INDEX(Laporan!$A$1:$AZ$300,G406,4)</f>
        <v>2</v>
      </c>
      <c r="M406" s="1" t="n">
        <f aca="false">DATE(Pemetaan!$B$1,VALUE(RIGHT(INDEX(Laporan!$A$1:$AZ$300,F406+1,H406),2)),VALUE(LEFT(INDEX(Laporan!$A$1:$AZ$300,F406+1,H406),2)))</f>
        <v>46087</v>
      </c>
      <c r="N406" s="0" t="n">
        <f aca="false">INDEX(Laporan!$A$1:$AZ$300,G406,H406)</f>
        <v>1463</v>
      </c>
      <c r="O406" s="0" t="n">
        <f aca="false">IF(N406="","",IFERROR(VALUE(SUBSTITUTE(SUBSTITUTE(N406," btl",""),".","")),""))</f>
        <v>1463</v>
      </c>
      <c r="P406" s="0" t="str">
        <f aca="false">IF(B406="PRODUKSI","produced","reject")</f>
        <v>produced</v>
      </c>
    </row>
    <row r="407" customFormat="false" ht="15" hidden="false" customHeight="false" outlineLevel="0" collapsed="false">
      <c r="A407" s="0" t="n">
        <v>406</v>
      </c>
      <c r="B407" s="0" t="str">
        <f aca="false">IF(A407&lt;=36*25,"PRODUKSI","REJECT")</f>
        <v>PRODUKSI</v>
      </c>
      <c r="C407" s="0" t="n">
        <f aca="false">MOD(A407-1,Pemetaan!$B$3*Pemetaan!$B$4)</f>
        <v>405</v>
      </c>
      <c r="D407" s="0" t="n">
        <f aca="false">INT(C407/Pemetaan!$B$4)</f>
        <v>16</v>
      </c>
      <c r="E407" s="0" t="n">
        <f aca="false">MOD(C407,Pemetaan!$B$4)</f>
        <v>5</v>
      </c>
      <c r="F407" s="0" t="n">
        <f aca="false">IF(B407="PRODUKSI",Pemetaan!$B$5,Pemetaan!$B$6)</f>
        <v>5</v>
      </c>
      <c r="G407" s="0" t="n">
        <f aca="false">F407+2+D407</f>
        <v>23</v>
      </c>
      <c r="H407" s="0" t="n">
        <f aca="false">Pemetaan!$B$2+E407</f>
        <v>10</v>
      </c>
      <c r="I407" s="0" t="str">
        <f aca="false">INDEX(Laporan!$A$1:$AZ$300,G407,1)</f>
        <v>Water Treatment</v>
      </c>
      <c r="J407" s="0" t="str">
        <f aca="false">INDEX(Laporan!$A$1:$AZ$300,G407,2)</f>
        <v>1,5 L</v>
      </c>
      <c r="K407" s="0" t="str">
        <f aca="false">INDEX(Laporan!$A$1:$AZ$300,G407,3)</f>
        <v>Shift 2</v>
      </c>
      <c r="L407" s="0" t="n">
        <f aca="false">INDEX(Laporan!$A$1:$AZ$300,G407,4)</f>
        <v>2</v>
      </c>
      <c r="M407" s="1" t="n">
        <f aca="false">DATE(Pemetaan!$B$1,VALUE(RIGHT(INDEX(Laporan!$A$1:$AZ$300,F407+1,H407),2)),VALUE(LEFT(INDEX(Laporan!$A$1:$AZ$300,F407+1,H407),2)))</f>
        <v>46090</v>
      </c>
      <c r="N407" s="0" t="n">
        <f aca="false">INDEX(Laporan!$A$1:$AZ$300,G407,H407)</f>
        <v>1617</v>
      </c>
      <c r="O407" s="0" t="n">
        <f aca="false">IF(N407="","",IFERROR(VALUE(SUBSTITUTE(SUBSTITUTE(N407," btl",""),".","")),""))</f>
        <v>1617</v>
      </c>
      <c r="P407" s="0" t="str">
        <f aca="false">IF(B407="PRODUKSI","produced","reject")</f>
        <v>produced</v>
      </c>
    </row>
    <row r="408" customFormat="false" ht="15" hidden="false" customHeight="false" outlineLevel="0" collapsed="false">
      <c r="A408" s="0" t="n">
        <v>407</v>
      </c>
      <c r="B408" s="0" t="str">
        <f aca="false">IF(A408&lt;=36*25,"PRODUKSI","REJECT")</f>
        <v>PRODUKSI</v>
      </c>
      <c r="C408" s="0" t="n">
        <f aca="false">MOD(A408-1,Pemetaan!$B$3*Pemetaan!$B$4)</f>
        <v>406</v>
      </c>
      <c r="D408" s="0" t="n">
        <f aca="false">INT(C408/Pemetaan!$B$4)</f>
        <v>16</v>
      </c>
      <c r="E408" s="0" t="n">
        <f aca="false">MOD(C408,Pemetaan!$B$4)</f>
        <v>6</v>
      </c>
      <c r="F408" s="0" t="n">
        <f aca="false">IF(B408="PRODUKSI",Pemetaan!$B$5,Pemetaan!$B$6)</f>
        <v>5</v>
      </c>
      <c r="G408" s="0" t="n">
        <f aca="false">F408+2+D408</f>
        <v>23</v>
      </c>
      <c r="H408" s="0" t="n">
        <f aca="false">Pemetaan!$B$2+E408</f>
        <v>11</v>
      </c>
      <c r="I408" s="0" t="str">
        <f aca="false">INDEX(Laporan!$A$1:$AZ$300,G408,1)</f>
        <v>Water Treatment</v>
      </c>
      <c r="J408" s="0" t="str">
        <f aca="false">INDEX(Laporan!$A$1:$AZ$300,G408,2)</f>
        <v>1,5 L</v>
      </c>
      <c r="K408" s="0" t="str">
        <f aca="false">INDEX(Laporan!$A$1:$AZ$300,G408,3)</f>
        <v>Shift 2</v>
      </c>
      <c r="L408" s="0" t="n">
        <f aca="false">INDEX(Laporan!$A$1:$AZ$300,G408,4)</f>
        <v>2</v>
      </c>
      <c r="M408" s="1" t="n">
        <f aca="false">DATE(Pemetaan!$B$1,VALUE(RIGHT(INDEX(Laporan!$A$1:$AZ$300,F408+1,H408),2)),VALUE(LEFT(INDEX(Laporan!$A$1:$AZ$300,F408+1,H408),2)))</f>
        <v>46091</v>
      </c>
      <c r="N408" s="0" t="str">
        <f aca="false">INDEX(Laporan!$A$1:$AZ$300,G408,H408)</f>
        <v>n/a</v>
      </c>
      <c r="O408" s="0" t="str">
        <f aca="false">IF(N408="","",IFERROR(VALUE(SUBSTITUTE(SUBSTITUTE(N408," btl",""),".","")),""))</f>
        <v/>
      </c>
      <c r="P408" s="0" t="str">
        <f aca="false">IF(B408="PRODUKSI","produced","reject")</f>
        <v>produced</v>
      </c>
    </row>
    <row r="409" customFormat="false" ht="15" hidden="false" customHeight="false" outlineLevel="0" collapsed="false">
      <c r="A409" s="0" t="n">
        <v>408</v>
      </c>
      <c r="B409" s="0" t="str">
        <f aca="false">IF(A409&lt;=36*25,"PRODUKSI","REJECT")</f>
        <v>PRODUKSI</v>
      </c>
      <c r="C409" s="0" t="n">
        <f aca="false">MOD(A409-1,Pemetaan!$B$3*Pemetaan!$B$4)</f>
        <v>407</v>
      </c>
      <c r="D409" s="0" t="n">
        <f aca="false">INT(C409/Pemetaan!$B$4)</f>
        <v>16</v>
      </c>
      <c r="E409" s="0" t="n">
        <f aca="false">MOD(C409,Pemetaan!$B$4)</f>
        <v>7</v>
      </c>
      <c r="F409" s="0" t="n">
        <f aca="false">IF(B409="PRODUKSI",Pemetaan!$B$5,Pemetaan!$B$6)</f>
        <v>5</v>
      </c>
      <c r="G409" s="0" t="n">
        <f aca="false">F409+2+D409</f>
        <v>23</v>
      </c>
      <c r="H409" s="0" t="n">
        <f aca="false">Pemetaan!$B$2+E409</f>
        <v>12</v>
      </c>
      <c r="I409" s="0" t="str">
        <f aca="false">INDEX(Laporan!$A$1:$AZ$300,G409,1)</f>
        <v>Water Treatment</v>
      </c>
      <c r="J409" s="0" t="str">
        <f aca="false">INDEX(Laporan!$A$1:$AZ$300,G409,2)</f>
        <v>1,5 L</v>
      </c>
      <c r="K409" s="0" t="str">
        <f aca="false">INDEX(Laporan!$A$1:$AZ$300,G409,3)</f>
        <v>Shift 2</v>
      </c>
      <c r="L409" s="0" t="n">
        <f aca="false">INDEX(Laporan!$A$1:$AZ$300,G409,4)</f>
        <v>2</v>
      </c>
      <c r="M409" s="1" t="n">
        <f aca="false">DATE(Pemetaan!$B$1,VALUE(RIGHT(INDEX(Laporan!$A$1:$AZ$300,F409+1,H409),2)),VALUE(LEFT(INDEX(Laporan!$A$1:$AZ$300,F409+1,H409),2)))</f>
        <v>46092</v>
      </c>
      <c r="N409" s="0" t="n">
        <f aca="false">INDEX(Laporan!$A$1:$AZ$300,G409,H409)</f>
        <v>1549</v>
      </c>
      <c r="O409" s="0" t="n">
        <f aca="false">IF(N409="","",IFERROR(VALUE(SUBSTITUTE(SUBSTITUTE(N409," btl",""),".","")),""))</f>
        <v>1549</v>
      </c>
      <c r="P409" s="0" t="str">
        <f aca="false">IF(B409="PRODUKSI","produced","reject")</f>
        <v>produced</v>
      </c>
    </row>
    <row r="410" customFormat="false" ht="15" hidden="false" customHeight="false" outlineLevel="0" collapsed="false">
      <c r="A410" s="0" t="n">
        <v>409</v>
      </c>
      <c r="B410" s="0" t="str">
        <f aca="false">IF(A410&lt;=36*25,"PRODUKSI","REJECT")</f>
        <v>PRODUKSI</v>
      </c>
      <c r="C410" s="0" t="n">
        <f aca="false">MOD(A410-1,Pemetaan!$B$3*Pemetaan!$B$4)</f>
        <v>408</v>
      </c>
      <c r="D410" s="0" t="n">
        <f aca="false">INT(C410/Pemetaan!$B$4)</f>
        <v>16</v>
      </c>
      <c r="E410" s="0" t="n">
        <f aca="false">MOD(C410,Pemetaan!$B$4)</f>
        <v>8</v>
      </c>
      <c r="F410" s="0" t="n">
        <f aca="false">IF(B410="PRODUKSI",Pemetaan!$B$5,Pemetaan!$B$6)</f>
        <v>5</v>
      </c>
      <c r="G410" s="0" t="n">
        <f aca="false">F410+2+D410</f>
        <v>23</v>
      </c>
      <c r="H410" s="0" t="n">
        <f aca="false">Pemetaan!$B$2+E410</f>
        <v>13</v>
      </c>
      <c r="I410" s="0" t="str">
        <f aca="false">INDEX(Laporan!$A$1:$AZ$300,G410,1)</f>
        <v>Water Treatment</v>
      </c>
      <c r="J410" s="0" t="str">
        <f aca="false">INDEX(Laporan!$A$1:$AZ$300,G410,2)</f>
        <v>1,5 L</v>
      </c>
      <c r="K410" s="0" t="str">
        <f aca="false">INDEX(Laporan!$A$1:$AZ$300,G410,3)</f>
        <v>Shift 2</v>
      </c>
      <c r="L410" s="0" t="n">
        <f aca="false">INDEX(Laporan!$A$1:$AZ$300,G410,4)</f>
        <v>2</v>
      </c>
      <c r="M410" s="1" t="n">
        <f aca="false">DATE(Pemetaan!$B$1,VALUE(RIGHT(INDEX(Laporan!$A$1:$AZ$300,F410+1,H410),2)),VALUE(LEFT(INDEX(Laporan!$A$1:$AZ$300,F410+1,H410),2)))</f>
        <v>46093</v>
      </c>
      <c r="N410" s="0" t="n">
        <f aca="false">INDEX(Laporan!$A$1:$AZ$300,G410,H410)</f>
        <v>1582</v>
      </c>
      <c r="O410" s="0" t="n">
        <f aca="false">IF(N410="","",IFERROR(VALUE(SUBSTITUTE(SUBSTITUTE(N410," btl",""),".","")),""))</f>
        <v>1582</v>
      </c>
      <c r="P410" s="0" t="str">
        <f aca="false">IF(B410="PRODUKSI","produced","reject")</f>
        <v>produced</v>
      </c>
    </row>
    <row r="411" customFormat="false" ht="15" hidden="false" customHeight="false" outlineLevel="0" collapsed="false">
      <c r="A411" s="0" t="n">
        <v>410</v>
      </c>
      <c r="B411" s="0" t="str">
        <f aca="false">IF(A411&lt;=36*25,"PRODUKSI","REJECT")</f>
        <v>PRODUKSI</v>
      </c>
      <c r="C411" s="0" t="n">
        <f aca="false">MOD(A411-1,Pemetaan!$B$3*Pemetaan!$B$4)</f>
        <v>409</v>
      </c>
      <c r="D411" s="0" t="n">
        <f aca="false">INT(C411/Pemetaan!$B$4)</f>
        <v>16</v>
      </c>
      <c r="E411" s="0" t="n">
        <f aca="false">MOD(C411,Pemetaan!$B$4)</f>
        <v>9</v>
      </c>
      <c r="F411" s="0" t="n">
        <f aca="false">IF(B411="PRODUKSI",Pemetaan!$B$5,Pemetaan!$B$6)</f>
        <v>5</v>
      </c>
      <c r="G411" s="0" t="n">
        <f aca="false">F411+2+D411</f>
        <v>23</v>
      </c>
      <c r="H411" s="0" t="n">
        <f aca="false">Pemetaan!$B$2+E411</f>
        <v>14</v>
      </c>
      <c r="I411" s="0" t="str">
        <f aca="false">INDEX(Laporan!$A$1:$AZ$300,G411,1)</f>
        <v>Water Treatment</v>
      </c>
      <c r="J411" s="0" t="str">
        <f aca="false">INDEX(Laporan!$A$1:$AZ$300,G411,2)</f>
        <v>1,5 L</v>
      </c>
      <c r="K411" s="0" t="str">
        <f aca="false">INDEX(Laporan!$A$1:$AZ$300,G411,3)</f>
        <v>Shift 2</v>
      </c>
      <c r="L411" s="0" t="n">
        <f aca="false">INDEX(Laporan!$A$1:$AZ$300,G411,4)</f>
        <v>2</v>
      </c>
      <c r="M411" s="1" t="n">
        <f aca="false">DATE(Pemetaan!$B$1,VALUE(RIGHT(INDEX(Laporan!$A$1:$AZ$300,F411+1,H411),2)),VALUE(LEFT(INDEX(Laporan!$A$1:$AZ$300,F411+1,H411),2)))</f>
        <v>46094</v>
      </c>
      <c r="N411" s="0" t="n">
        <f aca="false">INDEX(Laporan!$A$1:$AZ$300,G411,H411)</f>
        <v>1453</v>
      </c>
      <c r="O411" s="0" t="n">
        <f aca="false">IF(N411="","",IFERROR(VALUE(SUBSTITUTE(SUBSTITUTE(N411," btl",""),".","")),""))</f>
        <v>1453</v>
      </c>
      <c r="P411" s="0" t="str">
        <f aca="false">IF(B411="PRODUKSI","produced","reject")</f>
        <v>produced</v>
      </c>
    </row>
    <row r="412" customFormat="false" ht="15" hidden="false" customHeight="false" outlineLevel="0" collapsed="false">
      <c r="A412" s="0" t="n">
        <v>411</v>
      </c>
      <c r="B412" s="0" t="str">
        <f aca="false">IF(A412&lt;=36*25,"PRODUKSI","REJECT")</f>
        <v>PRODUKSI</v>
      </c>
      <c r="C412" s="0" t="n">
        <f aca="false">MOD(A412-1,Pemetaan!$B$3*Pemetaan!$B$4)</f>
        <v>410</v>
      </c>
      <c r="D412" s="0" t="n">
        <f aca="false">INT(C412/Pemetaan!$B$4)</f>
        <v>16</v>
      </c>
      <c r="E412" s="0" t="n">
        <f aca="false">MOD(C412,Pemetaan!$B$4)</f>
        <v>10</v>
      </c>
      <c r="F412" s="0" t="n">
        <f aca="false">IF(B412="PRODUKSI",Pemetaan!$B$5,Pemetaan!$B$6)</f>
        <v>5</v>
      </c>
      <c r="G412" s="0" t="n">
        <f aca="false">F412+2+D412</f>
        <v>23</v>
      </c>
      <c r="H412" s="0" t="n">
        <f aca="false">Pemetaan!$B$2+E412</f>
        <v>15</v>
      </c>
      <c r="I412" s="0" t="str">
        <f aca="false">INDEX(Laporan!$A$1:$AZ$300,G412,1)</f>
        <v>Water Treatment</v>
      </c>
      <c r="J412" s="0" t="str">
        <f aca="false">INDEX(Laporan!$A$1:$AZ$300,G412,2)</f>
        <v>1,5 L</v>
      </c>
      <c r="K412" s="0" t="str">
        <f aca="false">INDEX(Laporan!$A$1:$AZ$300,G412,3)</f>
        <v>Shift 2</v>
      </c>
      <c r="L412" s="0" t="n">
        <f aca="false">INDEX(Laporan!$A$1:$AZ$300,G412,4)</f>
        <v>2</v>
      </c>
      <c r="M412" s="1" t="n">
        <f aca="false">DATE(Pemetaan!$B$1,VALUE(RIGHT(INDEX(Laporan!$A$1:$AZ$300,F412+1,H412),2)),VALUE(LEFT(INDEX(Laporan!$A$1:$AZ$300,F412+1,H412),2)))</f>
        <v>46097</v>
      </c>
      <c r="N412" s="0" t="n">
        <f aca="false">INDEX(Laporan!$A$1:$AZ$300,G412,H412)</f>
        <v>1503</v>
      </c>
      <c r="O412" s="0" t="n">
        <f aca="false">IF(N412="","",IFERROR(VALUE(SUBSTITUTE(SUBSTITUTE(N412," btl",""),".","")),""))</f>
        <v>1503</v>
      </c>
      <c r="P412" s="0" t="str">
        <f aca="false">IF(B412="PRODUKSI","produced","reject")</f>
        <v>produced</v>
      </c>
    </row>
    <row r="413" customFormat="false" ht="15" hidden="false" customHeight="false" outlineLevel="0" collapsed="false">
      <c r="A413" s="0" t="n">
        <v>412</v>
      </c>
      <c r="B413" s="0" t="str">
        <f aca="false">IF(A413&lt;=36*25,"PRODUKSI","REJECT")</f>
        <v>PRODUKSI</v>
      </c>
      <c r="C413" s="0" t="n">
        <f aca="false">MOD(A413-1,Pemetaan!$B$3*Pemetaan!$B$4)</f>
        <v>411</v>
      </c>
      <c r="D413" s="0" t="n">
        <f aca="false">INT(C413/Pemetaan!$B$4)</f>
        <v>16</v>
      </c>
      <c r="E413" s="0" t="n">
        <f aca="false">MOD(C413,Pemetaan!$B$4)</f>
        <v>11</v>
      </c>
      <c r="F413" s="0" t="n">
        <f aca="false">IF(B413="PRODUKSI",Pemetaan!$B$5,Pemetaan!$B$6)</f>
        <v>5</v>
      </c>
      <c r="G413" s="0" t="n">
        <f aca="false">F413+2+D413</f>
        <v>23</v>
      </c>
      <c r="H413" s="0" t="n">
        <f aca="false">Pemetaan!$B$2+E413</f>
        <v>16</v>
      </c>
      <c r="I413" s="0" t="str">
        <f aca="false">INDEX(Laporan!$A$1:$AZ$300,G413,1)</f>
        <v>Water Treatment</v>
      </c>
      <c r="J413" s="0" t="str">
        <f aca="false">INDEX(Laporan!$A$1:$AZ$300,G413,2)</f>
        <v>1,5 L</v>
      </c>
      <c r="K413" s="0" t="str">
        <f aca="false">INDEX(Laporan!$A$1:$AZ$300,G413,3)</f>
        <v>Shift 2</v>
      </c>
      <c r="L413" s="0" t="n">
        <f aca="false">INDEX(Laporan!$A$1:$AZ$300,G413,4)</f>
        <v>2</v>
      </c>
      <c r="M413" s="1" t="n">
        <f aca="false">DATE(Pemetaan!$B$1,VALUE(RIGHT(INDEX(Laporan!$A$1:$AZ$300,F413+1,H413),2)),VALUE(LEFT(INDEX(Laporan!$A$1:$AZ$300,F413+1,H413),2)))</f>
        <v>46098</v>
      </c>
      <c r="N413" s="0" t="n">
        <f aca="false">INDEX(Laporan!$A$1:$AZ$300,G413,H413)</f>
        <v>1625</v>
      </c>
      <c r="O413" s="0" t="n">
        <f aca="false">IF(N413="","",IFERROR(VALUE(SUBSTITUTE(SUBSTITUTE(N413," btl",""),".","")),""))</f>
        <v>1625</v>
      </c>
      <c r="P413" s="0" t="str">
        <f aca="false">IF(B413="PRODUKSI","produced","reject")</f>
        <v>produced</v>
      </c>
    </row>
    <row r="414" customFormat="false" ht="15" hidden="false" customHeight="false" outlineLevel="0" collapsed="false">
      <c r="A414" s="0" t="n">
        <v>413</v>
      </c>
      <c r="B414" s="0" t="str">
        <f aca="false">IF(A414&lt;=36*25,"PRODUKSI","REJECT")</f>
        <v>PRODUKSI</v>
      </c>
      <c r="C414" s="0" t="n">
        <f aca="false">MOD(A414-1,Pemetaan!$B$3*Pemetaan!$B$4)</f>
        <v>412</v>
      </c>
      <c r="D414" s="0" t="n">
        <f aca="false">INT(C414/Pemetaan!$B$4)</f>
        <v>16</v>
      </c>
      <c r="E414" s="0" t="n">
        <f aca="false">MOD(C414,Pemetaan!$B$4)</f>
        <v>12</v>
      </c>
      <c r="F414" s="0" t="n">
        <f aca="false">IF(B414="PRODUKSI",Pemetaan!$B$5,Pemetaan!$B$6)</f>
        <v>5</v>
      </c>
      <c r="G414" s="0" t="n">
        <f aca="false">F414+2+D414</f>
        <v>23</v>
      </c>
      <c r="H414" s="0" t="n">
        <f aca="false">Pemetaan!$B$2+E414</f>
        <v>17</v>
      </c>
      <c r="I414" s="0" t="str">
        <f aca="false">INDEX(Laporan!$A$1:$AZ$300,G414,1)</f>
        <v>Water Treatment</v>
      </c>
      <c r="J414" s="0" t="str">
        <f aca="false">INDEX(Laporan!$A$1:$AZ$300,G414,2)</f>
        <v>1,5 L</v>
      </c>
      <c r="K414" s="0" t="str">
        <f aca="false">INDEX(Laporan!$A$1:$AZ$300,G414,3)</f>
        <v>Shift 2</v>
      </c>
      <c r="L414" s="0" t="n">
        <f aca="false">INDEX(Laporan!$A$1:$AZ$300,G414,4)</f>
        <v>2</v>
      </c>
      <c r="M414" s="1" t="n">
        <f aca="false">DATE(Pemetaan!$B$1,VALUE(RIGHT(INDEX(Laporan!$A$1:$AZ$300,F414+1,H414),2)),VALUE(LEFT(INDEX(Laporan!$A$1:$AZ$300,F414+1,H414),2)))</f>
        <v>46099</v>
      </c>
      <c r="N414" s="0" t="n">
        <f aca="false">INDEX(Laporan!$A$1:$AZ$300,G414,H414)</f>
        <v>1517</v>
      </c>
      <c r="O414" s="0" t="n">
        <f aca="false">IF(N414="","",IFERROR(VALUE(SUBSTITUTE(SUBSTITUTE(N414," btl",""),".","")),""))</f>
        <v>1517</v>
      </c>
      <c r="P414" s="0" t="str">
        <f aca="false">IF(B414="PRODUKSI","produced","reject")</f>
        <v>produced</v>
      </c>
    </row>
    <row r="415" customFormat="false" ht="15" hidden="false" customHeight="false" outlineLevel="0" collapsed="false">
      <c r="A415" s="0" t="n">
        <v>414</v>
      </c>
      <c r="B415" s="0" t="str">
        <f aca="false">IF(A415&lt;=36*25,"PRODUKSI","REJECT")</f>
        <v>PRODUKSI</v>
      </c>
      <c r="C415" s="0" t="n">
        <f aca="false">MOD(A415-1,Pemetaan!$B$3*Pemetaan!$B$4)</f>
        <v>413</v>
      </c>
      <c r="D415" s="0" t="n">
        <f aca="false">INT(C415/Pemetaan!$B$4)</f>
        <v>16</v>
      </c>
      <c r="E415" s="0" t="n">
        <f aca="false">MOD(C415,Pemetaan!$B$4)</f>
        <v>13</v>
      </c>
      <c r="F415" s="0" t="n">
        <f aca="false">IF(B415="PRODUKSI",Pemetaan!$B$5,Pemetaan!$B$6)</f>
        <v>5</v>
      </c>
      <c r="G415" s="0" t="n">
        <f aca="false">F415+2+D415</f>
        <v>23</v>
      </c>
      <c r="H415" s="0" t="n">
        <f aca="false">Pemetaan!$B$2+E415</f>
        <v>18</v>
      </c>
      <c r="I415" s="0" t="str">
        <f aca="false">INDEX(Laporan!$A$1:$AZ$300,G415,1)</f>
        <v>Water Treatment</v>
      </c>
      <c r="J415" s="0" t="str">
        <f aca="false">INDEX(Laporan!$A$1:$AZ$300,G415,2)</f>
        <v>1,5 L</v>
      </c>
      <c r="K415" s="0" t="str">
        <f aca="false">INDEX(Laporan!$A$1:$AZ$300,G415,3)</f>
        <v>Shift 2</v>
      </c>
      <c r="L415" s="0" t="n">
        <f aca="false">INDEX(Laporan!$A$1:$AZ$300,G415,4)</f>
        <v>2</v>
      </c>
      <c r="M415" s="1" t="n">
        <f aca="false">DATE(Pemetaan!$B$1,VALUE(RIGHT(INDEX(Laporan!$A$1:$AZ$300,F415+1,H415),2)),VALUE(LEFT(INDEX(Laporan!$A$1:$AZ$300,F415+1,H415),2)))</f>
        <v>46100</v>
      </c>
      <c r="N415" s="0" t="n">
        <f aca="false">INDEX(Laporan!$A$1:$AZ$300,G415,H415)</f>
        <v>1590</v>
      </c>
      <c r="O415" s="0" t="n">
        <f aca="false">IF(N415="","",IFERROR(VALUE(SUBSTITUTE(SUBSTITUTE(N415," btl",""),".","")),""))</f>
        <v>1590</v>
      </c>
      <c r="P415" s="0" t="str">
        <f aca="false">IF(B415="PRODUKSI","produced","reject")</f>
        <v>produced</v>
      </c>
    </row>
    <row r="416" customFormat="false" ht="15" hidden="false" customHeight="false" outlineLevel="0" collapsed="false">
      <c r="A416" s="0" t="n">
        <v>415</v>
      </c>
      <c r="B416" s="0" t="str">
        <f aca="false">IF(A416&lt;=36*25,"PRODUKSI","REJECT")</f>
        <v>PRODUKSI</v>
      </c>
      <c r="C416" s="0" t="n">
        <f aca="false">MOD(A416-1,Pemetaan!$B$3*Pemetaan!$B$4)</f>
        <v>414</v>
      </c>
      <c r="D416" s="0" t="n">
        <f aca="false">INT(C416/Pemetaan!$B$4)</f>
        <v>16</v>
      </c>
      <c r="E416" s="0" t="n">
        <f aca="false">MOD(C416,Pemetaan!$B$4)</f>
        <v>14</v>
      </c>
      <c r="F416" s="0" t="n">
        <f aca="false">IF(B416="PRODUKSI",Pemetaan!$B$5,Pemetaan!$B$6)</f>
        <v>5</v>
      </c>
      <c r="G416" s="0" t="n">
        <f aca="false">F416+2+D416</f>
        <v>23</v>
      </c>
      <c r="H416" s="0" t="n">
        <f aca="false">Pemetaan!$B$2+E416</f>
        <v>19</v>
      </c>
      <c r="I416" s="0" t="str">
        <f aca="false">INDEX(Laporan!$A$1:$AZ$300,G416,1)</f>
        <v>Water Treatment</v>
      </c>
      <c r="J416" s="0" t="str">
        <f aca="false">INDEX(Laporan!$A$1:$AZ$300,G416,2)</f>
        <v>1,5 L</v>
      </c>
      <c r="K416" s="0" t="str">
        <f aca="false">INDEX(Laporan!$A$1:$AZ$300,G416,3)</f>
        <v>Shift 2</v>
      </c>
      <c r="L416" s="0" t="n">
        <f aca="false">INDEX(Laporan!$A$1:$AZ$300,G416,4)</f>
        <v>2</v>
      </c>
      <c r="M416" s="1" t="n">
        <f aca="false">DATE(Pemetaan!$B$1,VALUE(RIGHT(INDEX(Laporan!$A$1:$AZ$300,F416+1,H416),2)),VALUE(LEFT(INDEX(Laporan!$A$1:$AZ$300,F416+1,H416),2)))</f>
        <v>46101</v>
      </c>
      <c r="N416" s="0" t="n">
        <f aca="false">INDEX(Laporan!$A$1:$AZ$300,G416,H416)</f>
        <v>1619</v>
      </c>
      <c r="O416" s="0" t="n">
        <f aca="false">IF(N416="","",IFERROR(VALUE(SUBSTITUTE(SUBSTITUTE(N416," btl",""),".","")),""))</f>
        <v>1619</v>
      </c>
      <c r="P416" s="0" t="str">
        <f aca="false">IF(B416="PRODUKSI","produced","reject")</f>
        <v>produced</v>
      </c>
    </row>
    <row r="417" customFormat="false" ht="15" hidden="false" customHeight="false" outlineLevel="0" collapsed="false">
      <c r="A417" s="0" t="n">
        <v>416</v>
      </c>
      <c r="B417" s="0" t="str">
        <f aca="false">IF(A417&lt;=36*25,"PRODUKSI","REJECT")</f>
        <v>PRODUKSI</v>
      </c>
      <c r="C417" s="0" t="n">
        <f aca="false">MOD(A417-1,Pemetaan!$B$3*Pemetaan!$B$4)</f>
        <v>415</v>
      </c>
      <c r="D417" s="0" t="n">
        <f aca="false">INT(C417/Pemetaan!$B$4)</f>
        <v>16</v>
      </c>
      <c r="E417" s="0" t="n">
        <f aca="false">MOD(C417,Pemetaan!$B$4)</f>
        <v>15</v>
      </c>
      <c r="F417" s="0" t="n">
        <f aca="false">IF(B417="PRODUKSI",Pemetaan!$B$5,Pemetaan!$B$6)</f>
        <v>5</v>
      </c>
      <c r="G417" s="0" t="n">
        <f aca="false">F417+2+D417</f>
        <v>23</v>
      </c>
      <c r="H417" s="0" t="n">
        <f aca="false">Pemetaan!$B$2+E417</f>
        <v>20</v>
      </c>
      <c r="I417" s="0" t="str">
        <f aca="false">INDEX(Laporan!$A$1:$AZ$300,G417,1)</f>
        <v>Water Treatment</v>
      </c>
      <c r="J417" s="0" t="str">
        <f aca="false">INDEX(Laporan!$A$1:$AZ$300,G417,2)</f>
        <v>1,5 L</v>
      </c>
      <c r="K417" s="0" t="str">
        <f aca="false">INDEX(Laporan!$A$1:$AZ$300,G417,3)</f>
        <v>Shift 2</v>
      </c>
      <c r="L417" s="0" t="n">
        <f aca="false">INDEX(Laporan!$A$1:$AZ$300,G417,4)</f>
        <v>2</v>
      </c>
      <c r="M417" s="1" t="n">
        <f aca="false">DATE(Pemetaan!$B$1,VALUE(RIGHT(INDEX(Laporan!$A$1:$AZ$300,F417+1,H417),2)),VALUE(LEFT(INDEX(Laporan!$A$1:$AZ$300,F417+1,H417),2)))</f>
        <v>46104</v>
      </c>
      <c r="N417" s="0" t="n">
        <f aca="false">INDEX(Laporan!$A$1:$AZ$300,G417,H417)</f>
        <v>1621</v>
      </c>
      <c r="O417" s="0" t="n">
        <f aca="false">IF(N417="","",IFERROR(VALUE(SUBSTITUTE(SUBSTITUTE(N417," btl",""),".","")),""))</f>
        <v>1621</v>
      </c>
      <c r="P417" s="0" t="str">
        <f aca="false">IF(B417="PRODUKSI","produced","reject")</f>
        <v>produced</v>
      </c>
    </row>
    <row r="418" customFormat="false" ht="15" hidden="false" customHeight="false" outlineLevel="0" collapsed="false">
      <c r="A418" s="0" t="n">
        <v>417</v>
      </c>
      <c r="B418" s="0" t="str">
        <f aca="false">IF(A418&lt;=36*25,"PRODUKSI","REJECT")</f>
        <v>PRODUKSI</v>
      </c>
      <c r="C418" s="0" t="n">
        <f aca="false">MOD(A418-1,Pemetaan!$B$3*Pemetaan!$B$4)</f>
        <v>416</v>
      </c>
      <c r="D418" s="0" t="n">
        <f aca="false">INT(C418/Pemetaan!$B$4)</f>
        <v>16</v>
      </c>
      <c r="E418" s="0" t="n">
        <f aca="false">MOD(C418,Pemetaan!$B$4)</f>
        <v>16</v>
      </c>
      <c r="F418" s="0" t="n">
        <f aca="false">IF(B418="PRODUKSI",Pemetaan!$B$5,Pemetaan!$B$6)</f>
        <v>5</v>
      </c>
      <c r="G418" s="0" t="n">
        <f aca="false">F418+2+D418</f>
        <v>23</v>
      </c>
      <c r="H418" s="0" t="n">
        <f aca="false">Pemetaan!$B$2+E418</f>
        <v>21</v>
      </c>
      <c r="I418" s="0" t="str">
        <f aca="false">INDEX(Laporan!$A$1:$AZ$300,G418,1)</f>
        <v>Water Treatment</v>
      </c>
      <c r="J418" s="0" t="str">
        <f aca="false">INDEX(Laporan!$A$1:$AZ$300,G418,2)</f>
        <v>1,5 L</v>
      </c>
      <c r="K418" s="0" t="str">
        <f aca="false">INDEX(Laporan!$A$1:$AZ$300,G418,3)</f>
        <v>Shift 2</v>
      </c>
      <c r="L418" s="0" t="n">
        <f aca="false">INDEX(Laporan!$A$1:$AZ$300,G418,4)</f>
        <v>2</v>
      </c>
      <c r="M418" s="1" t="n">
        <f aca="false">DATE(Pemetaan!$B$1,VALUE(RIGHT(INDEX(Laporan!$A$1:$AZ$300,F418+1,H418),2)),VALUE(LEFT(INDEX(Laporan!$A$1:$AZ$300,F418+1,H418),2)))</f>
        <v>46105</v>
      </c>
      <c r="N418" s="0" t="n">
        <f aca="false">INDEX(Laporan!$A$1:$AZ$300,G418,H418)</f>
        <v>1595</v>
      </c>
      <c r="O418" s="0" t="n">
        <f aca="false">IF(N418="","",IFERROR(VALUE(SUBSTITUTE(SUBSTITUTE(N418," btl",""),".","")),""))</f>
        <v>1595</v>
      </c>
      <c r="P418" s="0" t="str">
        <f aca="false">IF(B418="PRODUKSI","produced","reject")</f>
        <v>produced</v>
      </c>
    </row>
    <row r="419" customFormat="false" ht="15" hidden="false" customHeight="false" outlineLevel="0" collapsed="false">
      <c r="A419" s="0" t="n">
        <v>418</v>
      </c>
      <c r="B419" s="0" t="str">
        <f aca="false">IF(A419&lt;=36*25,"PRODUKSI","REJECT")</f>
        <v>PRODUKSI</v>
      </c>
      <c r="C419" s="0" t="n">
        <f aca="false">MOD(A419-1,Pemetaan!$B$3*Pemetaan!$B$4)</f>
        <v>417</v>
      </c>
      <c r="D419" s="0" t="n">
        <f aca="false">INT(C419/Pemetaan!$B$4)</f>
        <v>16</v>
      </c>
      <c r="E419" s="0" t="n">
        <f aca="false">MOD(C419,Pemetaan!$B$4)</f>
        <v>17</v>
      </c>
      <c r="F419" s="0" t="n">
        <f aca="false">IF(B419="PRODUKSI",Pemetaan!$B$5,Pemetaan!$B$6)</f>
        <v>5</v>
      </c>
      <c r="G419" s="0" t="n">
        <f aca="false">F419+2+D419</f>
        <v>23</v>
      </c>
      <c r="H419" s="0" t="n">
        <f aca="false">Pemetaan!$B$2+E419</f>
        <v>22</v>
      </c>
      <c r="I419" s="0" t="str">
        <f aca="false">INDEX(Laporan!$A$1:$AZ$300,G419,1)</f>
        <v>Water Treatment</v>
      </c>
      <c r="J419" s="0" t="str">
        <f aca="false">INDEX(Laporan!$A$1:$AZ$300,G419,2)</f>
        <v>1,5 L</v>
      </c>
      <c r="K419" s="0" t="str">
        <f aca="false">INDEX(Laporan!$A$1:$AZ$300,G419,3)</f>
        <v>Shift 2</v>
      </c>
      <c r="L419" s="0" t="n">
        <f aca="false">INDEX(Laporan!$A$1:$AZ$300,G419,4)</f>
        <v>2</v>
      </c>
      <c r="M419" s="1" t="n">
        <f aca="false">DATE(Pemetaan!$B$1,VALUE(RIGHT(INDEX(Laporan!$A$1:$AZ$300,F419+1,H419),2)),VALUE(LEFT(INDEX(Laporan!$A$1:$AZ$300,F419+1,H419),2)))</f>
        <v>46106</v>
      </c>
      <c r="N419" s="0" t="n">
        <f aca="false">INDEX(Laporan!$A$1:$AZ$300,G419,H419)</f>
        <v>1398</v>
      </c>
      <c r="O419" s="0" t="n">
        <f aca="false">IF(N419="","",IFERROR(VALUE(SUBSTITUTE(SUBSTITUTE(N419," btl",""),".","")),""))</f>
        <v>1398</v>
      </c>
      <c r="P419" s="0" t="str">
        <f aca="false">IF(B419="PRODUKSI","produced","reject")</f>
        <v>produced</v>
      </c>
    </row>
    <row r="420" customFormat="false" ht="15" hidden="false" customHeight="false" outlineLevel="0" collapsed="false">
      <c r="A420" s="0" t="n">
        <v>419</v>
      </c>
      <c r="B420" s="0" t="str">
        <f aca="false">IF(A420&lt;=36*25,"PRODUKSI","REJECT")</f>
        <v>PRODUKSI</v>
      </c>
      <c r="C420" s="0" t="n">
        <f aca="false">MOD(A420-1,Pemetaan!$B$3*Pemetaan!$B$4)</f>
        <v>418</v>
      </c>
      <c r="D420" s="0" t="n">
        <f aca="false">INT(C420/Pemetaan!$B$4)</f>
        <v>16</v>
      </c>
      <c r="E420" s="0" t="n">
        <f aca="false">MOD(C420,Pemetaan!$B$4)</f>
        <v>18</v>
      </c>
      <c r="F420" s="0" t="n">
        <f aca="false">IF(B420="PRODUKSI",Pemetaan!$B$5,Pemetaan!$B$6)</f>
        <v>5</v>
      </c>
      <c r="G420" s="0" t="n">
        <f aca="false">F420+2+D420</f>
        <v>23</v>
      </c>
      <c r="H420" s="0" t="n">
        <f aca="false">Pemetaan!$B$2+E420</f>
        <v>23</v>
      </c>
      <c r="I420" s="0" t="str">
        <f aca="false">INDEX(Laporan!$A$1:$AZ$300,G420,1)</f>
        <v>Water Treatment</v>
      </c>
      <c r="J420" s="0" t="str">
        <f aca="false">INDEX(Laporan!$A$1:$AZ$300,G420,2)</f>
        <v>1,5 L</v>
      </c>
      <c r="K420" s="0" t="str">
        <f aca="false">INDEX(Laporan!$A$1:$AZ$300,G420,3)</f>
        <v>Shift 2</v>
      </c>
      <c r="L420" s="0" t="n">
        <f aca="false">INDEX(Laporan!$A$1:$AZ$300,G420,4)</f>
        <v>2</v>
      </c>
      <c r="M420" s="1" t="n">
        <f aca="false">DATE(Pemetaan!$B$1,VALUE(RIGHT(INDEX(Laporan!$A$1:$AZ$300,F420+1,H420),2)),VALUE(LEFT(INDEX(Laporan!$A$1:$AZ$300,F420+1,H420),2)))</f>
        <v>46107</v>
      </c>
      <c r="N420" s="0" t="n">
        <f aca="false">INDEX(Laporan!$A$1:$AZ$300,G420,H420)</f>
        <v>1394</v>
      </c>
      <c r="O420" s="0" t="n">
        <f aca="false">IF(N420="","",IFERROR(VALUE(SUBSTITUTE(SUBSTITUTE(N420," btl",""),".","")),""))</f>
        <v>1394</v>
      </c>
      <c r="P420" s="0" t="str">
        <f aca="false">IF(B420="PRODUKSI","produced","reject")</f>
        <v>produced</v>
      </c>
    </row>
    <row r="421" customFormat="false" ht="15" hidden="false" customHeight="false" outlineLevel="0" collapsed="false">
      <c r="A421" s="0" t="n">
        <v>420</v>
      </c>
      <c r="B421" s="0" t="str">
        <f aca="false">IF(A421&lt;=36*25,"PRODUKSI","REJECT")</f>
        <v>PRODUKSI</v>
      </c>
      <c r="C421" s="0" t="n">
        <f aca="false">MOD(A421-1,Pemetaan!$B$3*Pemetaan!$B$4)</f>
        <v>419</v>
      </c>
      <c r="D421" s="0" t="n">
        <f aca="false">INT(C421/Pemetaan!$B$4)</f>
        <v>16</v>
      </c>
      <c r="E421" s="0" t="n">
        <f aca="false">MOD(C421,Pemetaan!$B$4)</f>
        <v>19</v>
      </c>
      <c r="F421" s="0" t="n">
        <f aca="false">IF(B421="PRODUKSI",Pemetaan!$B$5,Pemetaan!$B$6)</f>
        <v>5</v>
      </c>
      <c r="G421" s="0" t="n">
        <f aca="false">F421+2+D421</f>
        <v>23</v>
      </c>
      <c r="H421" s="0" t="n">
        <f aca="false">Pemetaan!$B$2+E421</f>
        <v>24</v>
      </c>
      <c r="I421" s="0" t="str">
        <f aca="false">INDEX(Laporan!$A$1:$AZ$300,G421,1)</f>
        <v>Water Treatment</v>
      </c>
      <c r="J421" s="0" t="str">
        <f aca="false">INDEX(Laporan!$A$1:$AZ$300,G421,2)</f>
        <v>1,5 L</v>
      </c>
      <c r="K421" s="0" t="str">
        <f aca="false">INDEX(Laporan!$A$1:$AZ$300,G421,3)</f>
        <v>Shift 2</v>
      </c>
      <c r="L421" s="0" t="n">
        <f aca="false">INDEX(Laporan!$A$1:$AZ$300,G421,4)</f>
        <v>2</v>
      </c>
      <c r="M421" s="1" t="n">
        <f aca="false">DATE(Pemetaan!$B$1,VALUE(RIGHT(INDEX(Laporan!$A$1:$AZ$300,F421+1,H421),2)),VALUE(LEFT(INDEX(Laporan!$A$1:$AZ$300,F421+1,H421),2)))</f>
        <v>46108</v>
      </c>
      <c r="N421" s="0" t="n">
        <f aca="false">INDEX(Laporan!$A$1:$AZ$300,G421,H421)</f>
        <v>1433</v>
      </c>
      <c r="O421" s="0" t="n">
        <f aca="false">IF(N421="","",IFERROR(VALUE(SUBSTITUTE(SUBSTITUTE(N421," btl",""),".","")),""))</f>
        <v>1433</v>
      </c>
      <c r="P421" s="0" t="str">
        <f aca="false">IF(B421="PRODUKSI","produced","reject")</f>
        <v>produced</v>
      </c>
    </row>
    <row r="422" customFormat="false" ht="15" hidden="false" customHeight="false" outlineLevel="0" collapsed="false">
      <c r="A422" s="0" t="n">
        <v>421</v>
      </c>
      <c r="B422" s="0" t="str">
        <f aca="false">IF(A422&lt;=36*25,"PRODUKSI","REJECT")</f>
        <v>PRODUKSI</v>
      </c>
      <c r="C422" s="0" t="n">
        <f aca="false">MOD(A422-1,Pemetaan!$B$3*Pemetaan!$B$4)</f>
        <v>420</v>
      </c>
      <c r="D422" s="0" t="n">
        <f aca="false">INT(C422/Pemetaan!$B$4)</f>
        <v>16</v>
      </c>
      <c r="E422" s="0" t="n">
        <f aca="false">MOD(C422,Pemetaan!$B$4)</f>
        <v>20</v>
      </c>
      <c r="F422" s="0" t="n">
        <f aca="false">IF(B422="PRODUKSI",Pemetaan!$B$5,Pemetaan!$B$6)</f>
        <v>5</v>
      </c>
      <c r="G422" s="0" t="n">
        <f aca="false">F422+2+D422</f>
        <v>23</v>
      </c>
      <c r="H422" s="0" t="n">
        <f aca="false">Pemetaan!$B$2+E422</f>
        <v>25</v>
      </c>
      <c r="I422" s="0" t="str">
        <f aca="false">INDEX(Laporan!$A$1:$AZ$300,G422,1)</f>
        <v>Water Treatment</v>
      </c>
      <c r="J422" s="0" t="str">
        <f aca="false">INDEX(Laporan!$A$1:$AZ$300,G422,2)</f>
        <v>1,5 L</v>
      </c>
      <c r="K422" s="0" t="str">
        <f aca="false">INDEX(Laporan!$A$1:$AZ$300,G422,3)</f>
        <v>Shift 2</v>
      </c>
      <c r="L422" s="0" t="n">
        <f aca="false">INDEX(Laporan!$A$1:$AZ$300,G422,4)</f>
        <v>2</v>
      </c>
      <c r="M422" s="1" t="n">
        <f aca="false">DATE(Pemetaan!$B$1,VALUE(RIGHT(INDEX(Laporan!$A$1:$AZ$300,F422+1,H422),2)),VALUE(LEFT(INDEX(Laporan!$A$1:$AZ$300,F422+1,H422),2)))</f>
        <v>46111</v>
      </c>
      <c r="N422" s="0" t="n">
        <f aca="false">INDEX(Laporan!$A$1:$AZ$300,G422,H422)</f>
        <v>1666</v>
      </c>
      <c r="O422" s="0" t="n">
        <f aca="false">IF(N422="","",IFERROR(VALUE(SUBSTITUTE(SUBSTITUTE(N422," btl",""),".","")),""))</f>
        <v>1666</v>
      </c>
      <c r="P422" s="0" t="str">
        <f aca="false">IF(B422="PRODUKSI","produced","reject")</f>
        <v>produced</v>
      </c>
    </row>
    <row r="423" customFormat="false" ht="15" hidden="false" customHeight="false" outlineLevel="0" collapsed="false">
      <c r="A423" s="0" t="n">
        <v>422</v>
      </c>
      <c r="B423" s="0" t="str">
        <f aca="false">IF(A423&lt;=36*25,"PRODUKSI","REJECT")</f>
        <v>PRODUKSI</v>
      </c>
      <c r="C423" s="0" t="n">
        <f aca="false">MOD(A423-1,Pemetaan!$B$3*Pemetaan!$B$4)</f>
        <v>421</v>
      </c>
      <c r="D423" s="0" t="n">
        <f aca="false">INT(C423/Pemetaan!$B$4)</f>
        <v>16</v>
      </c>
      <c r="E423" s="0" t="n">
        <f aca="false">MOD(C423,Pemetaan!$B$4)</f>
        <v>21</v>
      </c>
      <c r="F423" s="0" t="n">
        <f aca="false">IF(B423="PRODUKSI",Pemetaan!$B$5,Pemetaan!$B$6)</f>
        <v>5</v>
      </c>
      <c r="G423" s="0" t="n">
        <f aca="false">F423+2+D423</f>
        <v>23</v>
      </c>
      <c r="H423" s="0" t="n">
        <f aca="false">Pemetaan!$B$2+E423</f>
        <v>26</v>
      </c>
      <c r="I423" s="0" t="str">
        <f aca="false">INDEX(Laporan!$A$1:$AZ$300,G423,1)</f>
        <v>Water Treatment</v>
      </c>
      <c r="J423" s="0" t="str">
        <f aca="false">INDEX(Laporan!$A$1:$AZ$300,G423,2)</f>
        <v>1,5 L</v>
      </c>
      <c r="K423" s="0" t="str">
        <f aca="false">INDEX(Laporan!$A$1:$AZ$300,G423,3)</f>
        <v>Shift 2</v>
      </c>
      <c r="L423" s="0" t="n">
        <f aca="false">INDEX(Laporan!$A$1:$AZ$300,G423,4)</f>
        <v>2</v>
      </c>
      <c r="M423" s="1" t="n">
        <f aca="false">DATE(Pemetaan!$B$1,VALUE(RIGHT(INDEX(Laporan!$A$1:$AZ$300,F423+1,H423),2)),VALUE(LEFT(INDEX(Laporan!$A$1:$AZ$300,F423+1,H423),2)))</f>
        <v>46112</v>
      </c>
      <c r="N423" s="0" t="n">
        <f aca="false">INDEX(Laporan!$A$1:$AZ$300,G423,H423)</f>
        <v>1589</v>
      </c>
      <c r="O423" s="0" t="n">
        <f aca="false">IF(N423="","",IFERROR(VALUE(SUBSTITUTE(SUBSTITUTE(N423," btl",""),".","")),""))</f>
        <v>1589</v>
      </c>
      <c r="P423" s="0" t="str">
        <f aca="false">IF(B423="PRODUKSI","produced","reject")</f>
        <v>produced</v>
      </c>
    </row>
    <row r="424" customFormat="false" ht="15" hidden="false" customHeight="false" outlineLevel="0" collapsed="false">
      <c r="A424" s="0" t="n">
        <v>423</v>
      </c>
      <c r="B424" s="0" t="str">
        <f aca="false">IF(A424&lt;=36*25,"PRODUKSI","REJECT")</f>
        <v>PRODUKSI</v>
      </c>
      <c r="C424" s="0" t="n">
        <f aca="false">MOD(A424-1,Pemetaan!$B$3*Pemetaan!$B$4)</f>
        <v>422</v>
      </c>
      <c r="D424" s="0" t="n">
        <f aca="false">INT(C424/Pemetaan!$B$4)</f>
        <v>16</v>
      </c>
      <c r="E424" s="0" t="n">
        <f aca="false">MOD(C424,Pemetaan!$B$4)</f>
        <v>22</v>
      </c>
      <c r="F424" s="0" t="n">
        <f aca="false">IF(B424="PRODUKSI",Pemetaan!$B$5,Pemetaan!$B$6)</f>
        <v>5</v>
      </c>
      <c r="G424" s="0" t="n">
        <f aca="false">F424+2+D424</f>
        <v>23</v>
      </c>
      <c r="H424" s="0" t="n">
        <f aca="false">Pemetaan!$B$2+E424</f>
        <v>27</v>
      </c>
      <c r="I424" s="0" t="str">
        <f aca="false">INDEX(Laporan!$A$1:$AZ$300,G424,1)</f>
        <v>Water Treatment</v>
      </c>
      <c r="J424" s="0" t="str">
        <f aca="false">INDEX(Laporan!$A$1:$AZ$300,G424,2)</f>
        <v>1,5 L</v>
      </c>
      <c r="K424" s="0" t="str">
        <f aca="false">INDEX(Laporan!$A$1:$AZ$300,G424,3)</f>
        <v>Shift 2</v>
      </c>
      <c r="L424" s="0" t="n">
        <f aca="false">INDEX(Laporan!$A$1:$AZ$300,G424,4)</f>
        <v>2</v>
      </c>
      <c r="M424" s="1" t="n">
        <f aca="false">DATE(Pemetaan!$B$1,VALUE(RIGHT(INDEX(Laporan!$A$1:$AZ$300,F424+1,H424),2)),VALUE(LEFT(INDEX(Laporan!$A$1:$AZ$300,F424+1,H424),2)))</f>
        <v>46113</v>
      </c>
      <c r="N424" s="0" t="str">
        <f aca="false">INDEX(Laporan!$A$1:$AZ$300,G424,H424)</f>
        <v>1543 btl</v>
      </c>
      <c r="O424" s="0" t="n">
        <f aca="false">IF(N424="","",IFERROR(VALUE(SUBSTITUTE(SUBSTITUTE(N424," btl",""),".","")),""))</f>
        <v>1543</v>
      </c>
      <c r="P424" s="0" t="str">
        <f aca="false">IF(B424="PRODUKSI","produced","reject")</f>
        <v>produced</v>
      </c>
    </row>
    <row r="425" customFormat="false" ht="15" hidden="false" customHeight="false" outlineLevel="0" collapsed="false">
      <c r="A425" s="0" t="n">
        <v>424</v>
      </c>
      <c r="B425" s="0" t="str">
        <f aca="false">IF(A425&lt;=36*25,"PRODUKSI","REJECT")</f>
        <v>PRODUKSI</v>
      </c>
      <c r="C425" s="0" t="n">
        <f aca="false">MOD(A425-1,Pemetaan!$B$3*Pemetaan!$B$4)</f>
        <v>423</v>
      </c>
      <c r="D425" s="0" t="n">
        <f aca="false">INT(C425/Pemetaan!$B$4)</f>
        <v>16</v>
      </c>
      <c r="E425" s="0" t="n">
        <f aca="false">MOD(C425,Pemetaan!$B$4)</f>
        <v>23</v>
      </c>
      <c r="F425" s="0" t="n">
        <f aca="false">IF(B425="PRODUKSI",Pemetaan!$B$5,Pemetaan!$B$6)</f>
        <v>5</v>
      </c>
      <c r="G425" s="0" t="n">
        <f aca="false">F425+2+D425</f>
        <v>23</v>
      </c>
      <c r="H425" s="0" t="n">
        <f aca="false">Pemetaan!$B$2+E425</f>
        <v>28</v>
      </c>
      <c r="I425" s="0" t="str">
        <f aca="false">INDEX(Laporan!$A$1:$AZ$300,G425,1)</f>
        <v>Water Treatment</v>
      </c>
      <c r="J425" s="0" t="str">
        <f aca="false">INDEX(Laporan!$A$1:$AZ$300,G425,2)</f>
        <v>1,5 L</v>
      </c>
      <c r="K425" s="0" t="str">
        <f aca="false">INDEX(Laporan!$A$1:$AZ$300,G425,3)</f>
        <v>Shift 2</v>
      </c>
      <c r="L425" s="0" t="n">
        <f aca="false">INDEX(Laporan!$A$1:$AZ$300,G425,4)</f>
        <v>2</v>
      </c>
      <c r="M425" s="1" t="n">
        <f aca="false">DATE(Pemetaan!$B$1,VALUE(RIGHT(INDEX(Laporan!$A$1:$AZ$300,F425+1,H425),2)),VALUE(LEFT(INDEX(Laporan!$A$1:$AZ$300,F425+1,H425),2)))</f>
        <v>46114</v>
      </c>
      <c r="N425" s="0" t="n">
        <f aca="false">INDEX(Laporan!$A$1:$AZ$300,G425,H425)</f>
        <v>1535</v>
      </c>
      <c r="O425" s="0" t="n">
        <f aca="false">IF(N425="","",IFERROR(VALUE(SUBSTITUTE(SUBSTITUTE(N425," btl",""),".","")),""))</f>
        <v>1535</v>
      </c>
      <c r="P425" s="0" t="str">
        <f aca="false">IF(B425="PRODUKSI","produced","reject")</f>
        <v>produced</v>
      </c>
    </row>
    <row r="426" customFormat="false" ht="15" hidden="false" customHeight="false" outlineLevel="0" collapsed="false">
      <c r="A426" s="0" t="n">
        <v>425</v>
      </c>
      <c r="B426" s="0" t="str">
        <f aca="false">IF(A426&lt;=36*25,"PRODUKSI","REJECT")</f>
        <v>PRODUKSI</v>
      </c>
      <c r="C426" s="0" t="n">
        <f aca="false">MOD(A426-1,Pemetaan!$B$3*Pemetaan!$B$4)</f>
        <v>424</v>
      </c>
      <c r="D426" s="0" t="n">
        <f aca="false">INT(C426/Pemetaan!$B$4)</f>
        <v>16</v>
      </c>
      <c r="E426" s="0" t="n">
        <f aca="false">MOD(C426,Pemetaan!$B$4)</f>
        <v>24</v>
      </c>
      <c r="F426" s="0" t="n">
        <f aca="false">IF(B426="PRODUKSI",Pemetaan!$B$5,Pemetaan!$B$6)</f>
        <v>5</v>
      </c>
      <c r="G426" s="0" t="n">
        <f aca="false">F426+2+D426</f>
        <v>23</v>
      </c>
      <c r="H426" s="0" t="n">
        <f aca="false">Pemetaan!$B$2+E426</f>
        <v>29</v>
      </c>
      <c r="I426" s="0" t="str">
        <f aca="false">INDEX(Laporan!$A$1:$AZ$300,G426,1)</f>
        <v>Water Treatment</v>
      </c>
      <c r="J426" s="0" t="str">
        <f aca="false">INDEX(Laporan!$A$1:$AZ$300,G426,2)</f>
        <v>1,5 L</v>
      </c>
      <c r="K426" s="0" t="str">
        <f aca="false">INDEX(Laporan!$A$1:$AZ$300,G426,3)</f>
        <v>Shift 2</v>
      </c>
      <c r="L426" s="0" t="n">
        <f aca="false">INDEX(Laporan!$A$1:$AZ$300,G426,4)</f>
        <v>2</v>
      </c>
      <c r="M426" s="1" t="n">
        <f aca="false">DATE(Pemetaan!$B$1,VALUE(RIGHT(INDEX(Laporan!$A$1:$AZ$300,F426+1,H426),2)),VALUE(LEFT(INDEX(Laporan!$A$1:$AZ$300,F426+1,H426),2)))</f>
        <v>46115</v>
      </c>
      <c r="N426" s="0" t="n">
        <f aca="false">INDEX(Laporan!$A$1:$AZ$300,G426,H426)</f>
        <v>1721</v>
      </c>
      <c r="O426" s="0" t="n">
        <f aca="false">IF(N426="","",IFERROR(VALUE(SUBSTITUTE(SUBSTITUTE(N426," btl",""),".","")),""))</f>
        <v>1721</v>
      </c>
      <c r="P426" s="0" t="str">
        <f aca="false">IF(B426="PRODUKSI","produced","reject")</f>
        <v>produced</v>
      </c>
    </row>
    <row r="427" customFormat="false" ht="15" hidden="false" customHeight="false" outlineLevel="0" collapsed="false">
      <c r="A427" s="0" t="n">
        <v>426</v>
      </c>
      <c r="B427" s="0" t="str">
        <f aca="false">IF(A427&lt;=36*25,"PRODUKSI","REJECT")</f>
        <v>PRODUKSI</v>
      </c>
      <c r="C427" s="0" t="n">
        <f aca="false">MOD(A427-1,Pemetaan!$B$3*Pemetaan!$B$4)</f>
        <v>425</v>
      </c>
      <c r="D427" s="0" t="n">
        <f aca="false">INT(C427/Pemetaan!$B$4)</f>
        <v>17</v>
      </c>
      <c r="E427" s="0" t="n">
        <f aca="false">MOD(C427,Pemetaan!$B$4)</f>
        <v>0</v>
      </c>
      <c r="F427" s="0" t="n">
        <f aca="false">IF(B427="PRODUKSI",Pemetaan!$B$5,Pemetaan!$B$6)</f>
        <v>5</v>
      </c>
      <c r="G427" s="0" t="n">
        <f aca="false">F427+2+D427</f>
        <v>24</v>
      </c>
      <c r="H427" s="0" t="n">
        <f aca="false">Pemetaan!$B$2+E427</f>
        <v>5</v>
      </c>
      <c r="I427" s="0" t="str">
        <f aca="false">INDEX(Laporan!$A$1:$AZ$300,G427,1)</f>
        <v>Water Treatment</v>
      </c>
      <c r="J427" s="0" t="str">
        <f aca="false">INDEX(Laporan!$A$1:$AZ$300,G427,2)</f>
        <v>1,5 L</v>
      </c>
      <c r="K427" s="0" t="str">
        <f aca="false">INDEX(Laporan!$A$1:$AZ$300,G427,3)</f>
        <v>Shift 2</v>
      </c>
      <c r="L427" s="0" t="n">
        <f aca="false">INDEX(Laporan!$A$1:$AZ$300,G427,4)</f>
        <v>3</v>
      </c>
      <c r="M427" s="1" t="n">
        <f aca="false">DATE(Pemetaan!$B$1,VALUE(RIGHT(INDEX(Laporan!$A$1:$AZ$300,F427+1,H427),2)),VALUE(LEFT(INDEX(Laporan!$A$1:$AZ$300,F427+1,H427),2)))</f>
        <v>46083</v>
      </c>
      <c r="N427" s="0" t="n">
        <f aca="false">INDEX(Laporan!$A$1:$AZ$300,G427,H427)</f>
        <v>1641</v>
      </c>
      <c r="O427" s="0" t="n">
        <f aca="false">IF(N427="","",IFERROR(VALUE(SUBSTITUTE(SUBSTITUTE(N427," btl",""),".","")),""))</f>
        <v>1641</v>
      </c>
      <c r="P427" s="0" t="str">
        <f aca="false">IF(B427="PRODUKSI","produced","reject")</f>
        <v>produced</v>
      </c>
    </row>
    <row r="428" customFormat="false" ht="15" hidden="false" customHeight="false" outlineLevel="0" collapsed="false">
      <c r="A428" s="0" t="n">
        <v>427</v>
      </c>
      <c r="B428" s="0" t="str">
        <f aca="false">IF(A428&lt;=36*25,"PRODUKSI","REJECT")</f>
        <v>PRODUKSI</v>
      </c>
      <c r="C428" s="0" t="n">
        <f aca="false">MOD(A428-1,Pemetaan!$B$3*Pemetaan!$B$4)</f>
        <v>426</v>
      </c>
      <c r="D428" s="0" t="n">
        <f aca="false">INT(C428/Pemetaan!$B$4)</f>
        <v>17</v>
      </c>
      <c r="E428" s="0" t="n">
        <f aca="false">MOD(C428,Pemetaan!$B$4)</f>
        <v>1</v>
      </c>
      <c r="F428" s="0" t="n">
        <f aca="false">IF(B428="PRODUKSI",Pemetaan!$B$5,Pemetaan!$B$6)</f>
        <v>5</v>
      </c>
      <c r="G428" s="0" t="n">
        <f aca="false">F428+2+D428</f>
        <v>24</v>
      </c>
      <c r="H428" s="0" t="n">
        <f aca="false">Pemetaan!$B$2+E428</f>
        <v>6</v>
      </c>
      <c r="I428" s="0" t="str">
        <f aca="false">INDEX(Laporan!$A$1:$AZ$300,G428,1)</f>
        <v>Water Treatment</v>
      </c>
      <c r="J428" s="0" t="str">
        <f aca="false">INDEX(Laporan!$A$1:$AZ$300,G428,2)</f>
        <v>1,5 L</v>
      </c>
      <c r="K428" s="0" t="str">
        <f aca="false">INDEX(Laporan!$A$1:$AZ$300,G428,3)</f>
        <v>Shift 2</v>
      </c>
      <c r="L428" s="0" t="n">
        <f aca="false">INDEX(Laporan!$A$1:$AZ$300,G428,4)</f>
        <v>3</v>
      </c>
      <c r="M428" s="1" t="n">
        <f aca="false">DATE(Pemetaan!$B$1,VALUE(RIGHT(INDEX(Laporan!$A$1:$AZ$300,F428+1,H428),2)),VALUE(LEFT(INDEX(Laporan!$A$1:$AZ$300,F428+1,H428),2)))</f>
        <v>46084</v>
      </c>
      <c r="N428" s="0" t="n">
        <f aca="false">INDEX(Laporan!$A$1:$AZ$300,G428,H428)</f>
        <v>1498</v>
      </c>
      <c r="O428" s="0" t="n">
        <f aca="false">IF(N428="","",IFERROR(VALUE(SUBSTITUTE(SUBSTITUTE(N428," btl",""),".","")),""))</f>
        <v>1498</v>
      </c>
      <c r="P428" s="0" t="str">
        <f aca="false">IF(B428="PRODUKSI","produced","reject")</f>
        <v>produced</v>
      </c>
    </row>
    <row r="429" customFormat="false" ht="15" hidden="false" customHeight="false" outlineLevel="0" collapsed="false">
      <c r="A429" s="0" t="n">
        <v>428</v>
      </c>
      <c r="B429" s="0" t="str">
        <f aca="false">IF(A429&lt;=36*25,"PRODUKSI","REJECT")</f>
        <v>PRODUKSI</v>
      </c>
      <c r="C429" s="0" t="n">
        <f aca="false">MOD(A429-1,Pemetaan!$B$3*Pemetaan!$B$4)</f>
        <v>427</v>
      </c>
      <c r="D429" s="0" t="n">
        <f aca="false">INT(C429/Pemetaan!$B$4)</f>
        <v>17</v>
      </c>
      <c r="E429" s="0" t="n">
        <f aca="false">MOD(C429,Pemetaan!$B$4)</f>
        <v>2</v>
      </c>
      <c r="F429" s="0" t="n">
        <f aca="false">IF(B429="PRODUKSI",Pemetaan!$B$5,Pemetaan!$B$6)</f>
        <v>5</v>
      </c>
      <c r="G429" s="0" t="n">
        <f aca="false">F429+2+D429</f>
        <v>24</v>
      </c>
      <c r="H429" s="0" t="n">
        <f aca="false">Pemetaan!$B$2+E429</f>
        <v>7</v>
      </c>
      <c r="I429" s="0" t="str">
        <f aca="false">INDEX(Laporan!$A$1:$AZ$300,G429,1)</f>
        <v>Water Treatment</v>
      </c>
      <c r="J429" s="0" t="str">
        <f aca="false">INDEX(Laporan!$A$1:$AZ$300,G429,2)</f>
        <v>1,5 L</v>
      </c>
      <c r="K429" s="0" t="str">
        <f aca="false">INDEX(Laporan!$A$1:$AZ$300,G429,3)</f>
        <v>Shift 2</v>
      </c>
      <c r="L429" s="0" t="n">
        <f aca="false">INDEX(Laporan!$A$1:$AZ$300,G429,4)</f>
        <v>3</v>
      </c>
      <c r="M429" s="1" t="n">
        <f aca="false">DATE(Pemetaan!$B$1,VALUE(RIGHT(INDEX(Laporan!$A$1:$AZ$300,F429+1,H429),2)),VALUE(LEFT(INDEX(Laporan!$A$1:$AZ$300,F429+1,H429),2)))</f>
        <v>46085</v>
      </c>
      <c r="N429" s="0" t="n">
        <f aca="false">INDEX(Laporan!$A$1:$AZ$300,G429,H429)</f>
        <v>1357</v>
      </c>
      <c r="O429" s="0" t="n">
        <f aca="false">IF(N429="","",IFERROR(VALUE(SUBSTITUTE(SUBSTITUTE(N429," btl",""),".","")),""))</f>
        <v>1357</v>
      </c>
      <c r="P429" s="0" t="str">
        <f aca="false">IF(B429="PRODUKSI","produced","reject")</f>
        <v>produced</v>
      </c>
    </row>
    <row r="430" customFormat="false" ht="15" hidden="false" customHeight="false" outlineLevel="0" collapsed="false">
      <c r="A430" s="0" t="n">
        <v>429</v>
      </c>
      <c r="B430" s="0" t="str">
        <f aca="false">IF(A430&lt;=36*25,"PRODUKSI","REJECT")</f>
        <v>PRODUKSI</v>
      </c>
      <c r="C430" s="0" t="n">
        <f aca="false">MOD(A430-1,Pemetaan!$B$3*Pemetaan!$B$4)</f>
        <v>428</v>
      </c>
      <c r="D430" s="0" t="n">
        <f aca="false">INT(C430/Pemetaan!$B$4)</f>
        <v>17</v>
      </c>
      <c r="E430" s="0" t="n">
        <f aca="false">MOD(C430,Pemetaan!$B$4)</f>
        <v>3</v>
      </c>
      <c r="F430" s="0" t="n">
        <f aca="false">IF(B430="PRODUKSI",Pemetaan!$B$5,Pemetaan!$B$6)</f>
        <v>5</v>
      </c>
      <c r="G430" s="0" t="n">
        <f aca="false">F430+2+D430</f>
        <v>24</v>
      </c>
      <c r="H430" s="0" t="n">
        <f aca="false">Pemetaan!$B$2+E430</f>
        <v>8</v>
      </c>
      <c r="I430" s="0" t="str">
        <f aca="false">INDEX(Laporan!$A$1:$AZ$300,G430,1)</f>
        <v>Water Treatment</v>
      </c>
      <c r="J430" s="0" t="str">
        <f aca="false">INDEX(Laporan!$A$1:$AZ$300,G430,2)</f>
        <v>1,5 L</v>
      </c>
      <c r="K430" s="0" t="str">
        <f aca="false">INDEX(Laporan!$A$1:$AZ$300,G430,3)</f>
        <v>Shift 2</v>
      </c>
      <c r="L430" s="0" t="n">
        <f aca="false">INDEX(Laporan!$A$1:$AZ$300,G430,4)</f>
        <v>3</v>
      </c>
      <c r="M430" s="1" t="n">
        <f aca="false">DATE(Pemetaan!$B$1,VALUE(RIGHT(INDEX(Laporan!$A$1:$AZ$300,F430+1,H430),2)),VALUE(LEFT(INDEX(Laporan!$A$1:$AZ$300,F430+1,H430),2)))</f>
        <v>46086</v>
      </c>
      <c r="N430" s="0" t="n">
        <f aca="false">INDEX(Laporan!$A$1:$AZ$300,G430,H430)</f>
        <v>1423</v>
      </c>
      <c r="O430" s="0" t="n">
        <f aca="false">IF(N430="","",IFERROR(VALUE(SUBSTITUTE(SUBSTITUTE(N430," btl",""),".","")),""))</f>
        <v>1423</v>
      </c>
      <c r="P430" s="0" t="str">
        <f aca="false">IF(B430="PRODUKSI","produced","reject")</f>
        <v>produced</v>
      </c>
    </row>
    <row r="431" customFormat="false" ht="15" hidden="false" customHeight="false" outlineLevel="0" collapsed="false">
      <c r="A431" s="0" t="n">
        <v>430</v>
      </c>
      <c r="B431" s="0" t="str">
        <f aca="false">IF(A431&lt;=36*25,"PRODUKSI","REJECT")</f>
        <v>PRODUKSI</v>
      </c>
      <c r="C431" s="0" t="n">
        <f aca="false">MOD(A431-1,Pemetaan!$B$3*Pemetaan!$B$4)</f>
        <v>429</v>
      </c>
      <c r="D431" s="0" t="n">
        <f aca="false">INT(C431/Pemetaan!$B$4)</f>
        <v>17</v>
      </c>
      <c r="E431" s="0" t="n">
        <f aca="false">MOD(C431,Pemetaan!$B$4)</f>
        <v>4</v>
      </c>
      <c r="F431" s="0" t="n">
        <f aca="false">IF(B431="PRODUKSI",Pemetaan!$B$5,Pemetaan!$B$6)</f>
        <v>5</v>
      </c>
      <c r="G431" s="0" t="n">
        <f aca="false">F431+2+D431</f>
        <v>24</v>
      </c>
      <c r="H431" s="0" t="n">
        <f aca="false">Pemetaan!$B$2+E431</f>
        <v>9</v>
      </c>
      <c r="I431" s="0" t="str">
        <f aca="false">INDEX(Laporan!$A$1:$AZ$300,G431,1)</f>
        <v>Water Treatment</v>
      </c>
      <c r="J431" s="0" t="str">
        <f aca="false">INDEX(Laporan!$A$1:$AZ$300,G431,2)</f>
        <v>1,5 L</v>
      </c>
      <c r="K431" s="0" t="str">
        <f aca="false">INDEX(Laporan!$A$1:$AZ$300,G431,3)</f>
        <v>Shift 2</v>
      </c>
      <c r="L431" s="0" t="n">
        <f aca="false">INDEX(Laporan!$A$1:$AZ$300,G431,4)</f>
        <v>3</v>
      </c>
      <c r="M431" s="1" t="n">
        <f aca="false">DATE(Pemetaan!$B$1,VALUE(RIGHT(INDEX(Laporan!$A$1:$AZ$300,F431+1,H431),2)),VALUE(LEFT(INDEX(Laporan!$A$1:$AZ$300,F431+1,H431),2)))</f>
        <v>46087</v>
      </c>
      <c r="N431" s="0" t="n">
        <f aca="false">INDEX(Laporan!$A$1:$AZ$300,G431,H431)</f>
        <v>1480</v>
      </c>
      <c r="O431" s="0" t="n">
        <f aca="false">IF(N431="","",IFERROR(VALUE(SUBSTITUTE(SUBSTITUTE(N431," btl",""),".","")),""))</f>
        <v>1480</v>
      </c>
      <c r="P431" s="0" t="str">
        <f aca="false">IF(B431="PRODUKSI","produced","reject")</f>
        <v>produced</v>
      </c>
    </row>
    <row r="432" customFormat="false" ht="15" hidden="false" customHeight="false" outlineLevel="0" collapsed="false">
      <c r="A432" s="0" t="n">
        <v>431</v>
      </c>
      <c r="B432" s="0" t="str">
        <f aca="false">IF(A432&lt;=36*25,"PRODUKSI","REJECT")</f>
        <v>PRODUKSI</v>
      </c>
      <c r="C432" s="0" t="n">
        <f aca="false">MOD(A432-1,Pemetaan!$B$3*Pemetaan!$B$4)</f>
        <v>430</v>
      </c>
      <c r="D432" s="0" t="n">
        <f aca="false">INT(C432/Pemetaan!$B$4)</f>
        <v>17</v>
      </c>
      <c r="E432" s="0" t="n">
        <f aca="false">MOD(C432,Pemetaan!$B$4)</f>
        <v>5</v>
      </c>
      <c r="F432" s="0" t="n">
        <f aca="false">IF(B432="PRODUKSI",Pemetaan!$B$5,Pemetaan!$B$6)</f>
        <v>5</v>
      </c>
      <c r="G432" s="0" t="n">
        <f aca="false">F432+2+D432</f>
        <v>24</v>
      </c>
      <c r="H432" s="0" t="n">
        <f aca="false">Pemetaan!$B$2+E432</f>
        <v>10</v>
      </c>
      <c r="I432" s="0" t="str">
        <f aca="false">INDEX(Laporan!$A$1:$AZ$300,G432,1)</f>
        <v>Water Treatment</v>
      </c>
      <c r="J432" s="0" t="str">
        <f aca="false">INDEX(Laporan!$A$1:$AZ$300,G432,2)</f>
        <v>1,5 L</v>
      </c>
      <c r="K432" s="0" t="str">
        <f aca="false">INDEX(Laporan!$A$1:$AZ$300,G432,3)</f>
        <v>Shift 2</v>
      </c>
      <c r="L432" s="0" t="n">
        <f aca="false">INDEX(Laporan!$A$1:$AZ$300,G432,4)</f>
        <v>3</v>
      </c>
      <c r="M432" s="1" t="n">
        <f aca="false">DATE(Pemetaan!$B$1,VALUE(RIGHT(INDEX(Laporan!$A$1:$AZ$300,F432+1,H432),2)),VALUE(LEFT(INDEX(Laporan!$A$1:$AZ$300,F432+1,H432),2)))</f>
        <v>46090</v>
      </c>
      <c r="N432" s="0" t="n">
        <f aca="false">INDEX(Laporan!$A$1:$AZ$300,G432,H432)</f>
        <v>1563</v>
      </c>
      <c r="O432" s="0" t="n">
        <f aca="false">IF(N432="","",IFERROR(VALUE(SUBSTITUTE(SUBSTITUTE(N432," btl",""),".","")),""))</f>
        <v>1563</v>
      </c>
      <c r="P432" s="0" t="str">
        <f aca="false">IF(B432="PRODUKSI","produced","reject")</f>
        <v>produced</v>
      </c>
    </row>
    <row r="433" customFormat="false" ht="15" hidden="false" customHeight="false" outlineLevel="0" collapsed="false">
      <c r="A433" s="0" t="n">
        <v>432</v>
      </c>
      <c r="B433" s="0" t="str">
        <f aca="false">IF(A433&lt;=36*25,"PRODUKSI","REJECT")</f>
        <v>PRODUKSI</v>
      </c>
      <c r="C433" s="0" t="n">
        <f aca="false">MOD(A433-1,Pemetaan!$B$3*Pemetaan!$B$4)</f>
        <v>431</v>
      </c>
      <c r="D433" s="0" t="n">
        <f aca="false">INT(C433/Pemetaan!$B$4)</f>
        <v>17</v>
      </c>
      <c r="E433" s="0" t="n">
        <f aca="false">MOD(C433,Pemetaan!$B$4)</f>
        <v>6</v>
      </c>
      <c r="F433" s="0" t="n">
        <f aca="false">IF(B433="PRODUKSI",Pemetaan!$B$5,Pemetaan!$B$6)</f>
        <v>5</v>
      </c>
      <c r="G433" s="0" t="n">
        <f aca="false">F433+2+D433</f>
        <v>24</v>
      </c>
      <c r="H433" s="0" t="n">
        <f aca="false">Pemetaan!$B$2+E433</f>
        <v>11</v>
      </c>
      <c r="I433" s="0" t="str">
        <f aca="false">INDEX(Laporan!$A$1:$AZ$300,G433,1)</f>
        <v>Water Treatment</v>
      </c>
      <c r="J433" s="0" t="str">
        <f aca="false">INDEX(Laporan!$A$1:$AZ$300,G433,2)</f>
        <v>1,5 L</v>
      </c>
      <c r="K433" s="0" t="str">
        <f aca="false">INDEX(Laporan!$A$1:$AZ$300,G433,3)</f>
        <v>Shift 2</v>
      </c>
      <c r="L433" s="0" t="n">
        <f aca="false">INDEX(Laporan!$A$1:$AZ$300,G433,4)</f>
        <v>3</v>
      </c>
      <c r="M433" s="1" t="n">
        <f aca="false">DATE(Pemetaan!$B$1,VALUE(RIGHT(INDEX(Laporan!$A$1:$AZ$300,F433+1,H433),2)),VALUE(LEFT(INDEX(Laporan!$A$1:$AZ$300,F433+1,H433),2)))</f>
        <v>46091</v>
      </c>
      <c r="N433" s="0" t="n">
        <f aca="false">INDEX(Laporan!$A$1:$AZ$300,G433,H433)</f>
        <v>1538</v>
      </c>
      <c r="O433" s="0" t="n">
        <f aca="false">IF(N433="","",IFERROR(VALUE(SUBSTITUTE(SUBSTITUTE(N433," btl",""),".","")),""))</f>
        <v>1538</v>
      </c>
      <c r="P433" s="0" t="str">
        <f aca="false">IF(B433="PRODUKSI","produced","reject")</f>
        <v>produced</v>
      </c>
    </row>
    <row r="434" customFormat="false" ht="15" hidden="false" customHeight="false" outlineLevel="0" collapsed="false">
      <c r="A434" s="0" t="n">
        <v>433</v>
      </c>
      <c r="B434" s="0" t="str">
        <f aca="false">IF(A434&lt;=36*25,"PRODUKSI","REJECT")</f>
        <v>PRODUKSI</v>
      </c>
      <c r="C434" s="0" t="n">
        <f aca="false">MOD(A434-1,Pemetaan!$B$3*Pemetaan!$B$4)</f>
        <v>432</v>
      </c>
      <c r="D434" s="0" t="n">
        <f aca="false">INT(C434/Pemetaan!$B$4)</f>
        <v>17</v>
      </c>
      <c r="E434" s="0" t="n">
        <f aca="false">MOD(C434,Pemetaan!$B$4)</f>
        <v>7</v>
      </c>
      <c r="F434" s="0" t="n">
        <f aca="false">IF(B434="PRODUKSI",Pemetaan!$B$5,Pemetaan!$B$6)</f>
        <v>5</v>
      </c>
      <c r="G434" s="0" t="n">
        <f aca="false">F434+2+D434</f>
        <v>24</v>
      </c>
      <c r="H434" s="0" t="n">
        <f aca="false">Pemetaan!$B$2+E434</f>
        <v>12</v>
      </c>
      <c r="I434" s="0" t="str">
        <f aca="false">INDEX(Laporan!$A$1:$AZ$300,G434,1)</f>
        <v>Water Treatment</v>
      </c>
      <c r="J434" s="0" t="str">
        <f aca="false">INDEX(Laporan!$A$1:$AZ$300,G434,2)</f>
        <v>1,5 L</v>
      </c>
      <c r="K434" s="0" t="str">
        <f aca="false">INDEX(Laporan!$A$1:$AZ$300,G434,3)</f>
        <v>Shift 2</v>
      </c>
      <c r="L434" s="0" t="n">
        <f aca="false">INDEX(Laporan!$A$1:$AZ$300,G434,4)</f>
        <v>3</v>
      </c>
      <c r="M434" s="1" t="n">
        <f aca="false">DATE(Pemetaan!$B$1,VALUE(RIGHT(INDEX(Laporan!$A$1:$AZ$300,F434+1,H434),2)),VALUE(LEFT(INDEX(Laporan!$A$1:$AZ$300,F434+1,H434),2)))</f>
        <v>46092</v>
      </c>
      <c r="N434" s="0" t="n">
        <f aca="false">INDEX(Laporan!$A$1:$AZ$300,G434,H434)</f>
        <v>1546</v>
      </c>
      <c r="O434" s="0" t="n">
        <f aca="false">IF(N434="","",IFERROR(VALUE(SUBSTITUTE(SUBSTITUTE(N434," btl",""),".","")),""))</f>
        <v>1546</v>
      </c>
      <c r="P434" s="0" t="str">
        <f aca="false">IF(B434="PRODUKSI","produced","reject")</f>
        <v>produced</v>
      </c>
    </row>
    <row r="435" customFormat="false" ht="15" hidden="false" customHeight="false" outlineLevel="0" collapsed="false">
      <c r="A435" s="0" t="n">
        <v>434</v>
      </c>
      <c r="B435" s="0" t="str">
        <f aca="false">IF(A435&lt;=36*25,"PRODUKSI","REJECT")</f>
        <v>PRODUKSI</v>
      </c>
      <c r="C435" s="0" t="n">
        <f aca="false">MOD(A435-1,Pemetaan!$B$3*Pemetaan!$B$4)</f>
        <v>433</v>
      </c>
      <c r="D435" s="0" t="n">
        <f aca="false">INT(C435/Pemetaan!$B$4)</f>
        <v>17</v>
      </c>
      <c r="E435" s="0" t="n">
        <f aca="false">MOD(C435,Pemetaan!$B$4)</f>
        <v>8</v>
      </c>
      <c r="F435" s="0" t="n">
        <f aca="false">IF(B435="PRODUKSI",Pemetaan!$B$5,Pemetaan!$B$6)</f>
        <v>5</v>
      </c>
      <c r="G435" s="0" t="n">
        <f aca="false">F435+2+D435</f>
        <v>24</v>
      </c>
      <c r="H435" s="0" t="n">
        <f aca="false">Pemetaan!$B$2+E435</f>
        <v>13</v>
      </c>
      <c r="I435" s="0" t="str">
        <f aca="false">INDEX(Laporan!$A$1:$AZ$300,G435,1)</f>
        <v>Water Treatment</v>
      </c>
      <c r="J435" s="0" t="str">
        <f aca="false">INDEX(Laporan!$A$1:$AZ$300,G435,2)</f>
        <v>1,5 L</v>
      </c>
      <c r="K435" s="0" t="str">
        <f aca="false">INDEX(Laporan!$A$1:$AZ$300,G435,3)</f>
        <v>Shift 2</v>
      </c>
      <c r="L435" s="0" t="n">
        <f aca="false">INDEX(Laporan!$A$1:$AZ$300,G435,4)</f>
        <v>3</v>
      </c>
      <c r="M435" s="1" t="n">
        <f aca="false">DATE(Pemetaan!$B$1,VALUE(RIGHT(INDEX(Laporan!$A$1:$AZ$300,F435+1,H435),2)),VALUE(LEFT(INDEX(Laporan!$A$1:$AZ$300,F435+1,H435),2)))</f>
        <v>46093</v>
      </c>
      <c r="N435" s="0" t="n">
        <f aca="false">INDEX(Laporan!$A$1:$AZ$300,G435,H435)</f>
        <v>1526</v>
      </c>
      <c r="O435" s="0" t="n">
        <f aca="false">IF(N435="","",IFERROR(VALUE(SUBSTITUTE(SUBSTITUTE(N435," btl",""),".","")),""))</f>
        <v>1526</v>
      </c>
      <c r="P435" s="0" t="str">
        <f aca="false">IF(B435="PRODUKSI","produced","reject")</f>
        <v>produced</v>
      </c>
    </row>
    <row r="436" customFormat="false" ht="15" hidden="false" customHeight="false" outlineLevel="0" collapsed="false">
      <c r="A436" s="0" t="n">
        <v>435</v>
      </c>
      <c r="B436" s="0" t="str">
        <f aca="false">IF(A436&lt;=36*25,"PRODUKSI","REJECT")</f>
        <v>PRODUKSI</v>
      </c>
      <c r="C436" s="0" t="n">
        <f aca="false">MOD(A436-1,Pemetaan!$B$3*Pemetaan!$B$4)</f>
        <v>434</v>
      </c>
      <c r="D436" s="0" t="n">
        <f aca="false">INT(C436/Pemetaan!$B$4)</f>
        <v>17</v>
      </c>
      <c r="E436" s="0" t="n">
        <f aca="false">MOD(C436,Pemetaan!$B$4)</f>
        <v>9</v>
      </c>
      <c r="F436" s="0" t="n">
        <f aca="false">IF(B436="PRODUKSI",Pemetaan!$B$5,Pemetaan!$B$6)</f>
        <v>5</v>
      </c>
      <c r="G436" s="0" t="n">
        <f aca="false">F436+2+D436</f>
        <v>24</v>
      </c>
      <c r="H436" s="0" t="n">
        <f aca="false">Pemetaan!$B$2+E436</f>
        <v>14</v>
      </c>
      <c r="I436" s="0" t="str">
        <f aca="false">INDEX(Laporan!$A$1:$AZ$300,G436,1)</f>
        <v>Water Treatment</v>
      </c>
      <c r="J436" s="0" t="str">
        <f aca="false">INDEX(Laporan!$A$1:$AZ$300,G436,2)</f>
        <v>1,5 L</v>
      </c>
      <c r="K436" s="0" t="str">
        <f aca="false">INDEX(Laporan!$A$1:$AZ$300,G436,3)</f>
        <v>Shift 2</v>
      </c>
      <c r="L436" s="0" t="n">
        <f aca="false">INDEX(Laporan!$A$1:$AZ$300,G436,4)</f>
        <v>3</v>
      </c>
      <c r="M436" s="1" t="n">
        <f aca="false">DATE(Pemetaan!$B$1,VALUE(RIGHT(INDEX(Laporan!$A$1:$AZ$300,F436+1,H436),2)),VALUE(LEFT(INDEX(Laporan!$A$1:$AZ$300,F436+1,H436),2)))</f>
        <v>46094</v>
      </c>
      <c r="N436" s="0" t="n">
        <f aca="false">INDEX(Laporan!$A$1:$AZ$300,G436,H436)</f>
        <v>1497</v>
      </c>
      <c r="O436" s="0" t="n">
        <f aca="false">IF(N436="","",IFERROR(VALUE(SUBSTITUTE(SUBSTITUTE(N436," btl",""),".","")),""))</f>
        <v>1497</v>
      </c>
      <c r="P436" s="0" t="str">
        <f aca="false">IF(B436="PRODUKSI","produced","reject")</f>
        <v>produced</v>
      </c>
    </row>
    <row r="437" customFormat="false" ht="15" hidden="false" customHeight="false" outlineLevel="0" collapsed="false">
      <c r="A437" s="0" t="n">
        <v>436</v>
      </c>
      <c r="B437" s="0" t="str">
        <f aca="false">IF(A437&lt;=36*25,"PRODUKSI","REJECT")</f>
        <v>PRODUKSI</v>
      </c>
      <c r="C437" s="0" t="n">
        <f aca="false">MOD(A437-1,Pemetaan!$B$3*Pemetaan!$B$4)</f>
        <v>435</v>
      </c>
      <c r="D437" s="0" t="n">
        <f aca="false">INT(C437/Pemetaan!$B$4)</f>
        <v>17</v>
      </c>
      <c r="E437" s="0" t="n">
        <f aca="false">MOD(C437,Pemetaan!$B$4)</f>
        <v>10</v>
      </c>
      <c r="F437" s="0" t="n">
        <f aca="false">IF(B437="PRODUKSI",Pemetaan!$B$5,Pemetaan!$B$6)</f>
        <v>5</v>
      </c>
      <c r="G437" s="0" t="n">
        <f aca="false">F437+2+D437</f>
        <v>24</v>
      </c>
      <c r="H437" s="0" t="n">
        <f aca="false">Pemetaan!$B$2+E437</f>
        <v>15</v>
      </c>
      <c r="I437" s="0" t="str">
        <f aca="false">INDEX(Laporan!$A$1:$AZ$300,G437,1)</f>
        <v>Water Treatment</v>
      </c>
      <c r="J437" s="0" t="str">
        <f aca="false">INDEX(Laporan!$A$1:$AZ$300,G437,2)</f>
        <v>1,5 L</v>
      </c>
      <c r="K437" s="0" t="str">
        <f aca="false">INDEX(Laporan!$A$1:$AZ$300,G437,3)</f>
        <v>Shift 2</v>
      </c>
      <c r="L437" s="0" t="n">
        <f aca="false">INDEX(Laporan!$A$1:$AZ$300,G437,4)</f>
        <v>3</v>
      </c>
      <c r="M437" s="1" t="n">
        <f aca="false">DATE(Pemetaan!$B$1,VALUE(RIGHT(INDEX(Laporan!$A$1:$AZ$300,F437+1,H437),2)),VALUE(LEFT(INDEX(Laporan!$A$1:$AZ$300,F437+1,H437),2)))</f>
        <v>46097</v>
      </c>
      <c r="N437" s="0" t="n">
        <f aca="false">INDEX(Laporan!$A$1:$AZ$300,G437,H437)</f>
        <v>1432</v>
      </c>
      <c r="O437" s="0" t="n">
        <f aca="false">IF(N437="","",IFERROR(VALUE(SUBSTITUTE(SUBSTITUTE(N437," btl",""),".","")),""))</f>
        <v>1432</v>
      </c>
      <c r="P437" s="0" t="str">
        <f aca="false">IF(B437="PRODUKSI","produced","reject")</f>
        <v>produced</v>
      </c>
    </row>
    <row r="438" customFormat="false" ht="15" hidden="false" customHeight="false" outlineLevel="0" collapsed="false">
      <c r="A438" s="0" t="n">
        <v>437</v>
      </c>
      <c r="B438" s="0" t="str">
        <f aca="false">IF(A438&lt;=36*25,"PRODUKSI","REJECT")</f>
        <v>PRODUKSI</v>
      </c>
      <c r="C438" s="0" t="n">
        <f aca="false">MOD(A438-1,Pemetaan!$B$3*Pemetaan!$B$4)</f>
        <v>436</v>
      </c>
      <c r="D438" s="0" t="n">
        <f aca="false">INT(C438/Pemetaan!$B$4)</f>
        <v>17</v>
      </c>
      <c r="E438" s="0" t="n">
        <f aca="false">MOD(C438,Pemetaan!$B$4)</f>
        <v>11</v>
      </c>
      <c r="F438" s="0" t="n">
        <f aca="false">IF(B438="PRODUKSI",Pemetaan!$B$5,Pemetaan!$B$6)</f>
        <v>5</v>
      </c>
      <c r="G438" s="0" t="n">
        <f aca="false">F438+2+D438</f>
        <v>24</v>
      </c>
      <c r="H438" s="0" t="n">
        <f aca="false">Pemetaan!$B$2+E438</f>
        <v>16</v>
      </c>
      <c r="I438" s="0" t="str">
        <f aca="false">INDEX(Laporan!$A$1:$AZ$300,G438,1)</f>
        <v>Water Treatment</v>
      </c>
      <c r="J438" s="0" t="str">
        <f aca="false">INDEX(Laporan!$A$1:$AZ$300,G438,2)</f>
        <v>1,5 L</v>
      </c>
      <c r="K438" s="0" t="str">
        <f aca="false">INDEX(Laporan!$A$1:$AZ$300,G438,3)</f>
        <v>Shift 2</v>
      </c>
      <c r="L438" s="0" t="n">
        <f aca="false">INDEX(Laporan!$A$1:$AZ$300,G438,4)</f>
        <v>3</v>
      </c>
      <c r="M438" s="1" t="n">
        <f aca="false">DATE(Pemetaan!$B$1,VALUE(RIGHT(INDEX(Laporan!$A$1:$AZ$300,F438+1,H438),2)),VALUE(LEFT(INDEX(Laporan!$A$1:$AZ$300,F438+1,H438),2)))</f>
        <v>46098</v>
      </c>
      <c r="N438" s="0" t="n">
        <f aca="false">INDEX(Laporan!$A$1:$AZ$300,G438,H438)</f>
        <v>1533</v>
      </c>
      <c r="O438" s="0" t="n">
        <f aca="false">IF(N438="","",IFERROR(VALUE(SUBSTITUTE(SUBSTITUTE(N438," btl",""),".","")),""))</f>
        <v>1533</v>
      </c>
      <c r="P438" s="0" t="str">
        <f aca="false">IF(B438="PRODUKSI","produced","reject")</f>
        <v>produced</v>
      </c>
    </row>
    <row r="439" customFormat="false" ht="15" hidden="false" customHeight="false" outlineLevel="0" collapsed="false">
      <c r="A439" s="0" t="n">
        <v>438</v>
      </c>
      <c r="B439" s="0" t="str">
        <f aca="false">IF(A439&lt;=36*25,"PRODUKSI","REJECT")</f>
        <v>PRODUKSI</v>
      </c>
      <c r="C439" s="0" t="n">
        <f aca="false">MOD(A439-1,Pemetaan!$B$3*Pemetaan!$B$4)</f>
        <v>437</v>
      </c>
      <c r="D439" s="0" t="n">
        <f aca="false">INT(C439/Pemetaan!$B$4)</f>
        <v>17</v>
      </c>
      <c r="E439" s="0" t="n">
        <f aca="false">MOD(C439,Pemetaan!$B$4)</f>
        <v>12</v>
      </c>
      <c r="F439" s="0" t="n">
        <f aca="false">IF(B439="PRODUKSI",Pemetaan!$B$5,Pemetaan!$B$6)</f>
        <v>5</v>
      </c>
      <c r="G439" s="0" t="n">
        <f aca="false">F439+2+D439</f>
        <v>24</v>
      </c>
      <c r="H439" s="0" t="n">
        <f aca="false">Pemetaan!$B$2+E439</f>
        <v>17</v>
      </c>
      <c r="I439" s="0" t="str">
        <f aca="false">INDEX(Laporan!$A$1:$AZ$300,G439,1)</f>
        <v>Water Treatment</v>
      </c>
      <c r="J439" s="0" t="str">
        <f aca="false">INDEX(Laporan!$A$1:$AZ$300,G439,2)</f>
        <v>1,5 L</v>
      </c>
      <c r="K439" s="0" t="str">
        <f aca="false">INDEX(Laporan!$A$1:$AZ$300,G439,3)</f>
        <v>Shift 2</v>
      </c>
      <c r="L439" s="0" t="n">
        <f aca="false">INDEX(Laporan!$A$1:$AZ$300,G439,4)</f>
        <v>3</v>
      </c>
      <c r="M439" s="1" t="n">
        <f aca="false">DATE(Pemetaan!$B$1,VALUE(RIGHT(INDEX(Laporan!$A$1:$AZ$300,F439+1,H439),2)),VALUE(LEFT(INDEX(Laporan!$A$1:$AZ$300,F439+1,H439),2)))</f>
        <v>46099</v>
      </c>
      <c r="N439" s="0" t="n">
        <f aca="false">INDEX(Laporan!$A$1:$AZ$300,G439,H439)</f>
        <v>1547</v>
      </c>
      <c r="O439" s="0" t="n">
        <f aca="false">IF(N439="","",IFERROR(VALUE(SUBSTITUTE(SUBSTITUTE(N439," btl",""),".","")),""))</f>
        <v>1547</v>
      </c>
      <c r="P439" s="0" t="str">
        <f aca="false">IF(B439="PRODUKSI","produced","reject")</f>
        <v>produced</v>
      </c>
    </row>
    <row r="440" customFormat="false" ht="15" hidden="false" customHeight="false" outlineLevel="0" collapsed="false">
      <c r="A440" s="0" t="n">
        <v>439</v>
      </c>
      <c r="B440" s="0" t="str">
        <f aca="false">IF(A440&lt;=36*25,"PRODUKSI","REJECT")</f>
        <v>PRODUKSI</v>
      </c>
      <c r="C440" s="0" t="n">
        <f aca="false">MOD(A440-1,Pemetaan!$B$3*Pemetaan!$B$4)</f>
        <v>438</v>
      </c>
      <c r="D440" s="0" t="n">
        <f aca="false">INT(C440/Pemetaan!$B$4)</f>
        <v>17</v>
      </c>
      <c r="E440" s="0" t="n">
        <f aca="false">MOD(C440,Pemetaan!$B$4)</f>
        <v>13</v>
      </c>
      <c r="F440" s="0" t="n">
        <f aca="false">IF(B440="PRODUKSI",Pemetaan!$B$5,Pemetaan!$B$6)</f>
        <v>5</v>
      </c>
      <c r="G440" s="0" t="n">
        <f aca="false">F440+2+D440</f>
        <v>24</v>
      </c>
      <c r="H440" s="0" t="n">
        <f aca="false">Pemetaan!$B$2+E440</f>
        <v>18</v>
      </c>
      <c r="I440" s="0" t="str">
        <f aca="false">INDEX(Laporan!$A$1:$AZ$300,G440,1)</f>
        <v>Water Treatment</v>
      </c>
      <c r="J440" s="0" t="str">
        <f aca="false">INDEX(Laporan!$A$1:$AZ$300,G440,2)</f>
        <v>1,5 L</v>
      </c>
      <c r="K440" s="0" t="str">
        <f aca="false">INDEX(Laporan!$A$1:$AZ$300,G440,3)</f>
        <v>Shift 2</v>
      </c>
      <c r="L440" s="0" t="n">
        <f aca="false">INDEX(Laporan!$A$1:$AZ$300,G440,4)</f>
        <v>3</v>
      </c>
      <c r="M440" s="1" t="n">
        <f aca="false">DATE(Pemetaan!$B$1,VALUE(RIGHT(INDEX(Laporan!$A$1:$AZ$300,F440+1,H440),2)),VALUE(LEFT(INDEX(Laporan!$A$1:$AZ$300,F440+1,H440),2)))</f>
        <v>46100</v>
      </c>
      <c r="N440" s="0" t="n">
        <f aca="false">INDEX(Laporan!$A$1:$AZ$300,G440,H440)</f>
        <v>1585</v>
      </c>
      <c r="O440" s="0" t="n">
        <f aca="false">IF(N440="","",IFERROR(VALUE(SUBSTITUTE(SUBSTITUTE(N440," btl",""),".","")),""))</f>
        <v>1585</v>
      </c>
      <c r="P440" s="0" t="str">
        <f aca="false">IF(B440="PRODUKSI","produced","reject")</f>
        <v>produced</v>
      </c>
    </row>
    <row r="441" customFormat="false" ht="15" hidden="false" customHeight="false" outlineLevel="0" collapsed="false">
      <c r="A441" s="0" t="n">
        <v>440</v>
      </c>
      <c r="B441" s="0" t="str">
        <f aca="false">IF(A441&lt;=36*25,"PRODUKSI","REJECT")</f>
        <v>PRODUKSI</v>
      </c>
      <c r="C441" s="0" t="n">
        <f aca="false">MOD(A441-1,Pemetaan!$B$3*Pemetaan!$B$4)</f>
        <v>439</v>
      </c>
      <c r="D441" s="0" t="n">
        <f aca="false">INT(C441/Pemetaan!$B$4)</f>
        <v>17</v>
      </c>
      <c r="E441" s="0" t="n">
        <f aca="false">MOD(C441,Pemetaan!$B$4)</f>
        <v>14</v>
      </c>
      <c r="F441" s="0" t="n">
        <f aca="false">IF(B441="PRODUKSI",Pemetaan!$B$5,Pemetaan!$B$6)</f>
        <v>5</v>
      </c>
      <c r="G441" s="0" t="n">
        <f aca="false">F441+2+D441</f>
        <v>24</v>
      </c>
      <c r="H441" s="0" t="n">
        <f aca="false">Pemetaan!$B$2+E441</f>
        <v>19</v>
      </c>
      <c r="I441" s="0" t="str">
        <f aca="false">INDEX(Laporan!$A$1:$AZ$300,G441,1)</f>
        <v>Water Treatment</v>
      </c>
      <c r="J441" s="0" t="str">
        <f aca="false">INDEX(Laporan!$A$1:$AZ$300,G441,2)</f>
        <v>1,5 L</v>
      </c>
      <c r="K441" s="0" t="str">
        <f aca="false">INDEX(Laporan!$A$1:$AZ$300,G441,3)</f>
        <v>Shift 2</v>
      </c>
      <c r="L441" s="0" t="n">
        <f aca="false">INDEX(Laporan!$A$1:$AZ$300,G441,4)</f>
        <v>3</v>
      </c>
      <c r="M441" s="1" t="n">
        <f aca="false">DATE(Pemetaan!$B$1,VALUE(RIGHT(INDEX(Laporan!$A$1:$AZ$300,F441+1,H441),2)),VALUE(LEFT(INDEX(Laporan!$A$1:$AZ$300,F441+1,H441),2)))</f>
        <v>46101</v>
      </c>
      <c r="N441" s="0" t="n">
        <f aca="false">INDEX(Laporan!$A$1:$AZ$300,G441,H441)</f>
        <v>1407</v>
      </c>
      <c r="O441" s="0" t="n">
        <f aca="false">IF(N441="","",IFERROR(VALUE(SUBSTITUTE(SUBSTITUTE(N441," btl",""),".","")),""))</f>
        <v>1407</v>
      </c>
      <c r="P441" s="0" t="str">
        <f aca="false">IF(B441="PRODUKSI","produced","reject")</f>
        <v>produced</v>
      </c>
    </row>
    <row r="442" customFormat="false" ht="15" hidden="false" customHeight="false" outlineLevel="0" collapsed="false">
      <c r="A442" s="0" t="n">
        <v>441</v>
      </c>
      <c r="B442" s="0" t="str">
        <f aca="false">IF(A442&lt;=36*25,"PRODUKSI","REJECT")</f>
        <v>PRODUKSI</v>
      </c>
      <c r="C442" s="0" t="n">
        <f aca="false">MOD(A442-1,Pemetaan!$B$3*Pemetaan!$B$4)</f>
        <v>440</v>
      </c>
      <c r="D442" s="0" t="n">
        <f aca="false">INT(C442/Pemetaan!$B$4)</f>
        <v>17</v>
      </c>
      <c r="E442" s="0" t="n">
        <f aca="false">MOD(C442,Pemetaan!$B$4)</f>
        <v>15</v>
      </c>
      <c r="F442" s="0" t="n">
        <f aca="false">IF(B442="PRODUKSI",Pemetaan!$B$5,Pemetaan!$B$6)</f>
        <v>5</v>
      </c>
      <c r="G442" s="0" t="n">
        <f aca="false">F442+2+D442</f>
        <v>24</v>
      </c>
      <c r="H442" s="0" t="n">
        <f aca="false">Pemetaan!$B$2+E442</f>
        <v>20</v>
      </c>
      <c r="I442" s="0" t="str">
        <f aca="false">INDEX(Laporan!$A$1:$AZ$300,G442,1)</f>
        <v>Water Treatment</v>
      </c>
      <c r="J442" s="0" t="str">
        <f aca="false">INDEX(Laporan!$A$1:$AZ$300,G442,2)</f>
        <v>1,5 L</v>
      </c>
      <c r="K442" s="0" t="str">
        <f aca="false">INDEX(Laporan!$A$1:$AZ$300,G442,3)</f>
        <v>Shift 2</v>
      </c>
      <c r="L442" s="0" t="n">
        <f aca="false">INDEX(Laporan!$A$1:$AZ$300,G442,4)</f>
        <v>3</v>
      </c>
      <c r="M442" s="1" t="n">
        <f aca="false">DATE(Pemetaan!$B$1,VALUE(RIGHT(INDEX(Laporan!$A$1:$AZ$300,F442+1,H442),2)),VALUE(LEFT(INDEX(Laporan!$A$1:$AZ$300,F442+1,H442),2)))</f>
        <v>46104</v>
      </c>
      <c r="N442" s="0" t="n">
        <f aca="false">INDEX(Laporan!$A$1:$AZ$300,G442,H442)</f>
        <v>1440</v>
      </c>
      <c r="O442" s="0" t="n">
        <f aca="false">IF(N442="","",IFERROR(VALUE(SUBSTITUTE(SUBSTITUTE(N442," btl",""),".","")),""))</f>
        <v>1440</v>
      </c>
      <c r="P442" s="0" t="str">
        <f aca="false">IF(B442="PRODUKSI","produced","reject")</f>
        <v>produced</v>
      </c>
    </row>
    <row r="443" customFormat="false" ht="15" hidden="false" customHeight="false" outlineLevel="0" collapsed="false">
      <c r="A443" s="0" t="n">
        <v>442</v>
      </c>
      <c r="B443" s="0" t="str">
        <f aca="false">IF(A443&lt;=36*25,"PRODUKSI","REJECT")</f>
        <v>PRODUKSI</v>
      </c>
      <c r="C443" s="0" t="n">
        <f aca="false">MOD(A443-1,Pemetaan!$B$3*Pemetaan!$B$4)</f>
        <v>441</v>
      </c>
      <c r="D443" s="0" t="n">
        <f aca="false">INT(C443/Pemetaan!$B$4)</f>
        <v>17</v>
      </c>
      <c r="E443" s="0" t="n">
        <f aca="false">MOD(C443,Pemetaan!$B$4)</f>
        <v>16</v>
      </c>
      <c r="F443" s="0" t="n">
        <f aca="false">IF(B443="PRODUKSI",Pemetaan!$B$5,Pemetaan!$B$6)</f>
        <v>5</v>
      </c>
      <c r="G443" s="0" t="n">
        <f aca="false">F443+2+D443</f>
        <v>24</v>
      </c>
      <c r="H443" s="0" t="n">
        <f aca="false">Pemetaan!$B$2+E443</f>
        <v>21</v>
      </c>
      <c r="I443" s="0" t="str">
        <f aca="false">INDEX(Laporan!$A$1:$AZ$300,G443,1)</f>
        <v>Water Treatment</v>
      </c>
      <c r="J443" s="0" t="str">
        <f aca="false">INDEX(Laporan!$A$1:$AZ$300,G443,2)</f>
        <v>1,5 L</v>
      </c>
      <c r="K443" s="0" t="str">
        <f aca="false">INDEX(Laporan!$A$1:$AZ$300,G443,3)</f>
        <v>Shift 2</v>
      </c>
      <c r="L443" s="0" t="n">
        <f aca="false">INDEX(Laporan!$A$1:$AZ$300,G443,4)</f>
        <v>3</v>
      </c>
      <c r="M443" s="1" t="n">
        <f aca="false">DATE(Pemetaan!$B$1,VALUE(RIGHT(INDEX(Laporan!$A$1:$AZ$300,F443+1,H443),2)),VALUE(LEFT(INDEX(Laporan!$A$1:$AZ$300,F443+1,H443),2)))</f>
        <v>46105</v>
      </c>
      <c r="N443" s="0" t="n">
        <f aca="false">INDEX(Laporan!$A$1:$AZ$300,G443,H443)</f>
        <v>1507</v>
      </c>
      <c r="O443" s="0" t="n">
        <f aca="false">IF(N443="","",IFERROR(VALUE(SUBSTITUTE(SUBSTITUTE(N443," btl",""),".","")),""))</f>
        <v>1507</v>
      </c>
      <c r="P443" s="0" t="str">
        <f aca="false">IF(B443="PRODUKSI","produced","reject")</f>
        <v>produced</v>
      </c>
    </row>
    <row r="444" customFormat="false" ht="15" hidden="false" customHeight="false" outlineLevel="0" collapsed="false">
      <c r="A444" s="0" t="n">
        <v>443</v>
      </c>
      <c r="B444" s="0" t="str">
        <f aca="false">IF(A444&lt;=36*25,"PRODUKSI","REJECT")</f>
        <v>PRODUKSI</v>
      </c>
      <c r="C444" s="0" t="n">
        <f aca="false">MOD(A444-1,Pemetaan!$B$3*Pemetaan!$B$4)</f>
        <v>442</v>
      </c>
      <c r="D444" s="0" t="n">
        <f aca="false">INT(C444/Pemetaan!$B$4)</f>
        <v>17</v>
      </c>
      <c r="E444" s="0" t="n">
        <f aca="false">MOD(C444,Pemetaan!$B$4)</f>
        <v>17</v>
      </c>
      <c r="F444" s="0" t="n">
        <f aca="false">IF(B444="PRODUKSI",Pemetaan!$B$5,Pemetaan!$B$6)</f>
        <v>5</v>
      </c>
      <c r="G444" s="0" t="n">
        <f aca="false">F444+2+D444</f>
        <v>24</v>
      </c>
      <c r="H444" s="0" t="n">
        <f aca="false">Pemetaan!$B$2+E444</f>
        <v>22</v>
      </c>
      <c r="I444" s="0" t="str">
        <f aca="false">INDEX(Laporan!$A$1:$AZ$300,G444,1)</f>
        <v>Water Treatment</v>
      </c>
      <c r="J444" s="0" t="str">
        <f aca="false">INDEX(Laporan!$A$1:$AZ$300,G444,2)</f>
        <v>1,5 L</v>
      </c>
      <c r="K444" s="0" t="str">
        <f aca="false">INDEX(Laporan!$A$1:$AZ$300,G444,3)</f>
        <v>Shift 2</v>
      </c>
      <c r="L444" s="0" t="n">
        <f aca="false">INDEX(Laporan!$A$1:$AZ$300,G444,4)</f>
        <v>3</v>
      </c>
      <c r="M444" s="1" t="n">
        <f aca="false">DATE(Pemetaan!$B$1,VALUE(RIGHT(INDEX(Laporan!$A$1:$AZ$300,F444+1,H444),2)),VALUE(LEFT(INDEX(Laporan!$A$1:$AZ$300,F444+1,H444),2)))</f>
        <v>46106</v>
      </c>
      <c r="N444" s="0" t="n">
        <f aca="false">INDEX(Laporan!$A$1:$AZ$300,G444,H444)</f>
        <v>1494</v>
      </c>
      <c r="O444" s="0" t="n">
        <f aca="false">IF(N444="","",IFERROR(VALUE(SUBSTITUTE(SUBSTITUTE(N444," btl",""),".","")),""))</f>
        <v>1494</v>
      </c>
      <c r="P444" s="0" t="str">
        <f aca="false">IF(B444="PRODUKSI","produced","reject")</f>
        <v>produced</v>
      </c>
    </row>
    <row r="445" customFormat="false" ht="15" hidden="false" customHeight="false" outlineLevel="0" collapsed="false">
      <c r="A445" s="0" t="n">
        <v>444</v>
      </c>
      <c r="B445" s="0" t="str">
        <f aca="false">IF(A445&lt;=36*25,"PRODUKSI","REJECT")</f>
        <v>PRODUKSI</v>
      </c>
      <c r="C445" s="0" t="n">
        <f aca="false">MOD(A445-1,Pemetaan!$B$3*Pemetaan!$B$4)</f>
        <v>443</v>
      </c>
      <c r="D445" s="0" t="n">
        <f aca="false">INT(C445/Pemetaan!$B$4)</f>
        <v>17</v>
      </c>
      <c r="E445" s="0" t="n">
        <f aca="false">MOD(C445,Pemetaan!$B$4)</f>
        <v>18</v>
      </c>
      <c r="F445" s="0" t="n">
        <f aca="false">IF(B445="PRODUKSI",Pemetaan!$B$5,Pemetaan!$B$6)</f>
        <v>5</v>
      </c>
      <c r="G445" s="0" t="n">
        <f aca="false">F445+2+D445</f>
        <v>24</v>
      </c>
      <c r="H445" s="0" t="n">
        <f aca="false">Pemetaan!$B$2+E445</f>
        <v>23</v>
      </c>
      <c r="I445" s="0" t="str">
        <f aca="false">INDEX(Laporan!$A$1:$AZ$300,G445,1)</f>
        <v>Water Treatment</v>
      </c>
      <c r="J445" s="0" t="str">
        <f aca="false">INDEX(Laporan!$A$1:$AZ$300,G445,2)</f>
        <v>1,5 L</v>
      </c>
      <c r="K445" s="0" t="str">
        <f aca="false">INDEX(Laporan!$A$1:$AZ$300,G445,3)</f>
        <v>Shift 2</v>
      </c>
      <c r="L445" s="0" t="n">
        <f aca="false">INDEX(Laporan!$A$1:$AZ$300,G445,4)</f>
        <v>3</v>
      </c>
      <c r="M445" s="1" t="n">
        <f aca="false">DATE(Pemetaan!$B$1,VALUE(RIGHT(INDEX(Laporan!$A$1:$AZ$300,F445+1,H445),2)),VALUE(LEFT(INDEX(Laporan!$A$1:$AZ$300,F445+1,H445),2)))</f>
        <v>46107</v>
      </c>
      <c r="N445" s="0" t="n">
        <f aca="false">INDEX(Laporan!$A$1:$AZ$300,G445,H445)</f>
        <v>1457</v>
      </c>
      <c r="O445" s="0" t="n">
        <f aca="false">IF(N445="","",IFERROR(VALUE(SUBSTITUTE(SUBSTITUTE(N445," btl",""),".","")),""))</f>
        <v>1457</v>
      </c>
      <c r="P445" s="0" t="str">
        <f aca="false">IF(B445="PRODUKSI","produced","reject")</f>
        <v>produced</v>
      </c>
    </row>
    <row r="446" customFormat="false" ht="15" hidden="false" customHeight="false" outlineLevel="0" collapsed="false">
      <c r="A446" s="0" t="n">
        <v>445</v>
      </c>
      <c r="B446" s="0" t="str">
        <f aca="false">IF(A446&lt;=36*25,"PRODUKSI","REJECT")</f>
        <v>PRODUKSI</v>
      </c>
      <c r="C446" s="0" t="n">
        <f aca="false">MOD(A446-1,Pemetaan!$B$3*Pemetaan!$B$4)</f>
        <v>444</v>
      </c>
      <c r="D446" s="0" t="n">
        <f aca="false">INT(C446/Pemetaan!$B$4)</f>
        <v>17</v>
      </c>
      <c r="E446" s="0" t="n">
        <f aca="false">MOD(C446,Pemetaan!$B$4)</f>
        <v>19</v>
      </c>
      <c r="F446" s="0" t="n">
        <f aca="false">IF(B446="PRODUKSI",Pemetaan!$B$5,Pemetaan!$B$6)</f>
        <v>5</v>
      </c>
      <c r="G446" s="0" t="n">
        <f aca="false">F446+2+D446</f>
        <v>24</v>
      </c>
      <c r="H446" s="0" t="n">
        <f aca="false">Pemetaan!$B$2+E446</f>
        <v>24</v>
      </c>
      <c r="I446" s="0" t="str">
        <f aca="false">INDEX(Laporan!$A$1:$AZ$300,G446,1)</f>
        <v>Water Treatment</v>
      </c>
      <c r="J446" s="0" t="str">
        <f aca="false">INDEX(Laporan!$A$1:$AZ$300,G446,2)</f>
        <v>1,5 L</v>
      </c>
      <c r="K446" s="0" t="str">
        <f aca="false">INDEX(Laporan!$A$1:$AZ$300,G446,3)</f>
        <v>Shift 2</v>
      </c>
      <c r="L446" s="0" t="n">
        <f aca="false">INDEX(Laporan!$A$1:$AZ$300,G446,4)</f>
        <v>3</v>
      </c>
      <c r="M446" s="1" t="n">
        <f aca="false">DATE(Pemetaan!$B$1,VALUE(RIGHT(INDEX(Laporan!$A$1:$AZ$300,F446+1,H446),2)),VALUE(LEFT(INDEX(Laporan!$A$1:$AZ$300,F446+1,H446),2)))</f>
        <v>46108</v>
      </c>
      <c r="N446" s="0" t="n">
        <f aca="false">INDEX(Laporan!$A$1:$AZ$300,G446,H446)</f>
        <v>1613</v>
      </c>
      <c r="O446" s="0" t="n">
        <f aca="false">IF(N446="","",IFERROR(VALUE(SUBSTITUTE(SUBSTITUTE(N446," btl",""),".","")),""))</f>
        <v>1613</v>
      </c>
      <c r="P446" s="0" t="str">
        <f aca="false">IF(B446="PRODUKSI","produced","reject")</f>
        <v>produced</v>
      </c>
    </row>
    <row r="447" customFormat="false" ht="15" hidden="false" customHeight="false" outlineLevel="0" collapsed="false">
      <c r="A447" s="0" t="n">
        <v>446</v>
      </c>
      <c r="B447" s="0" t="str">
        <f aca="false">IF(A447&lt;=36*25,"PRODUKSI","REJECT")</f>
        <v>PRODUKSI</v>
      </c>
      <c r="C447" s="0" t="n">
        <f aca="false">MOD(A447-1,Pemetaan!$B$3*Pemetaan!$B$4)</f>
        <v>445</v>
      </c>
      <c r="D447" s="0" t="n">
        <f aca="false">INT(C447/Pemetaan!$B$4)</f>
        <v>17</v>
      </c>
      <c r="E447" s="0" t="n">
        <f aca="false">MOD(C447,Pemetaan!$B$4)</f>
        <v>20</v>
      </c>
      <c r="F447" s="0" t="n">
        <f aca="false">IF(B447="PRODUKSI",Pemetaan!$B$5,Pemetaan!$B$6)</f>
        <v>5</v>
      </c>
      <c r="G447" s="0" t="n">
        <f aca="false">F447+2+D447</f>
        <v>24</v>
      </c>
      <c r="H447" s="0" t="n">
        <f aca="false">Pemetaan!$B$2+E447</f>
        <v>25</v>
      </c>
      <c r="I447" s="0" t="str">
        <f aca="false">INDEX(Laporan!$A$1:$AZ$300,G447,1)</f>
        <v>Water Treatment</v>
      </c>
      <c r="J447" s="0" t="str">
        <f aca="false">INDEX(Laporan!$A$1:$AZ$300,G447,2)</f>
        <v>1,5 L</v>
      </c>
      <c r="K447" s="0" t="str">
        <f aca="false">INDEX(Laporan!$A$1:$AZ$300,G447,3)</f>
        <v>Shift 2</v>
      </c>
      <c r="L447" s="0" t="n">
        <f aca="false">INDEX(Laporan!$A$1:$AZ$300,G447,4)</f>
        <v>3</v>
      </c>
      <c r="M447" s="1" t="n">
        <f aca="false">DATE(Pemetaan!$B$1,VALUE(RIGHT(INDEX(Laporan!$A$1:$AZ$300,F447+1,H447),2)),VALUE(LEFT(INDEX(Laporan!$A$1:$AZ$300,F447+1,H447),2)))</f>
        <v>46111</v>
      </c>
      <c r="N447" s="0" t="n">
        <f aca="false">INDEX(Laporan!$A$1:$AZ$300,G447,H447)</f>
        <v>1429</v>
      </c>
      <c r="O447" s="0" t="n">
        <f aca="false">IF(N447="","",IFERROR(VALUE(SUBSTITUTE(SUBSTITUTE(N447," btl",""),".","")),""))</f>
        <v>1429</v>
      </c>
      <c r="P447" s="0" t="str">
        <f aca="false">IF(B447="PRODUKSI","produced","reject")</f>
        <v>produced</v>
      </c>
    </row>
    <row r="448" customFormat="false" ht="15" hidden="false" customHeight="false" outlineLevel="0" collapsed="false">
      <c r="A448" s="0" t="n">
        <v>447</v>
      </c>
      <c r="B448" s="0" t="str">
        <f aca="false">IF(A448&lt;=36*25,"PRODUKSI","REJECT")</f>
        <v>PRODUKSI</v>
      </c>
      <c r="C448" s="0" t="n">
        <f aca="false">MOD(A448-1,Pemetaan!$B$3*Pemetaan!$B$4)</f>
        <v>446</v>
      </c>
      <c r="D448" s="0" t="n">
        <f aca="false">INT(C448/Pemetaan!$B$4)</f>
        <v>17</v>
      </c>
      <c r="E448" s="0" t="n">
        <f aca="false">MOD(C448,Pemetaan!$B$4)</f>
        <v>21</v>
      </c>
      <c r="F448" s="0" t="n">
        <f aca="false">IF(B448="PRODUKSI",Pemetaan!$B$5,Pemetaan!$B$6)</f>
        <v>5</v>
      </c>
      <c r="G448" s="0" t="n">
        <f aca="false">F448+2+D448</f>
        <v>24</v>
      </c>
      <c r="H448" s="0" t="n">
        <f aca="false">Pemetaan!$B$2+E448</f>
        <v>26</v>
      </c>
      <c r="I448" s="0" t="str">
        <f aca="false">INDEX(Laporan!$A$1:$AZ$300,G448,1)</f>
        <v>Water Treatment</v>
      </c>
      <c r="J448" s="0" t="str">
        <f aca="false">INDEX(Laporan!$A$1:$AZ$300,G448,2)</f>
        <v>1,5 L</v>
      </c>
      <c r="K448" s="0" t="str">
        <f aca="false">INDEX(Laporan!$A$1:$AZ$300,G448,3)</f>
        <v>Shift 2</v>
      </c>
      <c r="L448" s="0" t="n">
        <f aca="false">INDEX(Laporan!$A$1:$AZ$300,G448,4)</f>
        <v>3</v>
      </c>
      <c r="M448" s="1" t="n">
        <f aca="false">DATE(Pemetaan!$B$1,VALUE(RIGHT(INDEX(Laporan!$A$1:$AZ$300,F448+1,H448),2)),VALUE(LEFT(INDEX(Laporan!$A$1:$AZ$300,F448+1,H448),2)))</f>
        <v>46112</v>
      </c>
      <c r="N448" s="0" t="n">
        <f aca="false">INDEX(Laporan!$A$1:$AZ$300,G448,H448)</f>
        <v>1612</v>
      </c>
      <c r="O448" s="0" t="n">
        <f aca="false">IF(N448="","",IFERROR(VALUE(SUBSTITUTE(SUBSTITUTE(N448," btl",""),".","")),""))</f>
        <v>1612</v>
      </c>
      <c r="P448" s="0" t="str">
        <f aca="false">IF(B448="PRODUKSI","produced","reject")</f>
        <v>produced</v>
      </c>
    </row>
    <row r="449" customFormat="false" ht="15" hidden="false" customHeight="false" outlineLevel="0" collapsed="false">
      <c r="A449" s="0" t="n">
        <v>448</v>
      </c>
      <c r="B449" s="0" t="str">
        <f aca="false">IF(A449&lt;=36*25,"PRODUKSI","REJECT")</f>
        <v>PRODUKSI</v>
      </c>
      <c r="C449" s="0" t="n">
        <f aca="false">MOD(A449-1,Pemetaan!$B$3*Pemetaan!$B$4)</f>
        <v>447</v>
      </c>
      <c r="D449" s="0" t="n">
        <f aca="false">INT(C449/Pemetaan!$B$4)</f>
        <v>17</v>
      </c>
      <c r="E449" s="0" t="n">
        <f aca="false">MOD(C449,Pemetaan!$B$4)</f>
        <v>22</v>
      </c>
      <c r="F449" s="0" t="n">
        <f aca="false">IF(B449="PRODUKSI",Pemetaan!$B$5,Pemetaan!$B$6)</f>
        <v>5</v>
      </c>
      <c r="G449" s="0" t="n">
        <f aca="false">F449+2+D449</f>
        <v>24</v>
      </c>
      <c r="H449" s="0" t="n">
        <f aca="false">Pemetaan!$B$2+E449</f>
        <v>27</v>
      </c>
      <c r="I449" s="0" t="str">
        <f aca="false">INDEX(Laporan!$A$1:$AZ$300,G449,1)</f>
        <v>Water Treatment</v>
      </c>
      <c r="J449" s="0" t="str">
        <f aca="false">INDEX(Laporan!$A$1:$AZ$300,G449,2)</f>
        <v>1,5 L</v>
      </c>
      <c r="K449" s="0" t="str">
        <f aca="false">INDEX(Laporan!$A$1:$AZ$300,G449,3)</f>
        <v>Shift 2</v>
      </c>
      <c r="L449" s="0" t="n">
        <f aca="false">INDEX(Laporan!$A$1:$AZ$300,G449,4)</f>
        <v>3</v>
      </c>
      <c r="M449" s="1" t="n">
        <f aca="false">DATE(Pemetaan!$B$1,VALUE(RIGHT(INDEX(Laporan!$A$1:$AZ$300,F449+1,H449),2)),VALUE(LEFT(INDEX(Laporan!$A$1:$AZ$300,F449+1,H449),2)))</f>
        <v>46113</v>
      </c>
      <c r="N449" s="0" t="n">
        <f aca="false">INDEX(Laporan!$A$1:$AZ$300,G449,H449)</f>
        <v>1347</v>
      </c>
      <c r="O449" s="0" t="n">
        <f aca="false">IF(N449="","",IFERROR(VALUE(SUBSTITUTE(SUBSTITUTE(N449," btl",""),".","")),""))</f>
        <v>1347</v>
      </c>
      <c r="P449" s="0" t="str">
        <f aca="false">IF(B449="PRODUKSI","produced","reject")</f>
        <v>produced</v>
      </c>
    </row>
    <row r="450" customFormat="false" ht="15" hidden="false" customHeight="false" outlineLevel="0" collapsed="false">
      <c r="A450" s="0" t="n">
        <v>449</v>
      </c>
      <c r="B450" s="0" t="str">
        <f aca="false">IF(A450&lt;=36*25,"PRODUKSI","REJECT")</f>
        <v>PRODUKSI</v>
      </c>
      <c r="C450" s="0" t="n">
        <f aca="false">MOD(A450-1,Pemetaan!$B$3*Pemetaan!$B$4)</f>
        <v>448</v>
      </c>
      <c r="D450" s="0" t="n">
        <f aca="false">INT(C450/Pemetaan!$B$4)</f>
        <v>17</v>
      </c>
      <c r="E450" s="0" t="n">
        <f aca="false">MOD(C450,Pemetaan!$B$4)</f>
        <v>23</v>
      </c>
      <c r="F450" s="0" t="n">
        <f aca="false">IF(B450="PRODUKSI",Pemetaan!$B$5,Pemetaan!$B$6)</f>
        <v>5</v>
      </c>
      <c r="G450" s="0" t="n">
        <f aca="false">F450+2+D450</f>
        <v>24</v>
      </c>
      <c r="H450" s="0" t="n">
        <f aca="false">Pemetaan!$B$2+E450</f>
        <v>28</v>
      </c>
      <c r="I450" s="0" t="str">
        <f aca="false">INDEX(Laporan!$A$1:$AZ$300,G450,1)</f>
        <v>Water Treatment</v>
      </c>
      <c r="J450" s="0" t="str">
        <f aca="false">INDEX(Laporan!$A$1:$AZ$300,G450,2)</f>
        <v>1,5 L</v>
      </c>
      <c r="K450" s="0" t="str">
        <f aca="false">INDEX(Laporan!$A$1:$AZ$300,G450,3)</f>
        <v>Shift 2</v>
      </c>
      <c r="L450" s="0" t="n">
        <f aca="false">INDEX(Laporan!$A$1:$AZ$300,G450,4)</f>
        <v>3</v>
      </c>
      <c r="M450" s="1" t="n">
        <f aca="false">DATE(Pemetaan!$B$1,VALUE(RIGHT(INDEX(Laporan!$A$1:$AZ$300,F450+1,H450),2)),VALUE(LEFT(INDEX(Laporan!$A$1:$AZ$300,F450+1,H450),2)))</f>
        <v>46114</v>
      </c>
      <c r="N450" s="0" t="n">
        <f aca="false">INDEX(Laporan!$A$1:$AZ$300,G450,H450)</f>
        <v>1526</v>
      </c>
      <c r="O450" s="0" t="n">
        <f aca="false">IF(N450="","",IFERROR(VALUE(SUBSTITUTE(SUBSTITUTE(N450," btl",""),".","")),""))</f>
        <v>1526</v>
      </c>
      <c r="P450" s="0" t="str">
        <f aca="false">IF(B450="PRODUKSI","produced","reject")</f>
        <v>produced</v>
      </c>
    </row>
    <row r="451" customFormat="false" ht="15" hidden="false" customHeight="false" outlineLevel="0" collapsed="false">
      <c r="A451" s="0" t="n">
        <v>450</v>
      </c>
      <c r="B451" s="0" t="str">
        <f aca="false">IF(A451&lt;=36*25,"PRODUKSI","REJECT")</f>
        <v>PRODUKSI</v>
      </c>
      <c r="C451" s="0" t="n">
        <f aca="false">MOD(A451-1,Pemetaan!$B$3*Pemetaan!$B$4)</f>
        <v>449</v>
      </c>
      <c r="D451" s="0" t="n">
        <f aca="false">INT(C451/Pemetaan!$B$4)</f>
        <v>17</v>
      </c>
      <c r="E451" s="0" t="n">
        <f aca="false">MOD(C451,Pemetaan!$B$4)</f>
        <v>24</v>
      </c>
      <c r="F451" s="0" t="n">
        <f aca="false">IF(B451="PRODUKSI",Pemetaan!$B$5,Pemetaan!$B$6)</f>
        <v>5</v>
      </c>
      <c r="G451" s="0" t="n">
        <f aca="false">F451+2+D451</f>
        <v>24</v>
      </c>
      <c r="H451" s="0" t="n">
        <f aca="false">Pemetaan!$B$2+E451</f>
        <v>29</v>
      </c>
      <c r="I451" s="0" t="str">
        <f aca="false">INDEX(Laporan!$A$1:$AZ$300,G451,1)</f>
        <v>Water Treatment</v>
      </c>
      <c r="J451" s="0" t="str">
        <f aca="false">INDEX(Laporan!$A$1:$AZ$300,G451,2)</f>
        <v>1,5 L</v>
      </c>
      <c r="K451" s="0" t="str">
        <f aca="false">INDEX(Laporan!$A$1:$AZ$300,G451,3)</f>
        <v>Shift 2</v>
      </c>
      <c r="L451" s="0" t="n">
        <f aca="false">INDEX(Laporan!$A$1:$AZ$300,G451,4)</f>
        <v>3</v>
      </c>
      <c r="M451" s="1" t="n">
        <f aca="false">DATE(Pemetaan!$B$1,VALUE(RIGHT(INDEX(Laporan!$A$1:$AZ$300,F451+1,H451),2)),VALUE(LEFT(INDEX(Laporan!$A$1:$AZ$300,F451+1,H451),2)))</f>
        <v>46115</v>
      </c>
      <c r="N451" s="0" t="n">
        <f aca="false">INDEX(Laporan!$A$1:$AZ$300,G451,H451)</f>
        <v>1698</v>
      </c>
      <c r="O451" s="0" t="n">
        <f aca="false">IF(N451="","",IFERROR(VALUE(SUBSTITUTE(SUBSTITUTE(N451," btl",""),".","")),""))</f>
        <v>1698</v>
      </c>
      <c r="P451" s="0" t="str">
        <f aca="false">IF(B451="PRODUKSI","produced","reject")</f>
        <v>produced</v>
      </c>
    </row>
    <row r="452" customFormat="false" ht="15" hidden="false" customHeight="false" outlineLevel="0" collapsed="false">
      <c r="A452" s="0" t="n">
        <v>451</v>
      </c>
      <c r="B452" s="0" t="str">
        <f aca="false">IF(A452&lt;=36*25,"PRODUKSI","REJECT")</f>
        <v>PRODUKSI</v>
      </c>
      <c r="C452" s="0" t="n">
        <f aca="false">MOD(A452-1,Pemetaan!$B$3*Pemetaan!$B$4)</f>
        <v>450</v>
      </c>
      <c r="D452" s="0" t="n">
        <f aca="false">INT(C452/Pemetaan!$B$4)</f>
        <v>18</v>
      </c>
      <c r="E452" s="0" t="n">
        <f aca="false">MOD(C452,Pemetaan!$B$4)</f>
        <v>0</v>
      </c>
      <c r="F452" s="0" t="n">
        <f aca="false">IF(B452="PRODUKSI",Pemetaan!$B$5,Pemetaan!$B$6)</f>
        <v>5</v>
      </c>
      <c r="G452" s="0" t="n">
        <f aca="false">F452+2+D452</f>
        <v>25</v>
      </c>
      <c r="H452" s="0" t="n">
        <f aca="false">Pemetaan!$B$2+E452</f>
        <v>5</v>
      </c>
      <c r="I452" s="0" t="str">
        <f aca="false">INDEX(Laporan!$A$1:$AZ$300,G452,1)</f>
        <v>Mixing</v>
      </c>
      <c r="J452" s="0" t="str">
        <f aca="false">INDEX(Laporan!$A$1:$AZ$300,G452,2)</f>
        <v>330 ml</v>
      </c>
      <c r="K452" s="0" t="str">
        <f aca="false">INDEX(Laporan!$A$1:$AZ$300,G452,3)</f>
        <v>Shift 1</v>
      </c>
      <c r="L452" s="0" t="n">
        <f aca="false">INDEX(Laporan!$A$1:$AZ$300,G452,4)</f>
        <v>1</v>
      </c>
      <c r="M452" s="1" t="n">
        <f aca="false">DATE(Pemetaan!$B$1,VALUE(RIGHT(INDEX(Laporan!$A$1:$AZ$300,F452+1,H452),2)),VALUE(LEFT(INDEX(Laporan!$A$1:$AZ$300,F452+1,H452),2)))</f>
        <v>46083</v>
      </c>
      <c r="N452" s="0" t="n">
        <f aca="false">INDEX(Laporan!$A$1:$AZ$300,G452,H452)</f>
        <v>3342</v>
      </c>
      <c r="O452" s="0" t="n">
        <f aca="false">IF(N452="","",IFERROR(VALUE(SUBSTITUTE(SUBSTITUTE(N452," btl",""),".","")),""))</f>
        <v>3342</v>
      </c>
      <c r="P452" s="0" t="str">
        <f aca="false">IF(B452="PRODUKSI","produced","reject")</f>
        <v>produced</v>
      </c>
    </row>
    <row r="453" customFormat="false" ht="15" hidden="false" customHeight="false" outlineLevel="0" collapsed="false">
      <c r="A453" s="0" t="n">
        <v>452</v>
      </c>
      <c r="B453" s="0" t="str">
        <f aca="false">IF(A453&lt;=36*25,"PRODUKSI","REJECT")</f>
        <v>PRODUKSI</v>
      </c>
      <c r="C453" s="0" t="n">
        <f aca="false">MOD(A453-1,Pemetaan!$B$3*Pemetaan!$B$4)</f>
        <v>451</v>
      </c>
      <c r="D453" s="0" t="n">
        <f aca="false">INT(C453/Pemetaan!$B$4)</f>
        <v>18</v>
      </c>
      <c r="E453" s="0" t="n">
        <f aca="false">MOD(C453,Pemetaan!$B$4)</f>
        <v>1</v>
      </c>
      <c r="F453" s="0" t="n">
        <f aca="false">IF(B453="PRODUKSI",Pemetaan!$B$5,Pemetaan!$B$6)</f>
        <v>5</v>
      </c>
      <c r="G453" s="0" t="n">
        <f aca="false">F453+2+D453</f>
        <v>25</v>
      </c>
      <c r="H453" s="0" t="n">
        <f aca="false">Pemetaan!$B$2+E453</f>
        <v>6</v>
      </c>
      <c r="I453" s="0" t="str">
        <f aca="false">INDEX(Laporan!$A$1:$AZ$300,G453,1)</f>
        <v>Mixing</v>
      </c>
      <c r="J453" s="0" t="str">
        <f aca="false">INDEX(Laporan!$A$1:$AZ$300,G453,2)</f>
        <v>330 ml</v>
      </c>
      <c r="K453" s="0" t="str">
        <f aca="false">INDEX(Laporan!$A$1:$AZ$300,G453,3)</f>
        <v>Shift 1</v>
      </c>
      <c r="L453" s="0" t="n">
        <f aca="false">INDEX(Laporan!$A$1:$AZ$300,G453,4)</f>
        <v>1</v>
      </c>
      <c r="M453" s="1" t="n">
        <f aca="false">DATE(Pemetaan!$B$1,VALUE(RIGHT(INDEX(Laporan!$A$1:$AZ$300,F453+1,H453),2)),VALUE(LEFT(INDEX(Laporan!$A$1:$AZ$300,F453+1,H453),2)))</f>
        <v>46084</v>
      </c>
      <c r="N453" s="0" t="n">
        <f aca="false">INDEX(Laporan!$A$1:$AZ$300,G453,H453)</f>
        <v>3168</v>
      </c>
      <c r="O453" s="0" t="n">
        <f aca="false">IF(N453="","",IFERROR(VALUE(SUBSTITUTE(SUBSTITUTE(N453," btl",""),".","")),""))</f>
        <v>3168</v>
      </c>
      <c r="P453" s="0" t="str">
        <f aca="false">IF(B453="PRODUKSI","produced","reject")</f>
        <v>produced</v>
      </c>
    </row>
    <row r="454" customFormat="false" ht="15" hidden="false" customHeight="false" outlineLevel="0" collapsed="false">
      <c r="A454" s="0" t="n">
        <v>453</v>
      </c>
      <c r="B454" s="0" t="str">
        <f aca="false">IF(A454&lt;=36*25,"PRODUKSI","REJECT")</f>
        <v>PRODUKSI</v>
      </c>
      <c r="C454" s="0" t="n">
        <f aca="false">MOD(A454-1,Pemetaan!$B$3*Pemetaan!$B$4)</f>
        <v>452</v>
      </c>
      <c r="D454" s="0" t="n">
        <f aca="false">INT(C454/Pemetaan!$B$4)</f>
        <v>18</v>
      </c>
      <c r="E454" s="0" t="n">
        <f aca="false">MOD(C454,Pemetaan!$B$4)</f>
        <v>2</v>
      </c>
      <c r="F454" s="0" t="n">
        <f aca="false">IF(B454="PRODUKSI",Pemetaan!$B$5,Pemetaan!$B$6)</f>
        <v>5</v>
      </c>
      <c r="G454" s="0" t="n">
        <f aca="false">F454+2+D454</f>
        <v>25</v>
      </c>
      <c r="H454" s="0" t="n">
        <f aca="false">Pemetaan!$B$2+E454</f>
        <v>7</v>
      </c>
      <c r="I454" s="0" t="str">
        <f aca="false">INDEX(Laporan!$A$1:$AZ$300,G454,1)</f>
        <v>Mixing</v>
      </c>
      <c r="J454" s="0" t="str">
        <f aca="false">INDEX(Laporan!$A$1:$AZ$300,G454,2)</f>
        <v>330 ml</v>
      </c>
      <c r="K454" s="0" t="str">
        <f aca="false">INDEX(Laporan!$A$1:$AZ$300,G454,3)</f>
        <v>Shift 1</v>
      </c>
      <c r="L454" s="0" t="n">
        <f aca="false">INDEX(Laporan!$A$1:$AZ$300,G454,4)</f>
        <v>1</v>
      </c>
      <c r="M454" s="1" t="n">
        <f aca="false">DATE(Pemetaan!$B$1,VALUE(RIGHT(INDEX(Laporan!$A$1:$AZ$300,F454+1,H454),2)),VALUE(LEFT(INDEX(Laporan!$A$1:$AZ$300,F454+1,H454),2)))</f>
        <v>46085</v>
      </c>
      <c r="N454" s="0" t="n">
        <f aca="false">INDEX(Laporan!$A$1:$AZ$300,G454,H454)</f>
        <v>3660</v>
      </c>
      <c r="O454" s="0" t="n">
        <f aca="false">IF(N454="","",IFERROR(VALUE(SUBSTITUTE(SUBSTITUTE(N454," btl",""),".","")),""))</f>
        <v>3660</v>
      </c>
      <c r="P454" s="0" t="str">
        <f aca="false">IF(B454="PRODUKSI","produced","reject")</f>
        <v>produced</v>
      </c>
    </row>
    <row r="455" customFormat="false" ht="15" hidden="false" customHeight="false" outlineLevel="0" collapsed="false">
      <c r="A455" s="0" t="n">
        <v>454</v>
      </c>
      <c r="B455" s="0" t="str">
        <f aca="false">IF(A455&lt;=36*25,"PRODUKSI","REJECT")</f>
        <v>PRODUKSI</v>
      </c>
      <c r="C455" s="0" t="n">
        <f aca="false">MOD(A455-1,Pemetaan!$B$3*Pemetaan!$B$4)</f>
        <v>453</v>
      </c>
      <c r="D455" s="0" t="n">
        <f aca="false">INT(C455/Pemetaan!$B$4)</f>
        <v>18</v>
      </c>
      <c r="E455" s="0" t="n">
        <f aca="false">MOD(C455,Pemetaan!$B$4)</f>
        <v>3</v>
      </c>
      <c r="F455" s="0" t="n">
        <f aca="false">IF(B455="PRODUKSI",Pemetaan!$B$5,Pemetaan!$B$6)</f>
        <v>5</v>
      </c>
      <c r="G455" s="0" t="n">
        <f aca="false">F455+2+D455</f>
        <v>25</v>
      </c>
      <c r="H455" s="0" t="n">
        <f aca="false">Pemetaan!$B$2+E455</f>
        <v>8</v>
      </c>
      <c r="I455" s="0" t="str">
        <f aca="false">INDEX(Laporan!$A$1:$AZ$300,G455,1)</f>
        <v>Mixing</v>
      </c>
      <c r="J455" s="0" t="str">
        <f aca="false">INDEX(Laporan!$A$1:$AZ$300,G455,2)</f>
        <v>330 ml</v>
      </c>
      <c r="K455" s="0" t="str">
        <f aca="false">INDEX(Laporan!$A$1:$AZ$300,G455,3)</f>
        <v>Shift 1</v>
      </c>
      <c r="L455" s="0" t="n">
        <f aca="false">INDEX(Laporan!$A$1:$AZ$300,G455,4)</f>
        <v>1</v>
      </c>
      <c r="M455" s="1" t="n">
        <f aca="false">DATE(Pemetaan!$B$1,VALUE(RIGHT(INDEX(Laporan!$A$1:$AZ$300,F455+1,H455),2)),VALUE(LEFT(INDEX(Laporan!$A$1:$AZ$300,F455+1,H455),2)))</f>
        <v>46086</v>
      </c>
      <c r="N455" s="0" t="n">
        <f aca="false">INDEX(Laporan!$A$1:$AZ$300,G455,H455)</f>
        <v>3373</v>
      </c>
      <c r="O455" s="0" t="n">
        <f aca="false">IF(N455="","",IFERROR(VALUE(SUBSTITUTE(SUBSTITUTE(N455," btl",""),".","")),""))</f>
        <v>3373</v>
      </c>
      <c r="P455" s="0" t="str">
        <f aca="false">IF(B455="PRODUKSI","produced","reject")</f>
        <v>produced</v>
      </c>
    </row>
    <row r="456" customFormat="false" ht="15" hidden="false" customHeight="false" outlineLevel="0" collapsed="false">
      <c r="A456" s="0" t="n">
        <v>455</v>
      </c>
      <c r="B456" s="0" t="str">
        <f aca="false">IF(A456&lt;=36*25,"PRODUKSI","REJECT")</f>
        <v>PRODUKSI</v>
      </c>
      <c r="C456" s="0" t="n">
        <f aca="false">MOD(A456-1,Pemetaan!$B$3*Pemetaan!$B$4)</f>
        <v>454</v>
      </c>
      <c r="D456" s="0" t="n">
        <f aca="false">INT(C456/Pemetaan!$B$4)</f>
        <v>18</v>
      </c>
      <c r="E456" s="0" t="n">
        <f aca="false">MOD(C456,Pemetaan!$B$4)</f>
        <v>4</v>
      </c>
      <c r="F456" s="0" t="n">
        <f aca="false">IF(B456="PRODUKSI",Pemetaan!$B$5,Pemetaan!$B$6)</f>
        <v>5</v>
      </c>
      <c r="G456" s="0" t="n">
        <f aca="false">F456+2+D456</f>
        <v>25</v>
      </c>
      <c r="H456" s="0" t="n">
        <f aca="false">Pemetaan!$B$2+E456</f>
        <v>9</v>
      </c>
      <c r="I456" s="0" t="str">
        <f aca="false">INDEX(Laporan!$A$1:$AZ$300,G456,1)</f>
        <v>Mixing</v>
      </c>
      <c r="J456" s="0" t="str">
        <f aca="false">INDEX(Laporan!$A$1:$AZ$300,G456,2)</f>
        <v>330 ml</v>
      </c>
      <c r="K456" s="0" t="str">
        <f aca="false">INDEX(Laporan!$A$1:$AZ$300,G456,3)</f>
        <v>Shift 1</v>
      </c>
      <c r="L456" s="0" t="n">
        <f aca="false">INDEX(Laporan!$A$1:$AZ$300,G456,4)</f>
        <v>1</v>
      </c>
      <c r="M456" s="1" t="n">
        <f aca="false">DATE(Pemetaan!$B$1,VALUE(RIGHT(INDEX(Laporan!$A$1:$AZ$300,F456+1,H456),2)),VALUE(LEFT(INDEX(Laporan!$A$1:$AZ$300,F456+1,H456),2)))</f>
        <v>46087</v>
      </c>
      <c r="N456" s="0" t="n">
        <f aca="false">INDEX(Laporan!$A$1:$AZ$300,G456,H456)</f>
        <v>3118</v>
      </c>
      <c r="O456" s="0" t="n">
        <f aca="false">IF(N456="","",IFERROR(VALUE(SUBSTITUTE(SUBSTITUTE(N456," btl",""),".","")),""))</f>
        <v>3118</v>
      </c>
      <c r="P456" s="0" t="str">
        <f aca="false">IF(B456="PRODUKSI","produced","reject")</f>
        <v>produced</v>
      </c>
    </row>
    <row r="457" customFormat="false" ht="15" hidden="false" customHeight="false" outlineLevel="0" collapsed="false">
      <c r="A457" s="0" t="n">
        <v>456</v>
      </c>
      <c r="B457" s="0" t="str">
        <f aca="false">IF(A457&lt;=36*25,"PRODUKSI","REJECT")</f>
        <v>PRODUKSI</v>
      </c>
      <c r="C457" s="0" t="n">
        <f aca="false">MOD(A457-1,Pemetaan!$B$3*Pemetaan!$B$4)</f>
        <v>455</v>
      </c>
      <c r="D457" s="0" t="n">
        <f aca="false">INT(C457/Pemetaan!$B$4)</f>
        <v>18</v>
      </c>
      <c r="E457" s="0" t="n">
        <f aca="false">MOD(C457,Pemetaan!$B$4)</f>
        <v>5</v>
      </c>
      <c r="F457" s="0" t="n">
        <f aca="false">IF(B457="PRODUKSI",Pemetaan!$B$5,Pemetaan!$B$6)</f>
        <v>5</v>
      </c>
      <c r="G457" s="0" t="n">
        <f aca="false">F457+2+D457</f>
        <v>25</v>
      </c>
      <c r="H457" s="0" t="n">
        <f aca="false">Pemetaan!$B$2+E457</f>
        <v>10</v>
      </c>
      <c r="I457" s="0" t="str">
        <f aca="false">INDEX(Laporan!$A$1:$AZ$300,G457,1)</f>
        <v>Mixing</v>
      </c>
      <c r="J457" s="0" t="str">
        <f aca="false">INDEX(Laporan!$A$1:$AZ$300,G457,2)</f>
        <v>330 ml</v>
      </c>
      <c r="K457" s="0" t="str">
        <f aca="false">INDEX(Laporan!$A$1:$AZ$300,G457,3)</f>
        <v>Shift 1</v>
      </c>
      <c r="L457" s="0" t="n">
        <f aca="false">INDEX(Laporan!$A$1:$AZ$300,G457,4)</f>
        <v>1</v>
      </c>
      <c r="M457" s="1" t="n">
        <f aca="false">DATE(Pemetaan!$B$1,VALUE(RIGHT(INDEX(Laporan!$A$1:$AZ$300,F457+1,H457),2)),VALUE(LEFT(INDEX(Laporan!$A$1:$AZ$300,F457+1,H457),2)))</f>
        <v>46090</v>
      </c>
      <c r="N457" s="0" t="n">
        <f aca="false">INDEX(Laporan!$A$1:$AZ$300,G457,H457)</f>
        <v>3245</v>
      </c>
      <c r="O457" s="0" t="n">
        <f aca="false">IF(N457="","",IFERROR(VALUE(SUBSTITUTE(SUBSTITUTE(N457," btl",""),".","")),""))</f>
        <v>3245</v>
      </c>
      <c r="P457" s="0" t="str">
        <f aca="false">IF(B457="PRODUKSI","produced","reject")</f>
        <v>produced</v>
      </c>
    </row>
    <row r="458" customFormat="false" ht="15" hidden="false" customHeight="false" outlineLevel="0" collapsed="false">
      <c r="A458" s="0" t="n">
        <v>457</v>
      </c>
      <c r="B458" s="0" t="str">
        <f aca="false">IF(A458&lt;=36*25,"PRODUKSI","REJECT")</f>
        <v>PRODUKSI</v>
      </c>
      <c r="C458" s="0" t="n">
        <f aca="false">MOD(A458-1,Pemetaan!$B$3*Pemetaan!$B$4)</f>
        <v>456</v>
      </c>
      <c r="D458" s="0" t="n">
        <f aca="false">INT(C458/Pemetaan!$B$4)</f>
        <v>18</v>
      </c>
      <c r="E458" s="0" t="n">
        <f aca="false">MOD(C458,Pemetaan!$B$4)</f>
        <v>6</v>
      </c>
      <c r="F458" s="0" t="n">
        <f aca="false">IF(B458="PRODUKSI",Pemetaan!$B$5,Pemetaan!$B$6)</f>
        <v>5</v>
      </c>
      <c r="G458" s="0" t="n">
        <f aca="false">F458+2+D458</f>
        <v>25</v>
      </c>
      <c r="H458" s="0" t="n">
        <f aca="false">Pemetaan!$B$2+E458</f>
        <v>11</v>
      </c>
      <c r="I458" s="0" t="str">
        <f aca="false">INDEX(Laporan!$A$1:$AZ$300,G458,1)</f>
        <v>Mixing</v>
      </c>
      <c r="J458" s="0" t="str">
        <f aca="false">INDEX(Laporan!$A$1:$AZ$300,G458,2)</f>
        <v>330 ml</v>
      </c>
      <c r="K458" s="0" t="str">
        <f aca="false">INDEX(Laporan!$A$1:$AZ$300,G458,3)</f>
        <v>Shift 1</v>
      </c>
      <c r="L458" s="0" t="n">
        <f aca="false">INDEX(Laporan!$A$1:$AZ$300,G458,4)</f>
        <v>1</v>
      </c>
      <c r="M458" s="1" t="n">
        <f aca="false">DATE(Pemetaan!$B$1,VALUE(RIGHT(INDEX(Laporan!$A$1:$AZ$300,F458+1,H458),2)),VALUE(LEFT(INDEX(Laporan!$A$1:$AZ$300,F458+1,H458),2)))</f>
        <v>46091</v>
      </c>
      <c r="N458" s="0" t="n">
        <f aca="false">INDEX(Laporan!$A$1:$AZ$300,G458,H458)</f>
        <v>3140</v>
      </c>
      <c r="O458" s="0" t="n">
        <f aca="false">IF(N458="","",IFERROR(VALUE(SUBSTITUTE(SUBSTITUTE(N458," btl",""),".","")),""))</f>
        <v>3140</v>
      </c>
      <c r="P458" s="0" t="str">
        <f aca="false">IF(B458="PRODUKSI","produced","reject")</f>
        <v>produced</v>
      </c>
    </row>
    <row r="459" customFormat="false" ht="15" hidden="false" customHeight="false" outlineLevel="0" collapsed="false">
      <c r="A459" s="0" t="n">
        <v>458</v>
      </c>
      <c r="B459" s="0" t="str">
        <f aca="false">IF(A459&lt;=36*25,"PRODUKSI","REJECT")</f>
        <v>PRODUKSI</v>
      </c>
      <c r="C459" s="0" t="n">
        <f aca="false">MOD(A459-1,Pemetaan!$B$3*Pemetaan!$B$4)</f>
        <v>457</v>
      </c>
      <c r="D459" s="0" t="n">
        <f aca="false">INT(C459/Pemetaan!$B$4)</f>
        <v>18</v>
      </c>
      <c r="E459" s="0" t="n">
        <f aca="false">MOD(C459,Pemetaan!$B$4)</f>
        <v>7</v>
      </c>
      <c r="F459" s="0" t="n">
        <f aca="false">IF(B459="PRODUKSI",Pemetaan!$B$5,Pemetaan!$B$6)</f>
        <v>5</v>
      </c>
      <c r="G459" s="0" t="n">
        <f aca="false">F459+2+D459</f>
        <v>25</v>
      </c>
      <c r="H459" s="0" t="n">
        <f aca="false">Pemetaan!$B$2+E459</f>
        <v>12</v>
      </c>
      <c r="I459" s="0" t="str">
        <f aca="false">INDEX(Laporan!$A$1:$AZ$300,G459,1)</f>
        <v>Mixing</v>
      </c>
      <c r="J459" s="0" t="str">
        <f aca="false">INDEX(Laporan!$A$1:$AZ$300,G459,2)</f>
        <v>330 ml</v>
      </c>
      <c r="K459" s="0" t="str">
        <f aca="false">INDEX(Laporan!$A$1:$AZ$300,G459,3)</f>
        <v>Shift 1</v>
      </c>
      <c r="L459" s="0" t="n">
        <f aca="false">INDEX(Laporan!$A$1:$AZ$300,G459,4)</f>
        <v>1</v>
      </c>
      <c r="M459" s="1" t="n">
        <f aca="false">DATE(Pemetaan!$B$1,VALUE(RIGHT(INDEX(Laporan!$A$1:$AZ$300,F459+1,H459),2)),VALUE(LEFT(INDEX(Laporan!$A$1:$AZ$300,F459+1,H459),2)))</f>
        <v>46092</v>
      </c>
      <c r="N459" s="0" t="n">
        <f aca="false">INDEX(Laporan!$A$1:$AZ$300,G459,H459)</f>
        <v>2931</v>
      </c>
      <c r="O459" s="0" t="n">
        <f aca="false">IF(N459="","",IFERROR(VALUE(SUBSTITUTE(SUBSTITUTE(N459," btl",""),".","")),""))</f>
        <v>2931</v>
      </c>
      <c r="P459" s="0" t="str">
        <f aca="false">IF(B459="PRODUKSI","produced","reject")</f>
        <v>produced</v>
      </c>
    </row>
    <row r="460" customFormat="false" ht="15" hidden="false" customHeight="false" outlineLevel="0" collapsed="false">
      <c r="A460" s="0" t="n">
        <v>459</v>
      </c>
      <c r="B460" s="0" t="str">
        <f aca="false">IF(A460&lt;=36*25,"PRODUKSI","REJECT")</f>
        <v>PRODUKSI</v>
      </c>
      <c r="C460" s="0" t="n">
        <f aca="false">MOD(A460-1,Pemetaan!$B$3*Pemetaan!$B$4)</f>
        <v>458</v>
      </c>
      <c r="D460" s="0" t="n">
        <f aca="false">INT(C460/Pemetaan!$B$4)</f>
        <v>18</v>
      </c>
      <c r="E460" s="0" t="n">
        <f aca="false">MOD(C460,Pemetaan!$B$4)</f>
        <v>8</v>
      </c>
      <c r="F460" s="0" t="n">
        <f aca="false">IF(B460="PRODUKSI",Pemetaan!$B$5,Pemetaan!$B$6)</f>
        <v>5</v>
      </c>
      <c r="G460" s="0" t="n">
        <f aca="false">F460+2+D460</f>
        <v>25</v>
      </c>
      <c r="H460" s="0" t="n">
        <f aca="false">Pemetaan!$B$2+E460</f>
        <v>13</v>
      </c>
      <c r="I460" s="0" t="str">
        <f aca="false">INDEX(Laporan!$A$1:$AZ$300,G460,1)</f>
        <v>Mixing</v>
      </c>
      <c r="J460" s="0" t="str">
        <f aca="false">INDEX(Laporan!$A$1:$AZ$300,G460,2)</f>
        <v>330 ml</v>
      </c>
      <c r="K460" s="0" t="str">
        <f aca="false">INDEX(Laporan!$A$1:$AZ$300,G460,3)</f>
        <v>Shift 1</v>
      </c>
      <c r="L460" s="0" t="n">
        <f aca="false">INDEX(Laporan!$A$1:$AZ$300,G460,4)</f>
        <v>1</v>
      </c>
      <c r="M460" s="1" t="n">
        <f aca="false">DATE(Pemetaan!$B$1,VALUE(RIGHT(INDEX(Laporan!$A$1:$AZ$300,F460+1,H460),2)),VALUE(LEFT(INDEX(Laporan!$A$1:$AZ$300,F460+1,H460),2)))</f>
        <v>46093</v>
      </c>
      <c r="N460" s="0" t="n">
        <f aca="false">INDEX(Laporan!$A$1:$AZ$300,G460,H460)</f>
        <v>3059</v>
      </c>
      <c r="O460" s="0" t="n">
        <f aca="false">IF(N460="","",IFERROR(VALUE(SUBSTITUTE(SUBSTITUTE(N460," btl",""),".","")),""))</f>
        <v>3059</v>
      </c>
      <c r="P460" s="0" t="str">
        <f aca="false">IF(B460="PRODUKSI","produced","reject")</f>
        <v>produced</v>
      </c>
    </row>
    <row r="461" customFormat="false" ht="15" hidden="false" customHeight="false" outlineLevel="0" collapsed="false">
      <c r="A461" s="0" t="n">
        <v>460</v>
      </c>
      <c r="B461" s="0" t="str">
        <f aca="false">IF(A461&lt;=36*25,"PRODUKSI","REJECT")</f>
        <v>PRODUKSI</v>
      </c>
      <c r="C461" s="0" t="n">
        <f aca="false">MOD(A461-1,Pemetaan!$B$3*Pemetaan!$B$4)</f>
        <v>459</v>
      </c>
      <c r="D461" s="0" t="n">
        <f aca="false">INT(C461/Pemetaan!$B$4)</f>
        <v>18</v>
      </c>
      <c r="E461" s="0" t="n">
        <f aca="false">MOD(C461,Pemetaan!$B$4)</f>
        <v>9</v>
      </c>
      <c r="F461" s="0" t="n">
        <f aca="false">IF(B461="PRODUKSI",Pemetaan!$B$5,Pemetaan!$B$6)</f>
        <v>5</v>
      </c>
      <c r="G461" s="0" t="n">
        <f aca="false">F461+2+D461</f>
        <v>25</v>
      </c>
      <c r="H461" s="0" t="n">
        <f aca="false">Pemetaan!$B$2+E461</f>
        <v>14</v>
      </c>
      <c r="I461" s="0" t="str">
        <f aca="false">INDEX(Laporan!$A$1:$AZ$300,G461,1)</f>
        <v>Mixing</v>
      </c>
      <c r="J461" s="0" t="str">
        <f aca="false">INDEX(Laporan!$A$1:$AZ$300,G461,2)</f>
        <v>330 ml</v>
      </c>
      <c r="K461" s="0" t="str">
        <f aca="false">INDEX(Laporan!$A$1:$AZ$300,G461,3)</f>
        <v>Shift 1</v>
      </c>
      <c r="L461" s="0" t="n">
        <f aca="false">INDEX(Laporan!$A$1:$AZ$300,G461,4)</f>
        <v>1</v>
      </c>
      <c r="M461" s="1" t="n">
        <f aca="false">DATE(Pemetaan!$B$1,VALUE(RIGHT(INDEX(Laporan!$A$1:$AZ$300,F461+1,H461),2)),VALUE(LEFT(INDEX(Laporan!$A$1:$AZ$300,F461+1,H461),2)))</f>
        <v>46094</v>
      </c>
      <c r="N461" s="0" t="n">
        <f aca="false">INDEX(Laporan!$A$1:$AZ$300,G461,H461)</f>
        <v>3008</v>
      </c>
      <c r="O461" s="0" t="n">
        <f aca="false">IF(N461="","",IFERROR(VALUE(SUBSTITUTE(SUBSTITUTE(N461," btl",""),".","")),""))</f>
        <v>3008</v>
      </c>
      <c r="P461" s="0" t="str">
        <f aca="false">IF(B461="PRODUKSI","produced","reject")</f>
        <v>produced</v>
      </c>
    </row>
    <row r="462" customFormat="false" ht="15" hidden="false" customHeight="false" outlineLevel="0" collapsed="false">
      <c r="A462" s="0" t="n">
        <v>461</v>
      </c>
      <c r="B462" s="0" t="str">
        <f aca="false">IF(A462&lt;=36*25,"PRODUKSI","REJECT")</f>
        <v>PRODUKSI</v>
      </c>
      <c r="C462" s="0" t="n">
        <f aca="false">MOD(A462-1,Pemetaan!$B$3*Pemetaan!$B$4)</f>
        <v>460</v>
      </c>
      <c r="D462" s="0" t="n">
        <f aca="false">INT(C462/Pemetaan!$B$4)</f>
        <v>18</v>
      </c>
      <c r="E462" s="0" t="n">
        <f aca="false">MOD(C462,Pemetaan!$B$4)</f>
        <v>10</v>
      </c>
      <c r="F462" s="0" t="n">
        <f aca="false">IF(B462="PRODUKSI",Pemetaan!$B$5,Pemetaan!$B$6)</f>
        <v>5</v>
      </c>
      <c r="G462" s="0" t="n">
        <f aca="false">F462+2+D462</f>
        <v>25</v>
      </c>
      <c r="H462" s="0" t="n">
        <f aca="false">Pemetaan!$B$2+E462</f>
        <v>15</v>
      </c>
      <c r="I462" s="0" t="str">
        <f aca="false">INDEX(Laporan!$A$1:$AZ$300,G462,1)</f>
        <v>Mixing</v>
      </c>
      <c r="J462" s="0" t="str">
        <f aca="false">INDEX(Laporan!$A$1:$AZ$300,G462,2)</f>
        <v>330 ml</v>
      </c>
      <c r="K462" s="0" t="str">
        <f aca="false">INDEX(Laporan!$A$1:$AZ$300,G462,3)</f>
        <v>Shift 1</v>
      </c>
      <c r="L462" s="0" t="n">
        <f aca="false">INDEX(Laporan!$A$1:$AZ$300,G462,4)</f>
        <v>1</v>
      </c>
      <c r="M462" s="1" t="n">
        <f aca="false">DATE(Pemetaan!$B$1,VALUE(RIGHT(INDEX(Laporan!$A$1:$AZ$300,F462+1,H462),2)),VALUE(LEFT(INDEX(Laporan!$A$1:$AZ$300,F462+1,H462),2)))</f>
        <v>46097</v>
      </c>
      <c r="N462" s="0" t="str">
        <f aca="false">INDEX(Laporan!$A$1:$AZ$300,G462,H462)</f>
        <v>n/a</v>
      </c>
      <c r="O462" s="0" t="str">
        <f aca="false">IF(N462="","",IFERROR(VALUE(SUBSTITUTE(SUBSTITUTE(N462," btl",""),".","")),""))</f>
        <v/>
      </c>
      <c r="P462" s="0" t="str">
        <f aca="false">IF(B462="PRODUKSI","produced","reject")</f>
        <v>produced</v>
      </c>
    </row>
    <row r="463" customFormat="false" ht="15" hidden="false" customHeight="false" outlineLevel="0" collapsed="false">
      <c r="A463" s="0" t="n">
        <v>462</v>
      </c>
      <c r="B463" s="0" t="str">
        <f aca="false">IF(A463&lt;=36*25,"PRODUKSI","REJECT")</f>
        <v>PRODUKSI</v>
      </c>
      <c r="C463" s="0" t="n">
        <f aca="false">MOD(A463-1,Pemetaan!$B$3*Pemetaan!$B$4)</f>
        <v>461</v>
      </c>
      <c r="D463" s="0" t="n">
        <f aca="false">INT(C463/Pemetaan!$B$4)</f>
        <v>18</v>
      </c>
      <c r="E463" s="0" t="n">
        <f aca="false">MOD(C463,Pemetaan!$B$4)</f>
        <v>11</v>
      </c>
      <c r="F463" s="0" t="n">
        <f aca="false">IF(B463="PRODUKSI",Pemetaan!$B$5,Pemetaan!$B$6)</f>
        <v>5</v>
      </c>
      <c r="G463" s="0" t="n">
        <f aca="false">F463+2+D463</f>
        <v>25</v>
      </c>
      <c r="H463" s="0" t="n">
        <f aca="false">Pemetaan!$B$2+E463</f>
        <v>16</v>
      </c>
      <c r="I463" s="0" t="str">
        <f aca="false">INDEX(Laporan!$A$1:$AZ$300,G463,1)</f>
        <v>Mixing</v>
      </c>
      <c r="J463" s="0" t="str">
        <f aca="false">INDEX(Laporan!$A$1:$AZ$300,G463,2)</f>
        <v>330 ml</v>
      </c>
      <c r="K463" s="0" t="str">
        <f aca="false">INDEX(Laporan!$A$1:$AZ$300,G463,3)</f>
        <v>Shift 1</v>
      </c>
      <c r="L463" s="0" t="n">
        <f aca="false">INDEX(Laporan!$A$1:$AZ$300,G463,4)</f>
        <v>1</v>
      </c>
      <c r="M463" s="1" t="n">
        <f aca="false">DATE(Pemetaan!$B$1,VALUE(RIGHT(INDEX(Laporan!$A$1:$AZ$300,F463+1,H463),2)),VALUE(LEFT(INDEX(Laporan!$A$1:$AZ$300,F463+1,H463),2)))</f>
        <v>46098</v>
      </c>
      <c r="N463" s="0" t="n">
        <f aca="false">INDEX(Laporan!$A$1:$AZ$300,G463,H463)</f>
        <v>3010</v>
      </c>
      <c r="O463" s="0" t="n">
        <f aca="false">IF(N463="","",IFERROR(VALUE(SUBSTITUTE(SUBSTITUTE(N463," btl",""),".","")),""))</f>
        <v>3010</v>
      </c>
      <c r="P463" s="0" t="str">
        <f aca="false">IF(B463="PRODUKSI","produced","reject")</f>
        <v>produced</v>
      </c>
    </row>
    <row r="464" customFormat="false" ht="15" hidden="false" customHeight="false" outlineLevel="0" collapsed="false">
      <c r="A464" s="0" t="n">
        <v>463</v>
      </c>
      <c r="B464" s="0" t="str">
        <f aca="false">IF(A464&lt;=36*25,"PRODUKSI","REJECT")</f>
        <v>PRODUKSI</v>
      </c>
      <c r="C464" s="0" t="n">
        <f aca="false">MOD(A464-1,Pemetaan!$B$3*Pemetaan!$B$4)</f>
        <v>462</v>
      </c>
      <c r="D464" s="0" t="n">
        <f aca="false">INT(C464/Pemetaan!$B$4)</f>
        <v>18</v>
      </c>
      <c r="E464" s="0" t="n">
        <f aca="false">MOD(C464,Pemetaan!$B$4)</f>
        <v>12</v>
      </c>
      <c r="F464" s="0" t="n">
        <f aca="false">IF(B464="PRODUKSI",Pemetaan!$B$5,Pemetaan!$B$6)</f>
        <v>5</v>
      </c>
      <c r="G464" s="0" t="n">
        <f aca="false">F464+2+D464</f>
        <v>25</v>
      </c>
      <c r="H464" s="0" t="n">
        <f aca="false">Pemetaan!$B$2+E464</f>
        <v>17</v>
      </c>
      <c r="I464" s="0" t="str">
        <f aca="false">INDEX(Laporan!$A$1:$AZ$300,G464,1)</f>
        <v>Mixing</v>
      </c>
      <c r="J464" s="0" t="str">
        <f aca="false">INDEX(Laporan!$A$1:$AZ$300,G464,2)</f>
        <v>330 ml</v>
      </c>
      <c r="K464" s="0" t="str">
        <f aca="false">INDEX(Laporan!$A$1:$AZ$300,G464,3)</f>
        <v>Shift 1</v>
      </c>
      <c r="L464" s="0" t="n">
        <f aca="false">INDEX(Laporan!$A$1:$AZ$300,G464,4)</f>
        <v>1</v>
      </c>
      <c r="M464" s="1" t="n">
        <f aca="false">DATE(Pemetaan!$B$1,VALUE(RIGHT(INDEX(Laporan!$A$1:$AZ$300,F464+1,H464),2)),VALUE(LEFT(INDEX(Laporan!$A$1:$AZ$300,F464+1,H464),2)))</f>
        <v>46099</v>
      </c>
      <c r="N464" s="0" t="n">
        <f aca="false">INDEX(Laporan!$A$1:$AZ$300,G464,H464)</f>
        <v>3244</v>
      </c>
      <c r="O464" s="0" t="n">
        <f aca="false">IF(N464="","",IFERROR(VALUE(SUBSTITUTE(SUBSTITUTE(N464," btl",""),".","")),""))</f>
        <v>3244</v>
      </c>
      <c r="P464" s="0" t="str">
        <f aca="false">IF(B464="PRODUKSI","produced","reject")</f>
        <v>produced</v>
      </c>
    </row>
    <row r="465" customFormat="false" ht="15" hidden="false" customHeight="false" outlineLevel="0" collapsed="false">
      <c r="A465" s="0" t="n">
        <v>464</v>
      </c>
      <c r="B465" s="0" t="str">
        <f aca="false">IF(A465&lt;=36*25,"PRODUKSI","REJECT")</f>
        <v>PRODUKSI</v>
      </c>
      <c r="C465" s="0" t="n">
        <f aca="false">MOD(A465-1,Pemetaan!$B$3*Pemetaan!$B$4)</f>
        <v>463</v>
      </c>
      <c r="D465" s="0" t="n">
        <f aca="false">INT(C465/Pemetaan!$B$4)</f>
        <v>18</v>
      </c>
      <c r="E465" s="0" t="n">
        <f aca="false">MOD(C465,Pemetaan!$B$4)</f>
        <v>13</v>
      </c>
      <c r="F465" s="0" t="n">
        <f aca="false">IF(B465="PRODUKSI",Pemetaan!$B$5,Pemetaan!$B$6)</f>
        <v>5</v>
      </c>
      <c r="G465" s="0" t="n">
        <f aca="false">F465+2+D465</f>
        <v>25</v>
      </c>
      <c r="H465" s="0" t="n">
        <f aca="false">Pemetaan!$B$2+E465</f>
        <v>18</v>
      </c>
      <c r="I465" s="0" t="str">
        <f aca="false">INDEX(Laporan!$A$1:$AZ$300,G465,1)</f>
        <v>Mixing</v>
      </c>
      <c r="J465" s="0" t="str">
        <f aca="false">INDEX(Laporan!$A$1:$AZ$300,G465,2)</f>
        <v>330 ml</v>
      </c>
      <c r="K465" s="0" t="str">
        <f aca="false">INDEX(Laporan!$A$1:$AZ$300,G465,3)</f>
        <v>Shift 1</v>
      </c>
      <c r="L465" s="0" t="n">
        <f aca="false">INDEX(Laporan!$A$1:$AZ$300,G465,4)</f>
        <v>1</v>
      </c>
      <c r="M465" s="1" t="n">
        <f aca="false">DATE(Pemetaan!$B$1,VALUE(RIGHT(INDEX(Laporan!$A$1:$AZ$300,F465+1,H465),2)),VALUE(LEFT(INDEX(Laporan!$A$1:$AZ$300,F465+1,H465),2)))</f>
        <v>46100</v>
      </c>
      <c r="N465" s="0" t="n">
        <f aca="false">INDEX(Laporan!$A$1:$AZ$300,G465,H465)</f>
        <v>2535</v>
      </c>
      <c r="O465" s="0" t="n">
        <f aca="false">IF(N465="","",IFERROR(VALUE(SUBSTITUTE(SUBSTITUTE(N465," btl",""),".","")),""))</f>
        <v>2535</v>
      </c>
      <c r="P465" s="0" t="str">
        <f aca="false">IF(B465="PRODUKSI","produced","reject")</f>
        <v>produced</v>
      </c>
    </row>
    <row r="466" customFormat="false" ht="15" hidden="false" customHeight="false" outlineLevel="0" collapsed="false">
      <c r="A466" s="0" t="n">
        <v>465</v>
      </c>
      <c r="B466" s="0" t="str">
        <f aca="false">IF(A466&lt;=36*25,"PRODUKSI","REJECT")</f>
        <v>PRODUKSI</v>
      </c>
      <c r="C466" s="0" t="n">
        <f aca="false">MOD(A466-1,Pemetaan!$B$3*Pemetaan!$B$4)</f>
        <v>464</v>
      </c>
      <c r="D466" s="0" t="n">
        <f aca="false">INT(C466/Pemetaan!$B$4)</f>
        <v>18</v>
      </c>
      <c r="E466" s="0" t="n">
        <f aca="false">MOD(C466,Pemetaan!$B$4)</f>
        <v>14</v>
      </c>
      <c r="F466" s="0" t="n">
        <f aca="false">IF(B466="PRODUKSI",Pemetaan!$B$5,Pemetaan!$B$6)</f>
        <v>5</v>
      </c>
      <c r="G466" s="0" t="n">
        <f aca="false">F466+2+D466</f>
        <v>25</v>
      </c>
      <c r="H466" s="0" t="n">
        <f aca="false">Pemetaan!$B$2+E466</f>
        <v>19</v>
      </c>
      <c r="I466" s="0" t="str">
        <f aca="false">INDEX(Laporan!$A$1:$AZ$300,G466,1)</f>
        <v>Mixing</v>
      </c>
      <c r="J466" s="0" t="str">
        <f aca="false">INDEX(Laporan!$A$1:$AZ$300,G466,2)</f>
        <v>330 ml</v>
      </c>
      <c r="K466" s="0" t="str">
        <f aca="false">INDEX(Laporan!$A$1:$AZ$300,G466,3)</f>
        <v>Shift 1</v>
      </c>
      <c r="L466" s="0" t="n">
        <f aca="false">INDEX(Laporan!$A$1:$AZ$300,G466,4)</f>
        <v>1</v>
      </c>
      <c r="M466" s="1" t="n">
        <f aca="false">DATE(Pemetaan!$B$1,VALUE(RIGHT(INDEX(Laporan!$A$1:$AZ$300,F466+1,H466),2)),VALUE(LEFT(INDEX(Laporan!$A$1:$AZ$300,F466+1,H466),2)))</f>
        <v>46101</v>
      </c>
      <c r="N466" s="0" t="n">
        <f aca="false">INDEX(Laporan!$A$1:$AZ$300,G466,H466)</f>
        <v>3203</v>
      </c>
      <c r="O466" s="0" t="n">
        <f aca="false">IF(N466="","",IFERROR(VALUE(SUBSTITUTE(SUBSTITUTE(N466," btl",""),".","")),""))</f>
        <v>3203</v>
      </c>
      <c r="P466" s="0" t="str">
        <f aca="false">IF(B466="PRODUKSI","produced","reject")</f>
        <v>produced</v>
      </c>
    </row>
    <row r="467" customFormat="false" ht="15" hidden="false" customHeight="false" outlineLevel="0" collapsed="false">
      <c r="A467" s="0" t="n">
        <v>466</v>
      </c>
      <c r="B467" s="0" t="str">
        <f aca="false">IF(A467&lt;=36*25,"PRODUKSI","REJECT")</f>
        <v>PRODUKSI</v>
      </c>
      <c r="C467" s="0" t="n">
        <f aca="false">MOD(A467-1,Pemetaan!$B$3*Pemetaan!$B$4)</f>
        <v>465</v>
      </c>
      <c r="D467" s="0" t="n">
        <f aca="false">INT(C467/Pemetaan!$B$4)</f>
        <v>18</v>
      </c>
      <c r="E467" s="0" t="n">
        <f aca="false">MOD(C467,Pemetaan!$B$4)</f>
        <v>15</v>
      </c>
      <c r="F467" s="0" t="n">
        <f aca="false">IF(B467="PRODUKSI",Pemetaan!$B$5,Pemetaan!$B$6)</f>
        <v>5</v>
      </c>
      <c r="G467" s="0" t="n">
        <f aca="false">F467+2+D467</f>
        <v>25</v>
      </c>
      <c r="H467" s="0" t="n">
        <f aca="false">Pemetaan!$B$2+E467</f>
        <v>20</v>
      </c>
      <c r="I467" s="0" t="str">
        <f aca="false">INDEX(Laporan!$A$1:$AZ$300,G467,1)</f>
        <v>Mixing</v>
      </c>
      <c r="J467" s="0" t="str">
        <f aca="false">INDEX(Laporan!$A$1:$AZ$300,G467,2)</f>
        <v>330 ml</v>
      </c>
      <c r="K467" s="0" t="str">
        <f aca="false">INDEX(Laporan!$A$1:$AZ$300,G467,3)</f>
        <v>Shift 1</v>
      </c>
      <c r="L467" s="0" t="n">
        <f aca="false">INDEX(Laporan!$A$1:$AZ$300,G467,4)</f>
        <v>1</v>
      </c>
      <c r="M467" s="1" t="n">
        <f aca="false">DATE(Pemetaan!$B$1,VALUE(RIGHT(INDEX(Laporan!$A$1:$AZ$300,F467+1,H467),2)),VALUE(LEFT(INDEX(Laporan!$A$1:$AZ$300,F467+1,H467),2)))</f>
        <v>46104</v>
      </c>
      <c r="N467" s="0" t="n">
        <f aca="false">INDEX(Laporan!$A$1:$AZ$300,G467,H467)</f>
        <v>3043</v>
      </c>
      <c r="O467" s="0" t="n">
        <f aca="false">IF(N467="","",IFERROR(VALUE(SUBSTITUTE(SUBSTITUTE(N467," btl",""),".","")),""))</f>
        <v>3043</v>
      </c>
      <c r="P467" s="0" t="str">
        <f aca="false">IF(B467="PRODUKSI","produced","reject")</f>
        <v>produced</v>
      </c>
    </row>
    <row r="468" customFormat="false" ht="15" hidden="false" customHeight="false" outlineLevel="0" collapsed="false">
      <c r="A468" s="0" t="n">
        <v>467</v>
      </c>
      <c r="B468" s="0" t="str">
        <f aca="false">IF(A468&lt;=36*25,"PRODUKSI","REJECT")</f>
        <v>PRODUKSI</v>
      </c>
      <c r="C468" s="0" t="n">
        <f aca="false">MOD(A468-1,Pemetaan!$B$3*Pemetaan!$B$4)</f>
        <v>466</v>
      </c>
      <c r="D468" s="0" t="n">
        <f aca="false">INT(C468/Pemetaan!$B$4)</f>
        <v>18</v>
      </c>
      <c r="E468" s="0" t="n">
        <f aca="false">MOD(C468,Pemetaan!$B$4)</f>
        <v>16</v>
      </c>
      <c r="F468" s="0" t="n">
        <f aca="false">IF(B468="PRODUKSI",Pemetaan!$B$5,Pemetaan!$B$6)</f>
        <v>5</v>
      </c>
      <c r="G468" s="0" t="n">
        <f aca="false">F468+2+D468</f>
        <v>25</v>
      </c>
      <c r="H468" s="0" t="n">
        <f aca="false">Pemetaan!$B$2+E468</f>
        <v>21</v>
      </c>
      <c r="I468" s="0" t="str">
        <f aca="false">INDEX(Laporan!$A$1:$AZ$300,G468,1)</f>
        <v>Mixing</v>
      </c>
      <c r="J468" s="0" t="str">
        <f aca="false">INDEX(Laporan!$A$1:$AZ$300,G468,2)</f>
        <v>330 ml</v>
      </c>
      <c r="K468" s="0" t="str">
        <f aca="false">INDEX(Laporan!$A$1:$AZ$300,G468,3)</f>
        <v>Shift 1</v>
      </c>
      <c r="L468" s="0" t="n">
        <f aca="false">INDEX(Laporan!$A$1:$AZ$300,G468,4)</f>
        <v>1</v>
      </c>
      <c r="M468" s="1" t="n">
        <f aca="false">DATE(Pemetaan!$B$1,VALUE(RIGHT(INDEX(Laporan!$A$1:$AZ$300,F468+1,H468),2)),VALUE(LEFT(INDEX(Laporan!$A$1:$AZ$300,F468+1,H468),2)))</f>
        <v>46105</v>
      </c>
      <c r="N468" s="0" t="n">
        <f aca="false">INDEX(Laporan!$A$1:$AZ$300,G468,H468)</f>
        <v>2982</v>
      </c>
      <c r="O468" s="0" t="n">
        <f aca="false">IF(N468="","",IFERROR(VALUE(SUBSTITUTE(SUBSTITUTE(N468," btl",""),".","")),""))</f>
        <v>2982</v>
      </c>
      <c r="P468" s="0" t="str">
        <f aca="false">IF(B468="PRODUKSI","produced","reject")</f>
        <v>produced</v>
      </c>
    </row>
    <row r="469" customFormat="false" ht="15" hidden="false" customHeight="false" outlineLevel="0" collapsed="false">
      <c r="A469" s="0" t="n">
        <v>468</v>
      </c>
      <c r="B469" s="0" t="str">
        <f aca="false">IF(A469&lt;=36*25,"PRODUKSI","REJECT")</f>
        <v>PRODUKSI</v>
      </c>
      <c r="C469" s="0" t="n">
        <f aca="false">MOD(A469-1,Pemetaan!$B$3*Pemetaan!$B$4)</f>
        <v>467</v>
      </c>
      <c r="D469" s="0" t="n">
        <f aca="false">INT(C469/Pemetaan!$B$4)</f>
        <v>18</v>
      </c>
      <c r="E469" s="0" t="n">
        <f aca="false">MOD(C469,Pemetaan!$B$4)</f>
        <v>17</v>
      </c>
      <c r="F469" s="0" t="n">
        <f aca="false">IF(B469="PRODUKSI",Pemetaan!$B$5,Pemetaan!$B$6)</f>
        <v>5</v>
      </c>
      <c r="G469" s="0" t="n">
        <f aca="false">F469+2+D469</f>
        <v>25</v>
      </c>
      <c r="H469" s="0" t="n">
        <f aca="false">Pemetaan!$B$2+E469</f>
        <v>22</v>
      </c>
      <c r="I469" s="0" t="str">
        <f aca="false">INDEX(Laporan!$A$1:$AZ$300,G469,1)</f>
        <v>Mixing</v>
      </c>
      <c r="J469" s="0" t="str">
        <f aca="false">INDEX(Laporan!$A$1:$AZ$300,G469,2)</f>
        <v>330 ml</v>
      </c>
      <c r="K469" s="0" t="str">
        <f aca="false">INDEX(Laporan!$A$1:$AZ$300,G469,3)</f>
        <v>Shift 1</v>
      </c>
      <c r="L469" s="0" t="n">
        <f aca="false">INDEX(Laporan!$A$1:$AZ$300,G469,4)</f>
        <v>1</v>
      </c>
      <c r="M469" s="1" t="n">
        <f aca="false">DATE(Pemetaan!$B$1,VALUE(RIGHT(INDEX(Laporan!$A$1:$AZ$300,F469+1,H469),2)),VALUE(LEFT(INDEX(Laporan!$A$1:$AZ$300,F469+1,H469),2)))</f>
        <v>46106</v>
      </c>
      <c r="N469" s="0" t="n">
        <f aca="false">INDEX(Laporan!$A$1:$AZ$300,G469,H469)</f>
        <v>3581</v>
      </c>
      <c r="O469" s="0" t="n">
        <f aca="false">IF(N469="","",IFERROR(VALUE(SUBSTITUTE(SUBSTITUTE(N469," btl",""),".","")),""))</f>
        <v>3581</v>
      </c>
      <c r="P469" s="0" t="str">
        <f aca="false">IF(B469="PRODUKSI","produced","reject")</f>
        <v>produced</v>
      </c>
    </row>
    <row r="470" customFormat="false" ht="15" hidden="false" customHeight="false" outlineLevel="0" collapsed="false">
      <c r="A470" s="0" t="n">
        <v>469</v>
      </c>
      <c r="B470" s="0" t="str">
        <f aca="false">IF(A470&lt;=36*25,"PRODUKSI","REJECT")</f>
        <v>PRODUKSI</v>
      </c>
      <c r="C470" s="0" t="n">
        <f aca="false">MOD(A470-1,Pemetaan!$B$3*Pemetaan!$B$4)</f>
        <v>468</v>
      </c>
      <c r="D470" s="0" t="n">
        <f aca="false">INT(C470/Pemetaan!$B$4)</f>
        <v>18</v>
      </c>
      <c r="E470" s="0" t="n">
        <f aca="false">MOD(C470,Pemetaan!$B$4)</f>
        <v>18</v>
      </c>
      <c r="F470" s="0" t="n">
        <f aca="false">IF(B470="PRODUKSI",Pemetaan!$B$5,Pemetaan!$B$6)</f>
        <v>5</v>
      </c>
      <c r="G470" s="0" t="n">
        <f aca="false">F470+2+D470</f>
        <v>25</v>
      </c>
      <c r="H470" s="0" t="n">
        <f aca="false">Pemetaan!$B$2+E470</f>
        <v>23</v>
      </c>
      <c r="I470" s="0" t="str">
        <f aca="false">INDEX(Laporan!$A$1:$AZ$300,G470,1)</f>
        <v>Mixing</v>
      </c>
      <c r="J470" s="0" t="str">
        <f aca="false">INDEX(Laporan!$A$1:$AZ$300,G470,2)</f>
        <v>330 ml</v>
      </c>
      <c r="K470" s="0" t="str">
        <f aca="false">INDEX(Laporan!$A$1:$AZ$300,G470,3)</f>
        <v>Shift 1</v>
      </c>
      <c r="L470" s="0" t="n">
        <f aca="false">INDEX(Laporan!$A$1:$AZ$300,G470,4)</f>
        <v>1</v>
      </c>
      <c r="M470" s="1" t="n">
        <f aca="false">DATE(Pemetaan!$B$1,VALUE(RIGHT(INDEX(Laporan!$A$1:$AZ$300,F470+1,H470),2)),VALUE(LEFT(INDEX(Laporan!$A$1:$AZ$300,F470+1,H470),2)))</f>
        <v>46107</v>
      </c>
      <c r="N470" s="0" t="n">
        <f aca="false">INDEX(Laporan!$A$1:$AZ$300,G470,H470)</f>
        <v>3539</v>
      </c>
      <c r="O470" s="0" t="n">
        <f aca="false">IF(N470="","",IFERROR(VALUE(SUBSTITUTE(SUBSTITUTE(N470," btl",""),".","")),""))</f>
        <v>3539</v>
      </c>
      <c r="P470" s="0" t="str">
        <f aca="false">IF(B470="PRODUKSI","produced","reject")</f>
        <v>produced</v>
      </c>
    </row>
    <row r="471" customFormat="false" ht="15" hidden="false" customHeight="false" outlineLevel="0" collapsed="false">
      <c r="A471" s="0" t="n">
        <v>470</v>
      </c>
      <c r="B471" s="0" t="str">
        <f aca="false">IF(A471&lt;=36*25,"PRODUKSI","REJECT")</f>
        <v>PRODUKSI</v>
      </c>
      <c r="C471" s="0" t="n">
        <f aca="false">MOD(A471-1,Pemetaan!$B$3*Pemetaan!$B$4)</f>
        <v>469</v>
      </c>
      <c r="D471" s="0" t="n">
        <f aca="false">INT(C471/Pemetaan!$B$4)</f>
        <v>18</v>
      </c>
      <c r="E471" s="0" t="n">
        <f aca="false">MOD(C471,Pemetaan!$B$4)</f>
        <v>19</v>
      </c>
      <c r="F471" s="0" t="n">
        <f aca="false">IF(B471="PRODUKSI",Pemetaan!$B$5,Pemetaan!$B$6)</f>
        <v>5</v>
      </c>
      <c r="G471" s="0" t="n">
        <f aca="false">F471+2+D471</f>
        <v>25</v>
      </c>
      <c r="H471" s="0" t="n">
        <f aca="false">Pemetaan!$B$2+E471</f>
        <v>24</v>
      </c>
      <c r="I471" s="0" t="str">
        <f aca="false">INDEX(Laporan!$A$1:$AZ$300,G471,1)</f>
        <v>Mixing</v>
      </c>
      <c r="J471" s="0" t="str">
        <f aca="false">INDEX(Laporan!$A$1:$AZ$300,G471,2)</f>
        <v>330 ml</v>
      </c>
      <c r="K471" s="0" t="str">
        <f aca="false">INDEX(Laporan!$A$1:$AZ$300,G471,3)</f>
        <v>Shift 1</v>
      </c>
      <c r="L471" s="0" t="n">
        <f aca="false">INDEX(Laporan!$A$1:$AZ$300,G471,4)</f>
        <v>1</v>
      </c>
      <c r="M471" s="1" t="n">
        <f aca="false">DATE(Pemetaan!$B$1,VALUE(RIGHT(INDEX(Laporan!$A$1:$AZ$300,F471+1,H471),2)),VALUE(LEFT(INDEX(Laporan!$A$1:$AZ$300,F471+1,H471),2)))</f>
        <v>46108</v>
      </c>
      <c r="N471" s="0" t="n">
        <f aca="false">INDEX(Laporan!$A$1:$AZ$300,G471,H471)</f>
        <v>2785</v>
      </c>
      <c r="O471" s="0" t="n">
        <f aca="false">IF(N471="","",IFERROR(VALUE(SUBSTITUTE(SUBSTITUTE(N471," btl",""),".","")),""))</f>
        <v>2785</v>
      </c>
      <c r="P471" s="0" t="str">
        <f aca="false">IF(B471="PRODUKSI","produced","reject")</f>
        <v>produced</v>
      </c>
    </row>
    <row r="472" customFormat="false" ht="15" hidden="false" customHeight="false" outlineLevel="0" collapsed="false">
      <c r="A472" s="0" t="n">
        <v>471</v>
      </c>
      <c r="B472" s="0" t="str">
        <f aca="false">IF(A472&lt;=36*25,"PRODUKSI","REJECT")</f>
        <v>PRODUKSI</v>
      </c>
      <c r="C472" s="0" t="n">
        <f aca="false">MOD(A472-1,Pemetaan!$B$3*Pemetaan!$B$4)</f>
        <v>470</v>
      </c>
      <c r="D472" s="0" t="n">
        <f aca="false">INT(C472/Pemetaan!$B$4)</f>
        <v>18</v>
      </c>
      <c r="E472" s="0" t="n">
        <f aca="false">MOD(C472,Pemetaan!$B$4)</f>
        <v>20</v>
      </c>
      <c r="F472" s="0" t="n">
        <f aca="false">IF(B472="PRODUKSI",Pemetaan!$B$5,Pemetaan!$B$6)</f>
        <v>5</v>
      </c>
      <c r="G472" s="0" t="n">
        <f aca="false">F472+2+D472</f>
        <v>25</v>
      </c>
      <c r="H472" s="0" t="n">
        <f aca="false">Pemetaan!$B$2+E472</f>
        <v>25</v>
      </c>
      <c r="I472" s="0" t="str">
        <f aca="false">INDEX(Laporan!$A$1:$AZ$300,G472,1)</f>
        <v>Mixing</v>
      </c>
      <c r="J472" s="0" t="str">
        <f aca="false">INDEX(Laporan!$A$1:$AZ$300,G472,2)</f>
        <v>330 ml</v>
      </c>
      <c r="K472" s="0" t="str">
        <f aca="false">INDEX(Laporan!$A$1:$AZ$300,G472,3)</f>
        <v>Shift 1</v>
      </c>
      <c r="L472" s="0" t="n">
        <f aca="false">INDEX(Laporan!$A$1:$AZ$300,G472,4)</f>
        <v>1</v>
      </c>
      <c r="M472" s="1" t="n">
        <f aca="false">DATE(Pemetaan!$B$1,VALUE(RIGHT(INDEX(Laporan!$A$1:$AZ$300,F472+1,H472),2)),VALUE(LEFT(INDEX(Laporan!$A$1:$AZ$300,F472+1,H472),2)))</f>
        <v>46111</v>
      </c>
      <c r="N472" s="0" t="n">
        <f aca="false">INDEX(Laporan!$A$1:$AZ$300,G472,H472)</f>
        <v>3103</v>
      </c>
      <c r="O472" s="0" t="n">
        <f aca="false">IF(N472="","",IFERROR(VALUE(SUBSTITUTE(SUBSTITUTE(N472," btl",""),".","")),""))</f>
        <v>3103</v>
      </c>
      <c r="P472" s="0" t="str">
        <f aca="false">IF(B472="PRODUKSI","produced","reject")</f>
        <v>produced</v>
      </c>
    </row>
    <row r="473" customFormat="false" ht="15" hidden="false" customHeight="false" outlineLevel="0" collapsed="false">
      <c r="A473" s="0" t="n">
        <v>472</v>
      </c>
      <c r="B473" s="0" t="str">
        <f aca="false">IF(A473&lt;=36*25,"PRODUKSI","REJECT")</f>
        <v>PRODUKSI</v>
      </c>
      <c r="C473" s="0" t="n">
        <f aca="false">MOD(A473-1,Pemetaan!$B$3*Pemetaan!$B$4)</f>
        <v>471</v>
      </c>
      <c r="D473" s="0" t="n">
        <f aca="false">INT(C473/Pemetaan!$B$4)</f>
        <v>18</v>
      </c>
      <c r="E473" s="0" t="n">
        <f aca="false">MOD(C473,Pemetaan!$B$4)</f>
        <v>21</v>
      </c>
      <c r="F473" s="0" t="n">
        <f aca="false">IF(B473="PRODUKSI",Pemetaan!$B$5,Pemetaan!$B$6)</f>
        <v>5</v>
      </c>
      <c r="G473" s="0" t="n">
        <f aca="false">F473+2+D473</f>
        <v>25</v>
      </c>
      <c r="H473" s="0" t="n">
        <f aca="false">Pemetaan!$B$2+E473</f>
        <v>26</v>
      </c>
      <c r="I473" s="0" t="str">
        <f aca="false">INDEX(Laporan!$A$1:$AZ$300,G473,1)</f>
        <v>Mixing</v>
      </c>
      <c r="J473" s="0" t="str">
        <f aca="false">INDEX(Laporan!$A$1:$AZ$300,G473,2)</f>
        <v>330 ml</v>
      </c>
      <c r="K473" s="0" t="str">
        <f aca="false">INDEX(Laporan!$A$1:$AZ$300,G473,3)</f>
        <v>Shift 1</v>
      </c>
      <c r="L473" s="0" t="n">
        <f aca="false">INDEX(Laporan!$A$1:$AZ$300,G473,4)</f>
        <v>1</v>
      </c>
      <c r="M473" s="1" t="n">
        <f aca="false">DATE(Pemetaan!$B$1,VALUE(RIGHT(INDEX(Laporan!$A$1:$AZ$300,F473+1,H473),2)),VALUE(LEFT(INDEX(Laporan!$A$1:$AZ$300,F473+1,H473),2)))</f>
        <v>46112</v>
      </c>
      <c r="N473" s="0" t="n">
        <f aca="false">INDEX(Laporan!$A$1:$AZ$300,G473,H473)</f>
        <v>3226</v>
      </c>
      <c r="O473" s="0" t="n">
        <f aca="false">IF(N473="","",IFERROR(VALUE(SUBSTITUTE(SUBSTITUTE(N473," btl",""),".","")),""))</f>
        <v>3226</v>
      </c>
      <c r="P473" s="0" t="str">
        <f aca="false">IF(B473="PRODUKSI","produced","reject")</f>
        <v>produced</v>
      </c>
    </row>
    <row r="474" customFormat="false" ht="15" hidden="false" customHeight="false" outlineLevel="0" collapsed="false">
      <c r="A474" s="0" t="n">
        <v>473</v>
      </c>
      <c r="B474" s="0" t="str">
        <f aca="false">IF(A474&lt;=36*25,"PRODUKSI","REJECT")</f>
        <v>PRODUKSI</v>
      </c>
      <c r="C474" s="0" t="n">
        <f aca="false">MOD(A474-1,Pemetaan!$B$3*Pemetaan!$B$4)</f>
        <v>472</v>
      </c>
      <c r="D474" s="0" t="n">
        <f aca="false">INT(C474/Pemetaan!$B$4)</f>
        <v>18</v>
      </c>
      <c r="E474" s="0" t="n">
        <f aca="false">MOD(C474,Pemetaan!$B$4)</f>
        <v>22</v>
      </c>
      <c r="F474" s="0" t="n">
        <f aca="false">IF(B474="PRODUKSI",Pemetaan!$B$5,Pemetaan!$B$6)</f>
        <v>5</v>
      </c>
      <c r="G474" s="0" t="n">
        <f aca="false">F474+2+D474</f>
        <v>25</v>
      </c>
      <c r="H474" s="0" t="n">
        <f aca="false">Pemetaan!$B$2+E474</f>
        <v>27</v>
      </c>
      <c r="I474" s="0" t="str">
        <f aca="false">INDEX(Laporan!$A$1:$AZ$300,G474,1)</f>
        <v>Mixing</v>
      </c>
      <c r="J474" s="0" t="str">
        <f aca="false">INDEX(Laporan!$A$1:$AZ$300,G474,2)</f>
        <v>330 ml</v>
      </c>
      <c r="K474" s="0" t="str">
        <f aca="false">INDEX(Laporan!$A$1:$AZ$300,G474,3)</f>
        <v>Shift 1</v>
      </c>
      <c r="L474" s="0" t="n">
        <f aca="false">INDEX(Laporan!$A$1:$AZ$300,G474,4)</f>
        <v>1</v>
      </c>
      <c r="M474" s="1" t="n">
        <f aca="false">DATE(Pemetaan!$B$1,VALUE(RIGHT(INDEX(Laporan!$A$1:$AZ$300,F474+1,H474),2)),VALUE(LEFT(INDEX(Laporan!$A$1:$AZ$300,F474+1,H474),2)))</f>
        <v>46113</v>
      </c>
      <c r="N474" s="0" t="n">
        <f aca="false">INDEX(Laporan!$A$1:$AZ$300,G474,H474)</f>
        <v>3219</v>
      </c>
      <c r="O474" s="0" t="n">
        <f aca="false">IF(N474="","",IFERROR(VALUE(SUBSTITUTE(SUBSTITUTE(N474," btl",""),".","")),""))</f>
        <v>3219</v>
      </c>
      <c r="P474" s="0" t="str">
        <f aca="false">IF(B474="PRODUKSI","produced","reject")</f>
        <v>produced</v>
      </c>
    </row>
    <row r="475" customFormat="false" ht="15" hidden="false" customHeight="false" outlineLevel="0" collapsed="false">
      <c r="A475" s="0" t="n">
        <v>474</v>
      </c>
      <c r="B475" s="0" t="str">
        <f aca="false">IF(A475&lt;=36*25,"PRODUKSI","REJECT")</f>
        <v>PRODUKSI</v>
      </c>
      <c r="C475" s="0" t="n">
        <f aca="false">MOD(A475-1,Pemetaan!$B$3*Pemetaan!$B$4)</f>
        <v>473</v>
      </c>
      <c r="D475" s="0" t="n">
        <f aca="false">INT(C475/Pemetaan!$B$4)</f>
        <v>18</v>
      </c>
      <c r="E475" s="0" t="n">
        <f aca="false">MOD(C475,Pemetaan!$B$4)</f>
        <v>23</v>
      </c>
      <c r="F475" s="0" t="n">
        <f aca="false">IF(B475="PRODUKSI",Pemetaan!$B$5,Pemetaan!$B$6)</f>
        <v>5</v>
      </c>
      <c r="G475" s="0" t="n">
        <f aca="false">F475+2+D475</f>
        <v>25</v>
      </c>
      <c r="H475" s="0" t="n">
        <f aca="false">Pemetaan!$B$2+E475</f>
        <v>28</v>
      </c>
      <c r="I475" s="0" t="str">
        <f aca="false">INDEX(Laporan!$A$1:$AZ$300,G475,1)</f>
        <v>Mixing</v>
      </c>
      <c r="J475" s="0" t="str">
        <f aca="false">INDEX(Laporan!$A$1:$AZ$300,G475,2)</f>
        <v>330 ml</v>
      </c>
      <c r="K475" s="0" t="str">
        <f aca="false">INDEX(Laporan!$A$1:$AZ$300,G475,3)</f>
        <v>Shift 1</v>
      </c>
      <c r="L475" s="0" t="n">
        <f aca="false">INDEX(Laporan!$A$1:$AZ$300,G475,4)</f>
        <v>1</v>
      </c>
      <c r="M475" s="1" t="n">
        <f aca="false">DATE(Pemetaan!$B$1,VALUE(RIGHT(INDEX(Laporan!$A$1:$AZ$300,F475+1,H475),2)),VALUE(LEFT(INDEX(Laporan!$A$1:$AZ$300,F475+1,H475),2)))</f>
        <v>46114</v>
      </c>
      <c r="N475" s="0" t="n">
        <f aca="false">INDEX(Laporan!$A$1:$AZ$300,G475,H475)</f>
        <v>3358</v>
      </c>
      <c r="O475" s="0" t="n">
        <f aca="false">IF(N475="","",IFERROR(VALUE(SUBSTITUTE(SUBSTITUTE(N475," btl",""),".","")),""))</f>
        <v>3358</v>
      </c>
      <c r="P475" s="0" t="str">
        <f aca="false">IF(B475="PRODUKSI","produced","reject")</f>
        <v>produced</v>
      </c>
    </row>
    <row r="476" customFormat="false" ht="15" hidden="false" customHeight="false" outlineLevel="0" collapsed="false">
      <c r="A476" s="0" t="n">
        <v>475</v>
      </c>
      <c r="B476" s="0" t="str">
        <f aca="false">IF(A476&lt;=36*25,"PRODUKSI","REJECT")</f>
        <v>PRODUKSI</v>
      </c>
      <c r="C476" s="0" t="n">
        <f aca="false">MOD(A476-1,Pemetaan!$B$3*Pemetaan!$B$4)</f>
        <v>474</v>
      </c>
      <c r="D476" s="0" t="n">
        <f aca="false">INT(C476/Pemetaan!$B$4)</f>
        <v>18</v>
      </c>
      <c r="E476" s="0" t="n">
        <f aca="false">MOD(C476,Pemetaan!$B$4)</f>
        <v>24</v>
      </c>
      <c r="F476" s="0" t="n">
        <f aca="false">IF(B476="PRODUKSI",Pemetaan!$B$5,Pemetaan!$B$6)</f>
        <v>5</v>
      </c>
      <c r="G476" s="0" t="n">
        <f aca="false">F476+2+D476</f>
        <v>25</v>
      </c>
      <c r="H476" s="0" t="n">
        <f aca="false">Pemetaan!$B$2+E476</f>
        <v>29</v>
      </c>
      <c r="I476" s="0" t="str">
        <f aca="false">INDEX(Laporan!$A$1:$AZ$300,G476,1)</f>
        <v>Mixing</v>
      </c>
      <c r="J476" s="0" t="str">
        <f aca="false">INDEX(Laporan!$A$1:$AZ$300,G476,2)</f>
        <v>330 ml</v>
      </c>
      <c r="K476" s="0" t="str">
        <f aca="false">INDEX(Laporan!$A$1:$AZ$300,G476,3)</f>
        <v>Shift 1</v>
      </c>
      <c r="L476" s="0" t="n">
        <f aca="false">INDEX(Laporan!$A$1:$AZ$300,G476,4)</f>
        <v>1</v>
      </c>
      <c r="M476" s="1" t="n">
        <f aca="false">DATE(Pemetaan!$B$1,VALUE(RIGHT(INDEX(Laporan!$A$1:$AZ$300,F476+1,H476),2)),VALUE(LEFT(INDEX(Laporan!$A$1:$AZ$300,F476+1,H476),2)))</f>
        <v>46115</v>
      </c>
      <c r="N476" s="0" t="n">
        <f aca="false">INDEX(Laporan!$A$1:$AZ$300,G476,H476)</f>
        <v>3096</v>
      </c>
      <c r="O476" s="0" t="n">
        <f aca="false">IF(N476="","",IFERROR(VALUE(SUBSTITUTE(SUBSTITUTE(N476," btl",""),".","")),""))</f>
        <v>3096</v>
      </c>
      <c r="P476" s="0" t="str">
        <f aca="false">IF(B476="PRODUKSI","produced","reject")</f>
        <v>produced</v>
      </c>
    </row>
    <row r="477" customFormat="false" ht="15" hidden="false" customHeight="false" outlineLevel="0" collapsed="false">
      <c r="A477" s="0" t="n">
        <v>476</v>
      </c>
      <c r="B477" s="0" t="str">
        <f aca="false">IF(A477&lt;=36*25,"PRODUKSI","REJECT")</f>
        <v>PRODUKSI</v>
      </c>
      <c r="C477" s="0" t="n">
        <f aca="false">MOD(A477-1,Pemetaan!$B$3*Pemetaan!$B$4)</f>
        <v>475</v>
      </c>
      <c r="D477" s="0" t="n">
        <f aca="false">INT(C477/Pemetaan!$B$4)</f>
        <v>19</v>
      </c>
      <c r="E477" s="0" t="n">
        <f aca="false">MOD(C477,Pemetaan!$B$4)</f>
        <v>0</v>
      </c>
      <c r="F477" s="0" t="n">
        <f aca="false">IF(B477="PRODUKSI",Pemetaan!$B$5,Pemetaan!$B$6)</f>
        <v>5</v>
      </c>
      <c r="G477" s="0" t="n">
        <f aca="false">F477+2+D477</f>
        <v>26</v>
      </c>
      <c r="H477" s="0" t="n">
        <f aca="false">Pemetaan!$B$2+E477</f>
        <v>5</v>
      </c>
      <c r="I477" s="0" t="str">
        <f aca="false">INDEX(Laporan!$A$1:$AZ$300,G477,1)</f>
        <v>Mixing</v>
      </c>
      <c r="J477" s="0" t="str">
        <f aca="false">INDEX(Laporan!$A$1:$AZ$300,G477,2)</f>
        <v>330 ml</v>
      </c>
      <c r="K477" s="0" t="str">
        <f aca="false">INDEX(Laporan!$A$1:$AZ$300,G477,3)</f>
        <v>Shift 1</v>
      </c>
      <c r="L477" s="0" t="n">
        <f aca="false">INDEX(Laporan!$A$1:$AZ$300,G477,4)</f>
        <v>2</v>
      </c>
      <c r="M477" s="1" t="n">
        <f aca="false">DATE(Pemetaan!$B$1,VALUE(RIGHT(INDEX(Laporan!$A$1:$AZ$300,F477+1,H477),2)),VALUE(LEFT(INDEX(Laporan!$A$1:$AZ$300,F477+1,H477),2)))</f>
        <v>46083</v>
      </c>
      <c r="N477" s="0" t="n">
        <f aca="false">INDEX(Laporan!$A$1:$AZ$300,G477,H477)</f>
        <v>3319</v>
      </c>
      <c r="O477" s="0" t="n">
        <f aca="false">IF(N477="","",IFERROR(VALUE(SUBSTITUTE(SUBSTITUTE(N477," btl",""),".","")),""))</f>
        <v>3319</v>
      </c>
      <c r="P477" s="0" t="str">
        <f aca="false">IF(B477="PRODUKSI","produced","reject")</f>
        <v>produced</v>
      </c>
    </row>
    <row r="478" customFormat="false" ht="15" hidden="false" customHeight="false" outlineLevel="0" collapsed="false">
      <c r="A478" s="0" t="n">
        <v>477</v>
      </c>
      <c r="B478" s="0" t="str">
        <f aca="false">IF(A478&lt;=36*25,"PRODUKSI","REJECT")</f>
        <v>PRODUKSI</v>
      </c>
      <c r="C478" s="0" t="n">
        <f aca="false">MOD(A478-1,Pemetaan!$B$3*Pemetaan!$B$4)</f>
        <v>476</v>
      </c>
      <c r="D478" s="0" t="n">
        <f aca="false">INT(C478/Pemetaan!$B$4)</f>
        <v>19</v>
      </c>
      <c r="E478" s="0" t="n">
        <f aca="false">MOD(C478,Pemetaan!$B$4)</f>
        <v>1</v>
      </c>
      <c r="F478" s="0" t="n">
        <f aca="false">IF(B478="PRODUKSI",Pemetaan!$B$5,Pemetaan!$B$6)</f>
        <v>5</v>
      </c>
      <c r="G478" s="0" t="n">
        <f aca="false">F478+2+D478</f>
        <v>26</v>
      </c>
      <c r="H478" s="0" t="n">
        <f aca="false">Pemetaan!$B$2+E478</f>
        <v>6</v>
      </c>
      <c r="I478" s="0" t="str">
        <f aca="false">INDEX(Laporan!$A$1:$AZ$300,G478,1)</f>
        <v>Mixing</v>
      </c>
      <c r="J478" s="0" t="str">
        <f aca="false">INDEX(Laporan!$A$1:$AZ$300,G478,2)</f>
        <v>330 ml</v>
      </c>
      <c r="K478" s="0" t="str">
        <f aca="false">INDEX(Laporan!$A$1:$AZ$300,G478,3)</f>
        <v>Shift 1</v>
      </c>
      <c r="L478" s="0" t="n">
        <f aca="false">INDEX(Laporan!$A$1:$AZ$300,G478,4)</f>
        <v>2</v>
      </c>
      <c r="M478" s="1" t="n">
        <f aca="false">DATE(Pemetaan!$B$1,VALUE(RIGHT(INDEX(Laporan!$A$1:$AZ$300,F478+1,H478),2)),VALUE(LEFT(INDEX(Laporan!$A$1:$AZ$300,F478+1,H478),2)))</f>
        <v>46084</v>
      </c>
      <c r="N478" s="0" t="n">
        <f aca="false">INDEX(Laporan!$A$1:$AZ$300,G478,H478)</f>
        <v>2826</v>
      </c>
      <c r="O478" s="0" t="n">
        <f aca="false">IF(N478="","",IFERROR(VALUE(SUBSTITUTE(SUBSTITUTE(N478," btl",""),".","")),""))</f>
        <v>2826</v>
      </c>
      <c r="P478" s="0" t="str">
        <f aca="false">IF(B478="PRODUKSI","produced","reject")</f>
        <v>produced</v>
      </c>
    </row>
    <row r="479" customFormat="false" ht="15" hidden="false" customHeight="false" outlineLevel="0" collapsed="false">
      <c r="A479" s="0" t="n">
        <v>478</v>
      </c>
      <c r="B479" s="0" t="str">
        <f aca="false">IF(A479&lt;=36*25,"PRODUKSI","REJECT")</f>
        <v>PRODUKSI</v>
      </c>
      <c r="C479" s="0" t="n">
        <f aca="false">MOD(A479-1,Pemetaan!$B$3*Pemetaan!$B$4)</f>
        <v>477</v>
      </c>
      <c r="D479" s="0" t="n">
        <f aca="false">INT(C479/Pemetaan!$B$4)</f>
        <v>19</v>
      </c>
      <c r="E479" s="0" t="n">
        <f aca="false">MOD(C479,Pemetaan!$B$4)</f>
        <v>2</v>
      </c>
      <c r="F479" s="0" t="n">
        <f aca="false">IF(B479="PRODUKSI",Pemetaan!$B$5,Pemetaan!$B$6)</f>
        <v>5</v>
      </c>
      <c r="G479" s="0" t="n">
        <f aca="false">F479+2+D479</f>
        <v>26</v>
      </c>
      <c r="H479" s="0" t="n">
        <f aca="false">Pemetaan!$B$2+E479</f>
        <v>7</v>
      </c>
      <c r="I479" s="0" t="str">
        <f aca="false">INDEX(Laporan!$A$1:$AZ$300,G479,1)</f>
        <v>Mixing</v>
      </c>
      <c r="J479" s="0" t="str">
        <f aca="false">INDEX(Laporan!$A$1:$AZ$300,G479,2)</f>
        <v>330 ml</v>
      </c>
      <c r="K479" s="0" t="str">
        <f aca="false">INDEX(Laporan!$A$1:$AZ$300,G479,3)</f>
        <v>Shift 1</v>
      </c>
      <c r="L479" s="0" t="n">
        <f aca="false">INDEX(Laporan!$A$1:$AZ$300,G479,4)</f>
        <v>2</v>
      </c>
      <c r="M479" s="1" t="n">
        <f aca="false">DATE(Pemetaan!$B$1,VALUE(RIGHT(INDEX(Laporan!$A$1:$AZ$300,F479+1,H479),2)),VALUE(LEFT(INDEX(Laporan!$A$1:$AZ$300,F479+1,H479),2)))</f>
        <v>46085</v>
      </c>
      <c r="N479" s="0" t="n">
        <f aca="false">INDEX(Laporan!$A$1:$AZ$300,G479,H479)</f>
        <v>3342</v>
      </c>
      <c r="O479" s="0" t="n">
        <f aca="false">IF(N479="","",IFERROR(VALUE(SUBSTITUTE(SUBSTITUTE(N479," btl",""),".","")),""))</f>
        <v>3342</v>
      </c>
      <c r="P479" s="0" t="str">
        <f aca="false">IF(B479="PRODUKSI","produced","reject")</f>
        <v>produced</v>
      </c>
    </row>
    <row r="480" customFormat="false" ht="15" hidden="false" customHeight="false" outlineLevel="0" collapsed="false">
      <c r="A480" s="0" t="n">
        <v>479</v>
      </c>
      <c r="B480" s="0" t="str">
        <f aca="false">IF(A480&lt;=36*25,"PRODUKSI","REJECT")</f>
        <v>PRODUKSI</v>
      </c>
      <c r="C480" s="0" t="n">
        <f aca="false">MOD(A480-1,Pemetaan!$B$3*Pemetaan!$B$4)</f>
        <v>478</v>
      </c>
      <c r="D480" s="0" t="n">
        <f aca="false">INT(C480/Pemetaan!$B$4)</f>
        <v>19</v>
      </c>
      <c r="E480" s="0" t="n">
        <f aca="false">MOD(C480,Pemetaan!$B$4)</f>
        <v>3</v>
      </c>
      <c r="F480" s="0" t="n">
        <f aca="false">IF(B480="PRODUKSI",Pemetaan!$B$5,Pemetaan!$B$6)</f>
        <v>5</v>
      </c>
      <c r="G480" s="0" t="n">
        <f aca="false">F480+2+D480</f>
        <v>26</v>
      </c>
      <c r="H480" s="0" t="n">
        <f aca="false">Pemetaan!$B$2+E480</f>
        <v>8</v>
      </c>
      <c r="I480" s="0" t="str">
        <f aca="false">INDEX(Laporan!$A$1:$AZ$300,G480,1)</f>
        <v>Mixing</v>
      </c>
      <c r="J480" s="0" t="str">
        <f aca="false">INDEX(Laporan!$A$1:$AZ$300,G480,2)</f>
        <v>330 ml</v>
      </c>
      <c r="K480" s="0" t="str">
        <f aca="false">INDEX(Laporan!$A$1:$AZ$300,G480,3)</f>
        <v>Shift 1</v>
      </c>
      <c r="L480" s="0" t="n">
        <f aca="false">INDEX(Laporan!$A$1:$AZ$300,G480,4)</f>
        <v>2</v>
      </c>
      <c r="M480" s="1" t="n">
        <f aca="false">DATE(Pemetaan!$B$1,VALUE(RIGHT(INDEX(Laporan!$A$1:$AZ$300,F480+1,H480),2)),VALUE(LEFT(INDEX(Laporan!$A$1:$AZ$300,F480+1,H480),2)))</f>
        <v>46086</v>
      </c>
      <c r="N480" s="0" t="n">
        <f aca="false">INDEX(Laporan!$A$1:$AZ$300,G480,H480)</f>
        <v>2770</v>
      </c>
      <c r="O480" s="0" t="n">
        <f aca="false">IF(N480="","",IFERROR(VALUE(SUBSTITUTE(SUBSTITUTE(N480," btl",""),".","")),""))</f>
        <v>2770</v>
      </c>
      <c r="P480" s="0" t="str">
        <f aca="false">IF(B480="PRODUKSI","produced","reject")</f>
        <v>produced</v>
      </c>
    </row>
    <row r="481" customFormat="false" ht="15" hidden="false" customHeight="false" outlineLevel="0" collapsed="false">
      <c r="A481" s="0" t="n">
        <v>480</v>
      </c>
      <c r="B481" s="0" t="str">
        <f aca="false">IF(A481&lt;=36*25,"PRODUKSI","REJECT")</f>
        <v>PRODUKSI</v>
      </c>
      <c r="C481" s="0" t="n">
        <f aca="false">MOD(A481-1,Pemetaan!$B$3*Pemetaan!$B$4)</f>
        <v>479</v>
      </c>
      <c r="D481" s="0" t="n">
        <f aca="false">INT(C481/Pemetaan!$B$4)</f>
        <v>19</v>
      </c>
      <c r="E481" s="0" t="n">
        <f aca="false">MOD(C481,Pemetaan!$B$4)</f>
        <v>4</v>
      </c>
      <c r="F481" s="0" t="n">
        <f aca="false">IF(B481="PRODUKSI",Pemetaan!$B$5,Pemetaan!$B$6)</f>
        <v>5</v>
      </c>
      <c r="G481" s="0" t="n">
        <f aca="false">F481+2+D481</f>
        <v>26</v>
      </c>
      <c r="H481" s="0" t="n">
        <f aca="false">Pemetaan!$B$2+E481</f>
        <v>9</v>
      </c>
      <c r="I481" s="0" t="str">
        <f aca="false">INDEX(Laporan!$A$1:$AZ$300,G481,1)</f>
        <v>Mixing</v>
      </c>
      <c r="J481" s="0" t="str">
        <f aca="false">INDEX(Laporan!$A$1:$AZ$300,G481,2)</f>
        <v>330 ml</v>
      </c>
      <c r="K481" s="0" t="str">
        <f aca="false">INDEX(Laporan!$A$1:$AZ$300,G481,3)</f>
        <v>Shift 1</v>
      </c>
      <c r="L481" s="0" t="n">
        <f aca="false">INDEX(Laporan!$A$1:$AZ$300,G481,4)</f>
        <v>2</v>
      </c>
      <c r="M481" s="1" t="n">
        <f aca="false">DATE(Pemetaan!$B$1,VALUE(RIGHT(INDEX(Laporan!$A$1:$AZ$300,F481+1,H481),2)),VALUE(LEFT(INDEX(Laporan!$A$1:$AZ$300,F481+1,H481),2)))</f>
        <v>46087</v>
      </c>
      <c r="N481" s="0" t="n">
        <f aca="false">INDEX(Laporan!$A$1:$AZ$300,G481,H481)</f>
        <v>3256</v>
      </c>
      <c r="O481" s="0" t="n">
        <f aca="false">IF(N481="","",IFERROR(VALUE(SUBSTITUTE(SUBSTITUTE(N481," btl",""),".","")),""))</f>
        <v>3256</v>
      </c>
      <c r="P481" s="0" t="str">
        <f aca="false">IF(B481="PRODUKSI","produced","reject")</f>
        <v>produced</v>
      </c>
    </row>
    <row r="482" customFormat="false" ht="15" hidden="false" customHeight="false" outlineLevel="0" collapsed="false">
      <c r="A482" s="0" t="n">
        <v>481</v>
      </c>
      <c r="B482" s="0" t="str">
        <f aca="false">IF(A482&lt;=36*25,"PRODUKSI","REJECT")</f>
        <v>PRODUKSI</v>
      </c>
      <c r="C482" s="0" t="n">
        <f aca="false">MOD(A482-1,Pemetaan!$B$3*Pemetaan!$B$4)</f>
        <v>480</v>
      </c>
      <c r="D482" s="0" t="n">
        <f aca="false">INT(C482/Pemetaan!$B$4)</f>
        <v>19</v>
      </c>
      <c r="E482" s="0" t="n">
        <f aca="false">MOD(C482,Pemetaan!$B$4)</f>
        <v>5</v>
      </c>
      <c r="F482" s="0" t="n">
        <f aca="false">IF(B482="PRODUKSI",Pemetaan!$B$5,Pemetaan!$B$6)</f>
        <v>5</v>
      </c>
      <c r="G482" s="0" t="n">
        <f aca="false">F482+2+D482</f>
        <v>26</v>
      </c>
      <c r="H482" s="0" t="n">
        <f aca="false">Pemetaan!$B$2+E482</f>
        <v>10</v>
      </c>
      <c r="I482" s="0" t="str">
        <f aca="false">INDEX(Laporan!$A$1:$AZ$300,G482,1)</f>
        <v>Mixing</v>
      </c>
      <c r="J482" s="0" t="str">
        <f aca="false">INDEX(Laporan!$A$1:$AZ$300,G482,2)</f>
        <v>330 ml</v>
      </c>
      <c r="K482" s="0" t="str">
        <f aca="false">INDEX(Laporan!$A$1:$AZ$300,G482,3)</f>
        <v>Shift 1</v>
      </c>
      <c r="L482" s="0" t="n">
        <f aca="false">INDEX(Laporan!$A$1:$AZ$300,G482,4)</f>
        <v>2</v>
      </c>
      <c r="M482" s="1" t="n">
        <f aca="false">DATE(Pemetaan!$B$1,VALUE(RIGHT(INDEX(Laporan!$A$1:$AZ$300,F482+1,H482),2)),VALUE(LEFT(INDEX(Laporan!$A$1:$AZ$300,F482+1,H482),2)))</f>
        <v>46090</v>
      </c>
      <c r="N482" s="0" t="n">
        <f aca="false">INDEX(Laporan!$A$1:$AZ$300,G482,H482)</f>
        <v>3631</v>
      </c>
      <c r="O482" s="0" t="n">
        <f aca="false">IF(N482="","",IFERROR(VALUE(SUBSTITUTE(SUBSTITUTE(N482," btl",""),".","")),""))</f>
        <v>3631</v>
      </c>
      <c r="P482" s="0" t="str">
        <f aca="false">IF(B482="PRODUKSI","produced","reject")</f>
        <v>produced</v>
      </c>
    </row>
    <row r="483" customFormat="false" ht="15" hidden="false" customHeight="false" outlineLevel="0" collapsed="false">
      <c r="A483" s="0" t="n">
        <v>482</v>
      </c>
      <c r="B483" s="0" t="str">
        <f aca="false">IF(A483&lt;=36*25,"PRODUKSI","REJECT")</f>
        <v>PRODUKSI</v>
      </c>
      <c r="C483" s="0" t="n">
        <f aca="false">MOD(A483-1,Pemetaan!$B$3*Pemetaan!$B$4)</f>
        <v>481</v>
      </c>
      <c r="D483" s="0" t="n">
        <f aca="false">INT(C483/Pemetaan!$B$4)</f>
        <v>19</v>
      </c>
      <c r="E483" s="0" t="n">
        <f aca="false">MOD(C483,Pemetaan!$B$4)</f>
        <v>6</v>
      </c>
      <c r="F483" s="0" t="n">
        <f aca="false">IF(B483="PRODUKSI",Pemetaan!$B$5,Pemetaan!$B$6)</f>
        <v>5</v>
      </c>
      <c r="G483" s="0" t="n">
        <f aca="false">F483+2+D483</f>
        <v>26</v>
      </c>
      <c r="H483" s="0" t="n">
        <f aca="false">Pemetaan!$B$2+E483</f>
        <v>11</v>
      </c>
      <c r="I483" s="0" t="str">
        <f aca="false">INDEX(Laporan!$A$1:$AZ$300,G483,1)</f>
        <v>Mixing</v>
      </c>
      <c r="J483" s="0" t="str">
        <f aca="false">INDEX(Laporan!$A$1:$AZ$300,G483,2)</f>
        <v>330 ml</v>
      </c>
      <c r="K483" s="0" t="str">
        <f aca="false">INDEX(Laporan!$A$1:$AZ$300,G483,3)</f>
        <v>Shift 1</v>
      </c>
      <c r="L483" s="0" t="n">
        <f aca="false">INDEX(Laporan!$A$1:$AZ$300,G483,4)</f>
        <v>2</v>
      </c>
      <c r="M483" s="1" t="n">
        <f aca="false">DATE(Pemetaan!$B$1,VALUE(RIGHT(INDEX(Laporan!$A$1:$AZ$300,F483+1,H483),2)),VALUE(LEFT(INDEX(Laporan!$A$1:$AZ$300,F483+1,H483),2)))</f>
        <v>46091</v>
      </c>
      <c r="N483" s="0" t="n">
        <f aca="false">INDEX(Laporan!$A$1:$AZ$300,G483,H483)</f>
        <v>2767</v>
      </c>
      <c r="O483" s="0" t="n">
        <f aca="false">IF(N483="","",IFERROR(VALUE(SUBSTITUTE(SUBSTITUTE(N483," btl",""),".","")),""))</f>
        <v>2767</v>
      </c>
      <c r="P483" s="0" t="str">
        <f aca="false">IF(B483="PRODUKSI","produced","reject")</f>
        <v>produced</v>
      </c>
    </row>
    <row r="484" customFormat="false" ht="15" hidden="false" customHeight="false" outlineLevel="0" collapsed="false">
      <c r="A484" s="0" t="n">
        <v>483</v>
      </c>
      <c r="B484" s="0" t="str">
        <f aca="false">IF(A484&lt;=36*25,"PRODUKSI","REJECT")</f>
        <v>PRODUKSI</v>
      </c>
      <c r="C484" s="0" t="n">
        <f aca="false">MOD(A484-1,Pemetaan!$B$3*Pemetaan!$B$4)</f>
        <v>482</v>
      </c>
      <c r="D484" s="0" t="n">
        <f aca="false">INT(C484/Pemetaan!$B$4)</f>
        <v>19</v>
      </c>
      <c r="E484" s="0" t="n">
        <f aca="false">MOD(C484,Pemetaan!$B$4)</f>
        <v>7</v>
      </c>
      <c r="F484" s="0" t="n">
        <f aca="false">IF(B484="PRODUKSI",Pemetaan!$B$5,Pemetaan!$B$6)</f>
        <v>5</v>
      </c>
      <c r="G484" s="0" t="n">
        <f aca="false">F484+2+D484</f>
        <v>26</v>
      </c>
      <c r="H484" s="0" t="n">
        <f aca="false">Pemetaan!$B$2+E484</f>
        <v>12</v>
      </c>
      <c r="I484" s="0" t="str">
        <f aca="false">INDEX(Laporan!$A$1:$AZ$300,G484,1)</f>
        <v>Mixing</v>
      </c>
      <c r="J484" s="0" t="str">
        <f aca="false">INDEX(Laporan!$A$1:$AZ$300,G484,2)</f>
        <v>330 ml</v>
      </c>
      <c r="K484" s="0" t="str">
        <f aca="false">INDEX(Laporan!$A$1:$AZ$300,G484,3)</f>
        <v>Shift 1</v>
      </c>
      <c r="L484" s="0" t="n">
        <f aca="false">INDEX(Laporan!$A$1:$AZ$300,G484,4)</f>
        <v>2</v>
      </c>
      <c r="M484" s="1" t="n">
        <f aca="false">DATE(Pemetaan!$B$1,VALUE(RIGHT(INDEX(Laporan!$A$1:$AZ$300,F484+1,H484),2)),VALUE(LEFT(INDEX(Laporan!$A$1:$AZ$300,F484+1,H484),2)))</f>
        <v>46092</v>
      </c>
      <c r="N484" s="0" t="n">
        <f aca="false">INDEX(Laporan!$A$1:$AZ$300,G484,H484)</f>
        <v>3274</v>
      </c>
      <c r="O484" s="0" t="n">
        <f aca="false">IF(N484="","",IFERROR(VALUE(SUBSTITUTE(SUBSTITUTE(N484," btl",""),".","")),""))</f>
        <v>3274</v>
      </c>
      <c r="P484" s="0" t="str">
        <f aca="false">IF(B484="PRODUKSI","produced","reject")</f>
        <v>produced</v>
      </c>
    </row>
    <row r="485" customFormat="false" ht="15" hidden="false" customHeight="false" outlineLevel="0" collapsed="false">
      <c r="A485" s="0" t="n">
        <v>484</v>
      </c>
      <c r="B485" s="0" t="str">
        <f aca="false">IF(A485&lt;=36*25,"PRODUKSI","REJECT")</f>
        <v>PRODUKSI</v>
      </c>
      <c r="C485" s="0" t="n">
        <f aca="false">MOD(A485-1,Pemetaan!$B$3*Pemetaan!$B$4)</f>
        <v>483</v>
      </c>
      <c r="D485" s="0" t="n">
        <f aca="false">INT(C485/Pemetaan!$B$4)</f>
        <v>19</v>
      </c>
      <c r="E485" s="0" t="n">
        <f aca="false">MOD(C485,Pemetaan!$B$4)</f>
        <v>8</v>
      </c>
      <c r="F485" s="0" t="n">
        <f aca="false">IF(B485="PRODUKSI",Pemetaan!$B$5,Pemetaan!$B$6)</f>
        <v>5</v>
      </c>
      <c r="G485" s="0" t="n">
        <f aca="false">F485+2+D485</f>
        <v>26</v>
      </c>
      <c r="H485" s="0" t="n">
        <f aca="false">Pemetaan!$B$2+E485</f>
        <v>13</v>
      </c>
      <c r="I485" s="0" t="str">
        <f aca="false">INDEX(Laporan!$A$1:$AZ$300,G485,1)</f>
        <v>Mixing</v>
      </c>
      <c r="J485" s="0" t="str">
        <f aca="false">INDEX(Laporan!$A$1:$AZ$300,G485,2)</f>
        <v>330 ml</v>
      </c>
      <c r="K485" s="0" t="str">
        <f aca="false">INDEX(Laporan!$A$1:$AZ$300,G485,3)</f>
        <v>Shift 1</v>
      </c>
      <c r="L485" s="0" t="n">
        <f aca="false">INDEX(Laporan!$A$1:$AZ$300,G485,4)</f>
        <v>2</v>
      </c>
      <c r="M485" s="1" t="n">
        <f aca="false">DATE(Pemetaan!$B$1,VALUE(RIGHT(INDEX(Laporan!$A$1:$AZ$300,F485+1,H485),2)),VALUE(LEFT(INDEX(Laporan!$A$1:$AZ$300,F485+1,H485),2)))</f>
        <v>46093</v>
      </c>
      <c r="N485" s="0" t="n">
        <f aca="false">INDEX(Laporan!$A$1:$AZ$300,G485,H485)</f>
        <v>3393</v>
      </c>
      <c r="O485" s="0" t="n">
        <f aca="false">IF(N485="","",IFERROR(VALUE(SUBSTITUTE(SUBSTITUTE(N485," btl",""),".","")),""))</f>
        <v>3393</v>
      </c>
      <c r="P485" s="0" t="str">
        <f aca="false">IF(B485="PRODUKSI","produced","reject")</f>
        <v>produced</v>
      </c>
    </row>
    <row r="486" customFormat="false" ht="15" hidden="false" customHeight="false" outlineLevel="0" collapsed="false">
      <c r="A486" s="0" t="n">
        <v>485</v>
      </c>
      <c r="B486" s="0" t="str">
        <f aca="false">IF(A486&lt;=36*25,"PRODUKSI","REJECT")</f>
        <v>PRODUKSI</v>
      </c>
      <c r="C486" s="0" t="n">
        <f aca="false">MOD(A486-1,Pemetaan!$B$3*Pemetaan!$B$4)</f>
        <v>484</v>
      </c>
      <c r="D486" s="0" t="n">
        <f aca="false">INT(C486/Pemetaan!$B$4)</f>
        <v>19</v>
      </c>
      <c r="E486" s="0" t="n">
        <f aca="false">MOD(C486,Pemetaan!$B$4)</f>
        <v>9</v>
      </c>
      <c r="F486" s="0" t="n">
        <f aca="false">IF(B486="PRODUKSI",Pemetaan!$B$5,Pemetaan!$B$6)</f>
        <v>5</v>
      </c>
      <c r="G486" s="0" t="n">
        <f aca="false">F486+2+D486</f>
        <v>26</v>
      </c>
      <c r="H486" s="0" t="n">
        <f aca="false">Pemetaan!$B$2+E486</f>
        <v>14</v>
      </c>
      <c r="I486" s="0" t="str">
        <f aca="false">INDEX(Laporan!$A$1:$AZ$300,G486,1)</f>
        <v>Mixing</v>
      </c>
      <c r="J486" s="0" t="str">
        <f aca="false">INDEX(Laporan!$A$1:$AZ$300,G486,2)</f>
        <v>330 ml</v>
      </c>
      <c r="K486" s="0" t="str">
        <f aca="false">INDEX(Laporan!$A$1:$AZ$300,G486,3)</f>
        <v>Shift 1</v>
      </c>
      <c r="L486" s="0" t="n">
        <f aca="false">INDEX(Laporan!$A$1:$AZ$300,G486,4)</f>
        <v>2</v>
      </c>
      <c r="M486" s="1" t="n">
        <f aca="false">DATE(Pemetaan!$B$1,VALUE(RIGHT(INDEX(Laporan!$A$1:$AZ$300,F486+1,H486),2)),VALUE(LEFT(INDEX(Laporan!$A$1:$AZ$300,F486+1,H486),2)))</f>
        <v>46094</v>
      </c>
      <c r="N486" s="0" t="n">
        <f aca="false">INDEX(Laporan!$A$1:$AZ$300,G486,H486)</f>
        <v>3103</v>
      </c>
      <c r="O486" s="0" t="n">
        <f aca="false">IF(N486="","",IFERROR(VALUE(SUBSTITUTE(SUBSTITUTE(N486," btl",""),".","")),""))</f>
        <v>3103</v>
      </c>
      <c r="P486" s="0" t="str">
        <f aca="false">IF(B486="PRODUKSI","produced","reject")</f>
        <v>produced</v>
      </c>
    </row>
    <row r="487" customFormat="false" ht="15" hidden="false" customHeight="false" outlineLevel="0" collapsed="false">
      <c r="A487" s="0" t="n">
        <v>486</v>
      </c>
      <c r="B487" s="0" t="str">
        <f aca="false">IF(A487&lt;=36*25,"PRODUKSI","REJECT")</f>
        <v>PRODUKSI</v>
      </c>
      <c r="C487" s="0" t="n">
        <f aca="false">MOD(A487-1,Pemetaan!$B$3*Pemetaan!$B$4)</f>
        <v>485</v>
      </c>
      <c r="D487" s="0" t="n">
        <f aca="false">INT(C487/Pemetaan!$B$4)</f>
        <v>19</v>
      </c>
      <c r="E487" s="0" t="n">
        <f aca="false">MOD(C487,Pemetaan!$B$4)</f>
        <v>10</v>
      </c>
      <c r="F487" s="0" t="n">
        <f aca="false">IF(B487="PRODUKSI",Pemetaan!$B$5,Pemetaan!$B$6)</f>
        <v>5</v>
      </c>
      <c r="G487" s="0" t="n">
        <f aca="false">F487+2+D487</f>
        <v>26</v>
      </c>
      <c r="H487" s="0" t="n">
        <f aca="false">Pemetaan!$B$2+E487</f>
        <v>15</v>
      </c>
      <c r="I487" s="0" t="str">
        <f aca="false">INDEX(Laporan!$A$1:$AZ$300,G487,1)</f>
        <v>Mixing</v>
      </c>
      <c r="J487" s="0" t="str">
        <f aca="false">INDEX(Laporan!$A$1:$AZ$300,G487,2)</f>
        <v>330 ml</v>
      </c>
      <c r="K487" s="0" t="str">
        <f aca="false">INDEX(Laporan!$A$1:$AZ$300,G487,3)</f>
        <v>Shift 1</v>
      </c>
      <c r="L487" s="0" t="n">
        <f aca="false">INDEX(Laporan!$A$1:$AZ$300,G487,4)</f>
        <v>2</v>
      </c>
      <c r="M487" s="1" t="n">
        <f aca="false">DATE(Pemetaan!$B$1,VALUE(RIGHT(INDEX(Laporan!$A$1:$AZ$300,F487+1,H487),2)),VALUE(LEFT(INDEX(Laporan!$A$1:$AZ$300,F487+1,H487),2)))</f>
        <v>46097</v>
      </c>
      <c r="N487" s="0" t="n">
        <f aca="false">INDEX(Laporan!$A$1:$AZ$300,G487,H487)</f>
        <v>3213</v>
      </c>
      <c r="O487" s="0" t="n">
        <f aca="false">IF(N487="","",IFERROR(VALUE(SUBSTITUTE(SUBSTITUTE(N487," btl",""),".","")),""))</f>
        <v>3213</v>
      </c>
      <c r="P487" s="0" t="str">
        <f aca="false">IF(B487="PRODUKSI","produced","reject")</f>
        <v>produced</v>
      </c>
    </row>
    <row r="488" customFormat="false" ht="15" hidden="false" customHeight="false" outlineLevel="0" collapsed="false">
      <c r="A488" s="0" t="n">
        <v>487</v>
      </c>
      <c r="B488" s="0" t="str">
        <f aca="false">IF(A488&lt;=36*25,"PRODUKSI","REJECT")</f>
        <v>PRODUKSI</v>
      </c>
      <c r="C488" s="0" t="n">
        <f aca="false">MOD(A488-1,Pemetaan!$B$3*Pemetaan!$B$4)</f>
        <v>486</v>
      </c>
      <c r="D488" s="0" t="n">
        <f aca="false">INT(C488/Pemetaan!$B$4)</f>
        <v>19</v>
      </c>
      <c r="E488" s="0" t="n">
        <f aca="false">MOD(C488,Pemetaan!$B$4)</f>
        <v>11</v>
      </c>
      <c r="F488" s="0" t="n">
        <f aca="false">IF(B488="PRODUKSI",Pemetaan!$B$5,Pemetaan!$B$6)</f>
        <v>5</v>
      </c>
      <c r="G488" s="0" t="n">
        <f aca="false">F488+2+D488</f>
        <v>26</v>
      </c>
      <c r="H488" s="0" t="n">
        <f aca="false">Pemetaan!$B$2+E488</f>
        <v>16</v>
      </c>
      <c r="I488" s="0" t="str">
        <f aca="false">INDEX(Laporan!$A$1:$AZ$300,G488,1)</f>
        <v>Mixing</v>
      </c>
      <c r="J488" s="0" t="str">
        <f aca="false">INDEX(Laporan!$A$1:$AZ$300,G488,2)</f>
        <v>330 ml</v>
      </c>
      <c r="K488" s="0" t="str">
        <f aca="false">INDEX(Laporan!$A$1:$AZ$300,G488,3)</f>
        <v>Shift 1</v>
      </c>
      <c r="L488" s="0" t="n">
        <f aca="false">INDEX(Laporan!$A$1:$AZ$300,G488,4)</f>
        <v>2</v>
      </c>
      <c r="M488" s="1" t="n">
        <f aca="false">DATE(Pemetaan!$B$1,VALUE(RIGHT(INDEX(Laporan!$A$1:$AZ$300,F488+1,H488),2)),VALUE(LEFT(INDEX(Laporan!$A$1:$AZ$300,F488+1,H488),2)))</f>
        <v>46098</v>
      </c>
      <c r="N488" s="0" t="n">
        <f aca="false">INDEX(Laporan!$A$1:$AZ$300,G488,H488)</f>
        <v>3134</v>
      </c>
      <c r="O488" s="0" t="n">
        <f aca="false">IF(N488="","",IFERROR(VALUE(SUBSTITUTE(SUBSTITUTE(N488," btl",""),".","")),""))</f>
        <v>3134</v>
      </c>
      <c r="P488" s="0" t="str">
        <f aca="false">IF(B488="PRODUKSI","produced","reject")</f>
        <v>produced</v>
      </c>
    </row>
    <row r="489" customFormat="false" ht="15" hidden="false" customHeight="false" outlineLevel="0" collapsed="false">
      <c r="A489" s="0" t="n">
        <v>488</v>
      </c>
      <c r="B489" s="0" t="str">
        <f aca="false">IF(A489&lt;=36*25,"PRODUKSI","REJECT")</f>
        <v>PRODUKSI</v>
      </c>
      <c r="C489" s="0" t="n">
        <f aca="false">MOD(A489-1,Pemetaan!$B$3*Pemetaan!$B$4)</f>
        <v>487</v>
      </c>
      <c r="D489" s="0" t="n">
        <f aca="false">INT(C489/Pemetaan!$B$4)</f>
        <v>19</v>
      </c>
      <c r="E489" s="0" t="n">
        <f aca="false">MOD(C489,Pemetaan!$B$4)</f>
        <v>12</v>
      </c>
      <c r="F489" s="0" t="n">
        <f aca="false">IF(B489="PRODUKSI",Pemetaan!$B$5,Pemetaan!$B$6)</f>
        <v>5</v>
      </c>
      <c r="G489" s="0" t="n">
        <f aca="false">F489+2+D489</f>
        <v>26</v>
      </c>
      <c r="H489" s="0" t="n">
        <f aca="false">Pemetaan!$B$2+E489</f>
        <v>17</v>
      </c>
      <c r="I489" s="0" t="str">
        <f aca="false">INDEX(Laporan!$A$1:$AZ$300,G489,1)</f>
        <v>Mixing</v>
      </c>
      <c r="J489" s="0" t="str">
        <f aca="false">INDEX(Laporan!$A$1:$AZ$300,G489,2)</f>
        <v>330 ml</v>
      </c>
      <c r="K489" s="0" t="str">
        <f aca="false">INDEX(Laporan!$A$1:$AZ$300,G489,3)</f>
        <v>Shift 1</v>
      </c>
      <c r="L489" s="0" t="n">
        <f aca="false">INDEX(Laporan!$A$1:$AZ$300,G489,4)</f>
        <v>2</v>
      </c>
      <c r="M489" s="1" t="n">
        <f aca="false">DATE(Pemetaan!$B$1,VALUE(RIGHT(INDEX(Laporan!$A$1:$AZ$300,F489+1,H489),2)),VALUE(LEFT(INDEX(Laporan!$A$1:$AZ$300,F489+1,H489),2)))</f>
        <v>46099</v>
      </c>
      <c r="N489" s="0" t="n">
        <f aca="false">INDEX(Laporan!$A$1:$AZ$300,G489,H489)</f>
        <v>3123</v>
      </c>
      <c r="O489" s="0" t="n">
        <f aca="false">IF(N489="","",IFERROR(VALUE(SUBSTITUTE(SUBSTITUTE(N489," btl",""),".","")),""))</f>
        <v>3123</v>
      </c>
      <c r="P489" s="0" t="str">
        <f aca="false">IF(B489="PRODUKSI","produced","reject")</f>
        <v>produced</v>
      </c>
    </row>
    <row r="490" customFormat="false" ht="15" hidden="false" customHeight="false" outlineLevel="0" collapsed="false">
      <c r="A490" s="0" t="n">
        <v>489</v>
      </c>
      <c r="B490" s="0" t="str">
        <f aca="false">IF(A490&lt;=36*25,"PRODUKSI","REJECT")</f>
        <v>PRODUKSI</v>
      </c>
      <c r="C490" s="0" t="n">
        <f aca="false">MOD(A490-1,Pemetaan!$B$3*Pemetaan!$B$4)</f>
        <v>488</v>
      </c>
      <c r="D490" s="0" t="n">
        <f aca="false">INT(C490/Pemetaan!$B$4)</f>
        <v>19</v>
      </c>
      <c r="E490" s="0" t="n">
        <f aca="false">MOD(C490,Pemetaan!$B$4)</f>
        <v>13</v>
      </c>
      <c r="F490" s="0" t="n">
        <f aca="false">IF(B490="PRODUKSI",Pemetaan!$B$5,Pemetaan!$B$6)</f>
        <v>5</v>
      </c>
      <c r="G490" s="0" t="n">
        <f aca="false">F490+2+D490</f>
        <v>26</v>
      </c>
      <c r="H490" s="0" t="n">
        <f aca="false">Pemetaan!$B$2+E490</f>
        <v>18</v>
      </c>
      <c r="I490" s="0" t="str">
        <f aca="false">INDEX(Laporan!$A$1:$AZ$300,G490,1)</f>
        <v>Mixing</v>
      </c>
      <c r="J490" s="0" t="str">
        <f aca="false">INDEX(Laporan!$A$1:$AZ$300,G490,2)</f>
        <v>330 ml</v>
      </c>
      <c r="K490" s="0" t="str">
        <f aca="false">INDEX(Laporan!$A$1:$AZ$300,G490,3)</f>
        <v>Shift 1</v>
      </c>
      <c r="L490" s="0" t="n">
        <f aca="false">INDEX(Laporan!$A$1:$AZ$300,G490,4)</f>
        <v>2</v>
      </c>
      <c r="M490" s="1" t="n">
        <f aca="false">DATE(Pemetaan!$B$1,VALUE(RIGHT(INDEX(Laporan!$A$1:$AZ$300,F490+1,H490),2)),VALUE(LEFT(INDEX(Laporan!$A$1:$AZ$300,F490+1,H490),2)))</f>
        <v>46100</v>
      </c>
      <c r="N490" s="0" t="n">
        <f aca="false">INDEX(Laporan!$A$1:$AZ$300,G490,H490)</f>
        <v>3152</v>
      </c>
      <c r="O490" s="0" t="n">
        <f aca="false">IF(N490="","",IFERROR(VALUE(SUBSTITUTE(SUBSTITUTE(N490," btl",""),".","")),""))</f>
        <v>3152</v>
      </c>
      <c r="P490" s="0" t="str">
        <f aca="false">IF(B490="PRODUKSI","produced","reject")</f>
        <v>produced</v>
      </c>
    </row>
    <row r="491" customFormat="false" ht="15" hidden="false" customHeight="false" outlineLevel="0" collapsed="false">
      <c r="A491" s="0" t="n">
        <v>490</v>
      </c>
      <c r="B491" s="0" t="str">
        <f aca="false">IF(A491&lt;=36*25,"PRODUKSI","REJECT")</f>
        <v>PRODUKSI</v>
      </c>
      <c r="C491" s="0" t="n">
        <f aca="false">MOD(A491-1,Pemetaan!$B$3*Pemetaan!$B$4)</f>
        <v>489</v>
      </c>
      <c r="D491" s="0" t="n">
        <f aca="false">INT(C491/Pemetaan!$B$4)</f>
        <v>19</v>
      </c>
      <c r="E491" s="0" t="n">
        <f aca="false">MOD(C491,Pemetaan!$B$4)</f>
        <v>14</v>
      </c>
      <c r="F491" s="0" t="n">
        <f aca="false">IF(B491="PRODUKSI",Pemetaan!$B$5,Pemetaan!$B$6)</f>
        <v>5</v>
      </c>
      <c r="G491" s="0" t="n">
        <f aca="false">F491+2+D491</f>
        <v>26</v>
      </c>
      <c r="H491" s="0" t="n">
        <f aca="false">Pemetaan!$B$2+E491</f>
        <v>19</v>
      </c>
      <c r="I491" s="0" t="str">
        <f aca="false">INDEX(Laporan!$A$1:$AZ$300,G491,1)</f>
        <v>Mixing</v>
      </c>
      <c r="J491" s="0" t="str">
        <f aca="false">INDEX(Laporan!$A$1:$AZ$300,G491,2)</f>
        <v>330 ml</v>
      </c>
      <c r="K491" s="0" t="str">
        <f aca="false">INDEX(Laporan!$A$1:$AZ$300,G491,3)</f>
        <v>Shift 1</v>
      </c>
      <c r="L491" s="0" t="n">
        <f aca="false">INDEX(Laporan!$A$1:$AZ$300,G491,4)</f>
        <v>2</v>
      </c>
      <c r="M491" s="1" t="n">
        <f aca="false">DATE(Pemetaan!$B$1,VALUE(RIGHT(INDEX(Laporan!$A$1:$AZ$300,F491+1,H491),2)),VALUE(LEFT(INDEX(Laporan!$A$1:$AZ$300,F491+1,H491),2)))</f>
        <v>46101</v>
      </c>
      <c r="N491" s="0" t="n">
        <f aca="false">INDEX(Laporan!$A$1:$AZ$300,G491,H491)</f>
        <v>3443</v>
      </c>
      <c r="O491" s="0" t="n">
        <f aca="false">IF(N491="","",IFERROR(VALUE(SUBSTITUTE(SUBSTITUTE(N491," btl",""),".","")),""))</f>
        <v>3443</v>
      </c>
      <c r="P491" s="0" t="str">
        <f aca="false">IF(B491="PRODUKSI","produced","reject")</f>
        <v>produced</v>
      </c>
    </row>
    <row r="492" customFormat="false" ht="15" hidden="false" customHeight="false" outlineLevel="0" collapsed="false">
      <c r="A492" s="0" t="n">
        <v>491</v>
      </c>
      <c r="B492" s="0" t="str">
        <f aca="false">IF(A492&lt;=36*25,"PRODUKSI","REJECT")</f>
        <v>PRODUKSI</v>
      </c>
      <c r="C492" s="0" t="n">
        <f aca="false">MOD(A492-1,Pemetaan!$B$3*Pemetaan!$B$4)</f>
        <v>490</v>
      </c>
      <c r="D492" s="0" t="n">
        <f aca="false">INT(C492/Pemetaan!$B$4)</f>
        <v>19</v>
      </c>
      <c r="E492" s="0" t="n">
        <f aca="false">MOD(C492,Pemetaan!$B$4)</f>
        <v>15</v>
      </c>
      <c r="F492" s="0" t="n">
        <f aca="false">IF(B492="PRODUKSI",Pemetaan!$B$5,Pemetaan!$B$6)</f>
        <v>5</v>
      </c>
      <c r="G492" s="0" t="n">
        <f aca="false">F492+2+D492</f>
        <v>26</v>
      </c>
      <c r="H492" s="0" t="n">
        <f aca="false">Pemetaan!$B$2+E492</f>
        <v>20</v>
      </c>
      <c r="I492" s="0" t="str">
        <f aca="false">INDEX(Laporan!$A$1:$AZ$300,G492,1)</f>
        <v>Mixing</v>
      </c>
      <c r="J492" s="0" t="str">
        <f aca="false">INDEX(Laporan!$A$1:$AZ$300,G492,2)</f>
        <v>330 ml</v>
      </c>
      <c r="K492" s="0" t="str">
        <f aca="false">INDEX(Laporan!$A$1:$AZ$300,G492,3)</f>
        <v>Shift 1</v>
      </c>
      <c r="L492" s="0" t="n">
        <f aca="false">INDEX(Laporan!$A$1:$AZ$300,G492,4)</f>
        <v>2</v>
      </c>
      <c r="M492" s="1" t="n">
        <f aca="false">DATE(Pemetaan!$B$1,VALUE(RIGHT(INDEX(Laporan!$A$1:$AZ$300,F492+1,H492),2)),VALUE(LEFT(INDEX(Laporan!$A$1:$AZ$300,F492+1,H492),2)))</f>
        <v>46104</v>
      </c>
      <c r="N492" s="0" t="n">
        <f aca="false">INDEX(Laporan!$A$1:$AZ$300,G492,H492)</f>
        <v>2943</v>
      </c>
      <c r="O492" s="0" t="n">
        <f aca="false">IF(N492="","",IFERROR(VALUE(SUBSTITUTE(SUBSTITUTE(N492," btl",""),".","")),""))</f>
        <v>2943</v>
      </c>
      <c r="P492" s="0" t="str">
        <f aca="false">IF(B492="PRODUKSI","produced","reject")</f>
        <v>produced</v>
      </c>
    </row>
    <row r="493" customFormat="false" ht="15" hidden="false" customHeight="false" outlineLevel="0" collapsed="false">
      <c r="A493" s="0" t="n">
        <v>492</v>
      </c>
      <c r="B493" s="0" t="str">
        <f aca="false">IF(A493&lt;=36*25,"PRODUKSI","REJECT")</f>
        <v>PRODUKSI</v>
      </c>
      <c r="C493" s="0" t="n">
        <f aca="false">MOD(A493-1,Pemetaan!$B$3*Pemetaan!$B$4)</f>
        <v>491</v>
      </c>
      <c r="D493" s="0" t="n">
        <f aca="false">INT(C493/Pemetaan!$B$4)</f>
        <v>19</v>
      </c>
      <c r="E493" s="0" t="n">
        <f aca="false">MOD(C493,Pemetaan!$B$4)</f>
        <v>16</v>
      </c>
      <c r="F493" s="0" t="n">
        <f aca="false">IF(B493="PRODUKSI",Pemetaan!$B$5,Pemetaan!$B$6)</f>
        <v>5</v>
      </c>
      <c r="G493" s="0" t="n">
        <f aca="false">F493+2+D493</f>
        <v>26</v>
      </c>
      <c r="H493" s="0" t="n">
        <f aca="false">Pemetaan!$B$2+E493</f>
        <v>21</v>
      </c>
      <c r="I493" s="0" t="str">
        <f aca="false">INDEX(Laporan!$A$1:$AZ$300,G493,1)</f>
        <v>Mixing</v>
      </c>
      <c r="J493" s="0" t="str">
        <f aca="false">INDEX(Laporan!$A$1:$AZ$300,G493,2)</f>
        <v>330 ml</v>
      </c>
      <c r="K493" s="0" t="str">
        <f aca="false">INDEX(Laporan!$A$1:$AZ$300,G493,3)</f>
        <v>Shift 1</v>
      </c>
      <c r="L493" s="0" t="n">
        <f aca="false">INDEX(Laporan!$A$1:$AZ$300,G493,4)</f>
        <v>2</v>
      </c>
      <c r="M493" s="1" t="n">
        <f aca="false">DATE(Pemetaan!$B$1,VALUE(RIGHT(INDEX(Laporan!$A$1:$AZ$300,F493+1,H493),2)),VALUE(LEFT(INDEX(Laporan!$A$1:$AZ$300,F493+1,H493),2)))</f>
        <v>46105</v>
      </c>
      <c r="N493" s="0" t="n">
        <f aca="false">INDEX(Laporan!$A$1:$AZ$300,G493,H493)</f>
        <v>2942</v>
      </c>
      <c r="O493" s="0" t="n">
        <f aca="false">IF(N493="","",IFERROR(VALUE(SUBSTITUTE(SUBSTITUTE(N493," btl",""),".","")),""))</f>
        <v>2942</v>
      </c>
      <c r="P493" s="0" t="str">
        <f aca="false">IF(B493="PRODUKSI","produced","reject")</f>
        <v>produced</v>
      </c>
    </row>
    <row r="494" customFormat="false" ht="15" hidden="false" customHeight="false" outlineLevel="0" collapsed="false">
      <c r="A494" s="0" t="n">
        <v>493</v>
      </c>
      <c r="B494" s="0" t="str">
        <f aca="false">IF(A494&lt;=36*25,"PRODUKSI","REJECT")</f>
        <v>PRODUKSI</v>
      </c>
      <c r="C494" s="0" t="n">
        <f aca="false">MOD(A494-1,Pemetaan!$B$3*Pemetaan!$B$4)</f>
        <v>492</v>
      </c>
      <c r="D494" s="0" t="n">
        <f aca="false">INT(C494/Pemetaan!$B$4)</f>
        <v>19</v>
      </c>
      <c r="E494" s="0" t="n">
        <f aca="false">MOD(C494,Pemetaan!$B$4)</f>
        <v>17</v>
      </c>
      <c r="F494" s="0" t="n">
        <f aca="false">IF(B494="PRODUKSI",Pemetaan!$B$5,Pemetaan!$B$6)</f>
        <v>5</v>
      </c>
      <c r="G494" s="0" t="n">
        <f aca="false">F494+2+D494</f>
        <v>26</v>
      </c>
      <c r="H494" s="0" t="n">
        <f aca="false">Pemetaan!$B$2+E494</f>
        <v>22</v>
      </c>
      <c r="I494" s="0" t="str">
        <f aca="false">INDEX(Laporan!$A$1:$AZ$300,G494,1)</f>
        <v>Mixing</v>
      </c>
      <c r="J494" s="0" t="str">
        <f aca="false">INDEX(Laporan!$A$1:$AZ$300,G494,2)</f>
        <v>330 ml</v>
      </c>
      <c r="K494" s="0" t="str">
        <f aca="false">INDEX(Laporan!$A$1:$AZ$300,G494,3)</f>
        <v>Shift 1</v>
      </c>
      <c r="L494" s="0" t="n">
        <f aca="false">INDEX(Laporan!$A$1:$AZ$300,G494,4)</f>
        <v>2</v>
      </c>
      <c r="M494" s="1" t="n">
        <f aca="false">DATE(Pemetaan!$B$1,VALUE(RIGHT(INDEX(Laporan!$A$1:$AZ$300,F494+1,H494),2)),VALUE(LEFT(INDEX(Laporan!$A$1:$AZ$300,F494+1,H494),2)))</f>
        <v>46106</v>
      </c>
      <c r="N494" s="0" t="n">
        <f aca="false">INDEX(Laporan!$A$1:$AZ$300,G494,H494)</f>
        <v>3495</v>
      </c>
      <c r="O494" s="0" t="n">
        <f aca="false">IF(N494="","",IFERROR(VALUE(SUBSTITUTE(SUBSTITUTE(N494," btl",""),".","")),""))</f>
        <v>3495</v>
      </c>
      <c r="P494" s="0" t="str">
        <f aca="false">IF(B494="PRODUKSI","produced","reject")</f>
        <v>produced</v>
      </c>
    </row>
    <row r="495" customFormat="false" ht="15" hidden="false" customHeight="false" outlineLevel="0" collapsed="false">
      <c r="A495" s="0" t="n">
        <v>494</v>
      </c>
      <c r="B495" s="0" t="str">
        <f aca="false">IF(A495&lt;=36*25,"PRODUKSI","REJECT")</f>
        <v>PRODUKSI</v>
      </c>
      <c r="C495" s="0" t="n">
        <f aca="false">MOD(A495-1,Pemetaan!$B$3*Pemetaan!$B$4)</f>
        <v>493</v>
      </c>
      <c r="D495" s="0" t="n">
        <f aca="false">INT(C495/Pemetaan!$B$4)</f>
        <v>19</v>
      </c>
      <c r="E495" s="0" t="n">
        <f aca="false">MOD(C495,Pemetaan!$B$4)</f>
        <v>18</v>
      </c>
      <c r="F495" s="0" t="n">
        <f aca="false">IF(B495="PRODUKSI",Pemetaan!$B$5,Pemetaan!$B$6)</f>
        <v>5</v>
      </c>
      <c r="G495" s="0" t="n">
        <f aca="false">F495+2+D495</f>
        <v>26</v>
      </c>
      <c r="H495" s="0" t="n">
        <f aca="false">Pemetaan!$B$2+E495</f>
        <v>23</v>
      </c>
      <c r="I495" s="0" t="str">
        <f aca="false">INDEX(Laporan!$A$1:$AZ$300,G495,1)</f>
        <v>Mixing</v>
      </c>
      <c r="J495" s="0" t="str">
        <f aca="false">INDEX(Laporan!$A$1:$AZ$300,G495,2)</f>
        <v>330 ml</v>
      </c>
      <c r="K495" s="0" t="str">
        <f aca="false">INDEX(Laporan!$A$1:$AZ$300,G495,3)</f>
        <v>Shift 1</v>
      </c>
      <c r="L495" s="0" t="n">
        <f aca="false">INDEX(Laporan!$A$1:$AZ$300,G495,4)</f>
        <v>2</v>
      </c>
      <c r="M495" s="1" t="n">
        <f aca="false">DATE(Pemetaan!$B$1,VALUE(RIGHT(INDEX(Laporan!$A$1:$AZ$300,F495+1,H495),2)),VALUE(LEFT(INDEX(Laporan!$A$1:$AZ$300,F495+1,H495),2)))</f>
        <v>46107</v>
      </c>
      <c r="N495" s="0" t="n">
        <f aca="false">INDEX(Laporan!$A$1:$AZ$300,G495,H495)</f>
        <v>3276</v>
      </c>
      <c r="O495" s="0" t="n">
        <f aca="false">IF(N495="","",IFERROR(VALUE(SUBSTITUTE(SUBSTITUTE(N495," btl",""),".","")),""))</f>
        <v>3276</v>
      </c>
      <c r="P495" s="0" t="str">
        <f aca="false">IF(B495="PRODUKSI","produced","reject")</f>
        <v>produced</v>
      </c>
    </row>
    <row r="496" customFormat="false" ht="15" hidden="false" customHeight="false" outlineLevel="0" collapsed="false">
      <c r="A496" s="0" t="n">
        <v>495</v>
      </c>
      <c r="B496" s="0" t="str">
        <f aca="false">IF(A496&lt;=36*25,"PRODUKSI","REJECT")</f>
        <v>PRODUKSI</v>
      </c>
      <c r="C496" s="0" t="n">
        <f aca="false">MOD(A496-1,Pemetaan!$B$3*Pemetaan!$B$4)</f>
        <v>494</v>
      </c>
      <c r="D496" s="0" t="n">
        <f aca="false">INT(C496/Pemetaan!$B$4)</f>
        <v>19</v>
      </c>
      <c r="E496" s="0" t="n">
        <f aca="false">MOD(C496,Pemetaan!$B$4)</f>
        <v>19</v>
      </c>
      <c r="F496" s="0" t="n">
        <f aca="false">IF(B496="PRODUKSI",Pemetaan!$B$5,Pemetaan!$B$6)</f>
        <v>5</v>
      </c>
      <c r="G496" s="0" t="n">
        <f aca="false">F496+2+D496</f>
        <v>26</v>
      </c>
      <c r="H496" s="0" t="n">
        <f aca="false">Pemetaan!$B$2+E496</f>
        <v>24</v>
      </c>
      <c r="I496" s="0" t="str">
        <f aca="false">INDEX(Laporan!$A$1:$AZ$300,G496,1)</f>
        <v>Mixing</v>
      </c>
      <c r="J496" s="0" t="str">
        <f aca="false">INDEX(Laporan!$A$1:$AZ$300,G496,2)</f>
        <v>330 ml</v>
      </c>
      <c r="K496" s="0" t="str">
        <f aca="false">INDEX(Laporan!$A$1:$AZ$300,G496,3)</f>
        <v>Shift 1</v>
      </c>
      <c r="L496" s="0" t="n">
        <f aca="false">INDEX(Laporan!$A$1:$AZ$300,G496,4)</f>
        <v>2</v>
      </c>
      <c r="M496" s="1" t="n">
        <f aca="false">DATE(Pemetaan!$B$1,VALUE(RIGHT(INDEX(Laporan!$A$1:$AZ$300,F496+1,H496),2)),VALUE(LEFT(INDEX(Laporan!$A$1:$AZ$300,F496+1,H496),2)))</f>
        <v>46108</v>
      </c>
      <c r="N496" s="0" t="n">
        <f aca="false">INDEX(Laporan!$A$1:$AZ$300,G496,H496)</f>
        <v>2975</v>
      </c>
      <c r="O496" s="0" t="n">
        <f aca="false">IF(N496="","",IFERROR(VALUE(SUBSTITUTE(SUBSTITUTE(N496," btl",""),".","")),""))</f>
        <v>2975</v>
      </c>
      <c r="P496" s="0" t="str">
        <f aca="false">IF(B496="PRODUKSI","produced","reject")</f>
        <v>produced</v>
      </c>
    </row>
    <row r="497" customFormat="false" ht="15" hidden="false" customHeight="false" outlineLevel="0" collapsed="false">
      <c r="A497" s="0" t="n">
        <v>496</v>
      </c>
      <c r="B497" s="0" t="str">
        <f aca="false">IF(A497&lt;=36*25,"PRODUKSI","REJECT")</f>
        <v>PRODUKSI</v>
      </c>
      <c r="C497" s="0" t="n">
        <f aca="false">MOD(A497-1,Pemetaan!$B$3*Pemetaan!$B$4)</f>
        <v>495</v>
      </c>
      <c r="D497" s="0" t="n">
        <f aca="false">INT(C497/Pemetaan!$B$4)</f>
        <v>19</v>
      </c>
      <c r="E497" s="0" t="n">
        <f aca="false">MOD(C497,Pemetaan!$B$4)</f>
        <v>20</v>
      </c>
      <c r="F497" s="0" t="n">
        <f aca="false">IF(B497="PRODUKSI",Pemetaan!$B$5,Pemetaan!$B$6)</f>
        <v>5</v>
      </c>
      <c r="G497" s="0" t="n">
        <f aca="false">F497+2+D497</f>
        <v>26</v>
      </c>
      <c r="H497" s="0" t="n">
        <f aca="false">Pemetaan!$B$2+E497</f>
        <v>25</v>
      </c>
      <c r="I497" s="0" t="str">
        <f aca="false">INDEX(Laporan!$A$1:$AZ$300,G497,1)</f>
        <v>Mixing</v>
      </c>
      <c r="J497" s="0" t="str">
        <f aca="false">INDEX(Laporan!$A$1:$AZ$300,G497,2)</f>
        <v>330 ml</v>
      </c>
      <c r="K497" s="0" t="str">
        <f aca="false">INDEX(Laporan!$A$1:$AZ$300,G497,3)</f>
        <v>Shift 1</v>
      </c>
      <c r="L497" s="0" t="n">
        <f aca="false">INDEX(Laporan!$A$1:$AZ$300,G497,4)</f>
        <v>2</v>
      </c>
      <c r="M497" s="1" t="n">
        <f aca="false">DATE(Pemetaan!$B$1,VALUE(RIGHT(INDEX(Laporan!$A$1:$AZ$300,F497+1,H497),2)),VALUE(LEFT(INDEX(Laporan!$A$1:$AZ$300,F497+1,H497),2)))</f>
        <v>46111</v>
      </c>
      <c r="N497" s="0" t="n">
        <f aca="false">INDEX(Laporan!$A$1:$AZ$300,G497,H497)</f>
        <v>3137</v>
      </c>
      <c r="O497" s="0" t="n">
        <f aca="false">IF(N497="","",IFERROR(VALUE(SUBSTITUTE(SUBSTITUTE(N497," btl",""),".","")),""))</f>
        <v>3137</v>
      </c>
      <c r="P497" s="0" t="str">
        <f aca="false">IF(B497="PRODUKSI","produced","reject")</f>
        <v>produced</v>
      </c>
    </row>
    <row r="498" customFormat="false" ht="15" hidden="false" customHeight="false" outlineLevel="0" collapsed="false">
      <c r="A498" s="0" t="n">
        <v>497</v>
      </c>
      <c r="B498" s="0" t="str">
        <f aca="false">IF(A498&lt;=36*25,"PRODUKSI","REJECT")</f>
        <v>PRODUKSI</v>
      </c>
      <c r="C498" s="0" t="n">
        <f aca="false">MOD(A498-1,Pemetaan!$B$3*Pemetaan!$B$4)</f>
        <v>496</v>
      </c>
      <c r="D498" s="0" t="n">
        <f aca="false">INT(C498/Pemetaan!$B$4)</f>
        <v>19</v>
      </c>
      <c r="E498" s="0" t="n">
        <f aca="false">MOD(C498,Pemetaan!$B$4)</f>
        <v>21</v>
      </c>
      <c r="F498" s="0" t="n">
        <f aca="false">IF(B498="PRODUKSI",Pemetaan!$B$5,Pemetaan!$B$6)</f>
        <v>5</v>
      </c>
      <c r="G498" s="0" t="n">
        <f aca="false">F498+2+D498</f>
        <v>26</v>
      </c>
      <c r="H498" s="0" t="n">
        <f aca="false">Pemetaan!$B$2+E498</f>
        <v>26</v>
      </c>
      <c r="I498" s="0" t="str">
        <f aca="false">INDEX(Laporan!$A$1:$AZ$300,G498,1)</f>
        <v>Mixing</v>
      </c>
      <c r="J498" s="0" t="str">
        <f aca="false">INDEX(Laporan!$A$1:$AZ$300,G498,2)</f>
        <v>330 ml</v>
      </c>
      <c r="K498" s="0" t="str">
        <f aca="false">INDEX(Laporan!$A$1:$AZ$300,G498,3)</f>
        <v>Shift 1</v>
      </c>
      <c r="L498" s="0" t="n">
        <f aca="false">INDEX(Laporan!$A$1:$AZ$300,G498,4)</f>
        <v>2</v>
      </c>
      <c r="M498" s="1" t="n">
        <f aca="false">DATE(Pemetaan!$B$1,VALUE(RIGHT(INDEX(Laporan!$A$1:$AZ$300,F498+1,H498),2)),VALUE(LEFT(INDEX(Laporan!$A$1:$AZ$300,F498+1,H498),2)))</f>
        <v>46112</v>
      </c>
      <c r="N498" s="0" t="n">
        <f aca="false">INDEX(Laporan!$A$1:$AZ$300,G498,H498)</f>
        <v>3011</v>
      </c>
      <c r="O498" s="0" t="n">
        <f aca="false">IF(N498="","",IFERROR(VALUE(SUBSTITUTE(SUBSTITUTE(N498," btl",""),".","")),""))</f>
        <v>3011</v>
      </c>
      <c r="P498" s="0" t="str">
        <f aca="false">IF(B498="PRODUKSI","produced","reject")</f>
        <v>produced</v>
      </c>
    </row>
    <row r="499" customFormat="false" ht="15" hidden="false" customHeight="false" outlineLevel="0" collapsed="false">
      <c r="A499" s="0" t="n">
        <v>498</v>
      </c>
      <c r="B499" s="0" t="str">
        <f aca="false">IF(A499&lt;=36*25,"PRODUKSI","REJECT")</f>
        <v>PRODUKSI</v>
      </c>
      <c r="C499" s="0" t="n">
        <f aca="false">MOD(A499-1,Pemetaan!$B$3*Pemetaan!$B$4)</f>
        <v>497</v>
      </c>
      <c r="D499" s="0" t="n">
        <f aca="false">INT(C499/Pemetaan!$B$4)</f>
        <v>19</v>
      </c>
      <c r="E499" s="0" t="n">
        <f aca="false">MOD(C499,Pemetaan!$B$4)</f>
        <v>22</v>
      </c>
      <c r="F499" s="0" t="n">
        <f aca="false">IF(B499="PRODUKSI",Pemetaan!$B$5,Pemetaan!$B$6)</f>
        <v>5</v>
      </c>
      <c r="G499" s="0" t="n">
        <f aca="false">F499+2+D499</f>
        <v>26</v>
      </c>
      <c r="H499" s="0" t="n">
        <f aca="false">Pemetaan!$B$2+E499</f>
        <v>27</v>
      </c>
      <c r="I499" s="0" t="str">
        <f aca="false">INDEX(Laporan!$A$1:$AZ$300,G499,1)</f>
        <v>Mixing</v>
      </c>
      <c r="J499" s="0" t="str">
        <f aca="false">INDEX(Laporan!$A$1:$AZ$300,G499,2)</f>
        <v>330 ml</v>
      </c>
      <c r="K499" s="0" t="str">
        <f aca="false">INDEX(Laporan!$A$1:$AZ$300,G499,3)</f>
        <v>Shift 1</v>
      </c>
      <c r="L499" s="0" t="n">
        <f aca="false">INDEX(Laporan!$A$1:$AZ$300,G499,4)</f>
        <v>2</v>
      </c>
      <c r="M499" s="1" t="n">
        <f aca="false">DATE(Pemetaan!$B$1,VALUE(RIGHT(INDEX(Laporan!$A$1:$AZ$300,F499+1,H499),2)),VALUE(LEFT(INDEX(Laporan!$A$1:$AZ$300,F499+1,H499),2)))</f>
        <v>46113</v>
      </c>
      <c r="N499" s="0" t="n">
        <f aca="false">INDEX(Laporan!$A$1:$AZ$300,G499,H499)</f>
        <v>3031</v>
      </c>
      <c r="O499" s="0" t="n">
        <f aca="false">IF(N499="","",IFERROR(VALUE(SUBSTITUTE(SUBSTITUTE(N499," btl",""),".","")),""))</f>
        <v>3031</v>
      </c>
      <c r="P499" s="0" t="str">
        <f aca="false">IF(B499="PRODUKSI","produced","reject")</f>
        <v>produced</v>
      </c>
    </row>
    <row r="500" customFormat="false" ht="15" hidden="false" customHeight="false" outlineLevel="0" collapsed="false">
      <c r="A500" s="0" t="n">
        <v>499</v>
      </c>
      <c r="B500" s="0" t="str">
        <f aca="false">IF(A500&lt;=36*25,"PRODUKSI","REJECT")</f>
        <v>PRODUKSI</v>
      </c>
      <c r="C500" s="0" t="n">
        <f aca="false">MOD(A500-1,Pemetaan!$B$3*Pemetaan!$B$4)</f>
        <v>498</v>
      </c>
      <c r="D500" s="0" t="n">
        <f aca="false">INT(C500/Pemetaan!$B$4)</f>
        <v>19</v>
      </c>
      <c r="E500" s="0" t="n">
        <f aca="false">MOD(C500,Pemetaan!$B$4)</f>
        <v>23</v>
      </c>
      <c r="F500" s="0" t="n">
        <f aca="false">IF(B500="PRODUKSI",Pemetaan!$B$5,Pemetaan!$B$6)</f>
        <v>5</v>
      </c>
      <c r="G500" s="0" t="n">
        <f aca="false">F500+2+D500</f>
        <v>26</v>
      </c>
      <c r="H500" s="0" t="n">
        <f aca="false">Pemetaan!$B$2+E500</f>
        <v>28</v>
      </c>
      <c r="I500" s="0" t="str">
        <f aca="false">INDEX(Laporan!$A$1:$AZ$300,G500,1)</f>
        <v>Mixing</v>
      </c>
      <c r="J500" s="0" t="str">
        <f aca="false">INDEX(Laporan!$A$1:$AZ$300,G500,2)</f>
        <v>330 ml</v>
      </c>
      <c r="K500" s="0" t="str">
        <f aca="false">INDEX(Laporan!$A$1:$AZ$300,G500,3)</f>
        <v>Shift 1</v>
      </c>
      <c r="L500" s="0" t="n">
        <f aca="false">INDEX(Laporan!$A$1:$AZ$300,G500,4)</f>
        <v>2</v>
      </c>
      <c r="M500" s="1" t="n">
        <f aca="false">DATE(Pemetaan!$B$1,VALUE(RIGHT(INDEX(Laporan!$A$1:$AZ$300,F500+1,H500),2)),VALUE(LEFT(INDEX(Laporan!$A$1:$AZ$300,F500+1,H500),2)))</f>
        <v>46114</v>
      </c>
      <c r="N500" s="0" t="n">
        <f aca="false">INDEX(Laporan!$A$1:$AZ$300,G500,H500)</f>
        <v>3493</v>
      </c>
      <c r="O500" s="0" t="n">
        <f aca="false">IF(N500="","",IFERROR(VALUE(SUBSTITUTE(SUBSTITUTE(N500," btl",""),".","")),""))</f>
        <v>3493</v>
      </c>
      <c r="P500" s="0" t="str">
        <f aca="false">IF(B500="PRODUKSI","produced","reject")</f>
        <v>produced</v>
      </c>
    </row>
    <row r="501" customFormat="false" ht="15" hidden="false" customHeight="false" outlineLevel="0" collapsed="false">
      <c r="A501" s="0" t="n">
        <v>500</v>
      </c>
      <c r="B501" s="0" t="str">
        <f aca="false">IF(A501&lt;=36*25,"PRODUKSI","REJECT")</f>
        <v>PRODUKSI</v>
      </c>
      <c r="C501" s="0" t="n">
        <f aca="false">MOD(A501-1,Pemetaan!$B$3*Pemetaan!$B$4)</f>
        <v>499</v>
      </c>
      <c r="D501" s="0" t="n">
        <f aca="false">INT(C501/Pemetaan!$B$4)</f>
        <v>19</v>
      </c>
      <c r="E501" s="0" t="n">
        <f aca="false">MOD(C501,Pemetaan!$B$4)</f>
        <v>24</v>
      </c>
      <c r="F501" s="0" t="n">
        <f aca="false">IF(B501="PRODUKSI",Pemetaan!$B$5,Pemetaan!$B$6)</f>
        <v>5</v>
      </c>
      <c r="G501" s="0" t="n">
        <f aca="false">F501+2+D501</f>
        <v>26</v>
      </c>
      <c r="H501" s="0" t="n">
        <f aca="false">Pemetaan!$B$2+E501</f>
        <v>29</v>
      </c>
      <c r="I501" s="0" t="str">
        <f aca="false">INDEX(Laporan!$A$1:$AZ$300,G501,1)</f>
        <v>Mixing</v>
      </c>
      <c r="J501" s="0" t="str">
        <f aca="false">INDEX(Laporan!$A$1:$AZ$300,G501,2)</f>
        <v>330 ml</v>
      </c>
      <c r="K501" s="0" t="str">
        <f aca="false">INDEX(Laporan!$A$1:$AZ$300,G501,3)</f>
        <v>Shift 1</v>
      </c>
      <c r="L501" s="0" t="n">
        <f aca="false">INDEX(Laporan!$A$1:$AZ$300,G501,4)</f>
        <v>2</v>
      </c>
      <c r="M501" s="1" t="n">
        <f aca="false">DATE(Pemetaan!$B$1,VALUE(RIGHT(INDEX(Laporan!$A$1:$AZ$300,F501+1,H501),2)),VALUE(LEFT(INDEX(Laporan!$A$1:$AZ$300,F501+1,H501),2)))</f>
        <v>46115</v>
      </c>
      <c r="N501" s="0" t="n">
        <f aca="false">INDEX(Laporan!$A$1:$AZ$300,G501,H501)</f>
        <v>3149</v>
      </c>
      <c r="O501" s="0" t="n">
        <f aca="false">IF(N501="","",IFERROR(VALUE(SUBSTITUTE(SUBSTITUTE(N501," btl",""),".","")),""))</f>
        <v>3149</v>
      </c>
      <c r="P501" s="0" t="str">
        <f aca="false">IF(B501="PRODUKSI","produced","reject")</f>
        <v>produced</v>
      </c>
    </row>
    <row r="502" customFormat="false" ht="15" hidden="false" customHeight="false" outlineLevel="0" collapsed="false">
      <c r="A502" s="0" t="n">
        <v>501</v>
      </c>
      <c r="B502" s="0" t="str">
        <f aca="false">IF(A502&lt;=36*25,"PRODUKSI","REJECT")</f>
        <v>PRODUKSI</v>
      </c>
      <c r="C502" s="0" t="n">
        <f aca="false">MOD(A502-1,Pemetaan!$B$3*Pemetaan!$B$4)</f>
        <v>500</v>
      </c>
      <c r="D502" s="0" t="n">
        <f aca="false">INT(C502/Pemetaan!$B$4)</f>
        <v>20</v>
      </c>
      <c r="E502" s="0" t="n">
        <f aca="false">MOD(C502,Pemetaan!$B$4)</f>
        <v>0</v>
      </c>
      <c r="F502" s="0" t="n">
        <f aca="false">IF(B502="PRODUKSI",Pemetaan!$B$5,Pemetaan!$B$6)</f>
        <v>5</v>
      </c>
      <c r="G502" s="0" t="n">
        <f aca="false">F502+2+D502</f>
        <v>27</v>
      </c>
      <c r="H502" s="0" t="n">
        <f aca="false">Pemetaan!$B$2+E502</f>
        <v>5</v>
      </c>
      <c r="I502" s="0" t="str">
        <f aca="false">INDEX(Laporan!$A$1:$AZ$300,G502,1)</f>
        <v>Mixing</v>
      </c>
      <c r="J502" s="0" t="str">
        <f aca="false">INDEX(Laporan!$A$1:$AZ$300,G502,2)</f>
        <v>330 ml</v>
      </c>
      <c r="K502" s="0" t="str">
        <f aca="false">INDEX(Laporan!$A$1:$AZ$300,G502,3)</f>
        <v>Shift 1</v>
      </c>
      <c r="L502" s="0" t="n">
        <f aca="false">INDEX(Laporan!$A$1:$AZ$300,G502,4)</f>
        <v>3</v>
      </c>
      <c r="M502" s="1" t="n">
        <f aca="false">DATE(Pemetaan!$B$1,VALUE(RIGHT(INDEX(Laporan!$A$1:$AZ$300,F502+1,H502),2)),VALUE(LEFT(INDEX(Laporan!$A$1:$AZ$300,F502+1,H502),2)))</f>
        <v>46083</v>
      </c>
      <c r="N502" s="0" t="n">
        <f aca="false">INDEX(Laporan!$A$1:$AZ$300,G502,H502)</f>
        <v>2927</v>
      </c>
      <c r="O502" s="0" t="n">
        <f aca="false">IF(N502="","",IFERROR(VALUE(SUBSTITUTE(SUBSTITUTE(N502," btl",""),".","")),""))</f>
        <v>2927</v>
      </c>
      <c r="P502" s="0" t="str">
        <f aca="false">IF(B502="PRODUKSI","produced","reject")</f>
        <v>produced</v>
      </c>
    </row>
    <row r="503" customFormat="false" ht="15" hidden="false" customHeight="false" outlineLevel="0" collapsed="false">
      <c r="A503" s="0" t="n">
        <v>502</v>
      </c>
      <c r="B503" s="0" t="str">
        <f aca="false">IF(A503&lt;=36*25,"PRODUKSI","REJECT")</f>
        <v>PRODUKSI</v>
      </c>
      <c r="C503" s="0" t="n">
        <f aca="false">MOD(A503-1,Pemetaan!$B$3*Pemetaan!$B$4)</f>
        <v>501</v>
      </c>
      <c r="D503" s="0" t="n">
        <f aca="false">INT(C503/Pemetaan!$B$4)</f>
        <v>20</v>
      </c>
      <c r="E503" s="0" t="n">
        <f aca="false">MOD(C503,Pemetaan!$B$4)</f>
        <v>1</v>
      </c>
      <c r="F503" s="0" t="n">
        <f aca="false">IF(B503="PRODUKSI",Pemetaan!$B$5,Pemetaan!$B$6)</f>
        <v>5</v>
      </c>
      <c r="G503" s="0" t="n">
        <f aca="false">F503+2+D503</f>
        <v>27</v>
      </c>
      <c r="H503" s="0" t="n">
        <f aca="false">Pemetaan!$B$2+E503</f>
        <v>6</v>
      </c>
      <c r="I503" s="0" t="str">
        <f aca="false">INDEX(Laporan!$A$1:$AZ$300,G503,1)</f>
        <v>Mixing</v>
      </c>
      <c r="J503" s="0" t="str">
        <f aca="false">INDEX(Laporan!$A$1:$AZ$300,G503,2)</f>
        <v>330 ml</v>
      </c>
      <c r="K503" s="0" t="str">
        <f aca="false">INDEX(Laporan!$A$1:$AZ$300,G503,3)</f>
        <v>Shift 1</v>
      </c>
      <c r="L503" s="0" t="n">
        <f aca="false">INDEX(Laporan!$A$1:$AZ$300,G503,4)</f>
        <v>3</v>
      </c>
      <c r="M503" s="1" t="n">
        <f aca="false">DATE(Pemetaan!$B$1,VALUE(RIGHT(INDEX(Laporan!$A$1:$AZ$300,F503+1,H503),2)),VALUE(LEFT(INDEX(Laporan!$A$1:$AZ$300,F503+1,H503),2)))</f>
        <v>46084</v>
      </c>
      <c r="N503" s="0" t="n">
        <f aca="false">INDEX(Laporan!$A$1:$AZ$300,G503,H503)</f>
        <v>3077</v>
      </c>
      <c r="O503" s="0" t="n">
        <f aca="false">IF(N503="","",IFERROR(VALUE(SUBSTITUTE(SUBSTITUTE(N503," btl",""),".","")),""))</f>
        <v>3077</v>
      </c>
      <c r="P503" s="0" t="str">
        <f aca="false">IF(B503="PRODUKSI","produced","reject")</f>
        <v>produced</v>
      </c>
    </row>
    <row r="504" customFormat="false" ht="15" hidden="false" customHeight="false" outlineLevel="0" collapsed="false">
      <c r="A504" s="0" t="n">
        <v>503</v>
      </c>
      <c r="B504" s="0" t="str">
        <f aca="false">IF(A504&lt;=36*25,"PRODUKSI","REJECT")</f>
        <v>PRODUKSI</v>
      </c>
      <c r="C504" s="0" t="n">
        <f aca="false">MOD(A504-1,Pemetaan!$B$3*Pemetaan!$B$4)</f>
        <v>502</v>
      </c>
      <c r="D504" s="0" t="n">
        <f aca="false">INT(C504/Pemetaan!$B$4)</f>
        <v>20</v>
      </c>
      <c r="E504" s="0" t="n">
        <f aca="false">MOD(C504,Pemetaan!$B$4)</f>
        <v>2</v>
      </c>
      <c r="F504" s="0" t="n">
        <f aca="false">IF(B504="PRODUKSI",Pemetaan!$B$5,Pemetaan!$B$6)</f>
        <v>5</v>
      </c>
      <c r="G504" s="0" t="n">
        <f aca="false">F504+2+D504</f>
        <v>27</v>
      </c>
      <c r="H504" s="0" t="n">
        <f aca="false">Pemetaan!$B$2+E504</f>
        <v>7</v>
      </c>
      <c r="I504" s="0" t="str">
        <f aca="false">INDEX(Laporan!$A$1:$AZ$300,G504,1)</f>
        <v>Mixing</v>
      </c>
      <c r="J504" s="0" t="str">
        <f aca="false">INDEX(Laporan!$A$1:$AZ$300,G504,2)</f>
        <v>330 ml</v>
      </c>
      <c r="K504" s="0" t="str">
        <f aca="false">INDEX(Laporan!$A$1:$AZ$300,G504,3)</f>
        <v>Shift 1</v>
      </c>
      <c r="L504" s="0" t="n">
        <f aca="false">INDEX(Laporan!$A$1:$AZ$300,G504,4)</f>
        <v>3</v>
      </c>
      <c r="M504" s="1" t="n">
        <f aca="false">DATE(Pemetaan!$B$1,VALUE(RIGHT(INDEX(Laporan!$A$1:$AZ$300,F504+1,H504),2)),VALUE(LEFT(INDEX(Laporan!$A$1:$AZ$300,F504+1,H504),2)))</f>
        <v>46085</v>
      </c>
      <c r="N504" s="0" t="n">
        <f aca="false">INDEX(Laporan!$A$1:$AZ$300,G504,H504)</f>
        <v>3396</v>
      </c>
      <c r="O504" s="0" t="n">
        <f aca="false">IF(N504="","",IFERROR(VALUE(SUBSTITUTE(SUBSTITUTE(N504," btl",""),".","")),""))</f>
        <v>3396</v>
      </c>
      <c r="P504" s="0" t="str">
        <f aca="false">IF(B504="PRODUKSI","produced","reject")</f>
        <v>produced</v>
      </c>
    </row>
    <row r="505" customFormat="false" ht="15" hidden="false" customHeight="false" outlineLevel="0" collapsed="false">
      <c r="A505" s="0" t="n">
        <v>504</v>
      </c>
      <c r="B505" s="0" t="str">
        <f aca="false">IF(A505&lt;=36*25,"PRODUKSI","REJECT")</f>
        <v>PRODUKSI</v>
      </c>
      <c r="C505" s="0" t="n">
        <f aca="false">MOD(A505-1,Pemetaan!$B$3*Pemetaan!$B$4)</f>
        <v>503</v>
      </c>
      <c r="D505" s="0" t="n">
        <f aca="false">INT(C505/Pemetaan!$B$4)</f>
        <v>20</v>
      </c>
      <c r="E505" s="0" t="n">
        <f aca="false">MOD(C505,Pemetaan!$B$4)</f>
        <v>3</v>
      </c>
      <c r="F505" s="0" t="n">
        <f aca="false">IF(B505="PRODUKSI",Pemetaan!$B$5,Pemetaan!$B$6)</f>
        <v>5</v>
      </c>
      <c r="G505" s="0" t="n">
        <f aca="false">F505+2+D505</f>
        <v>27</v>
      </c>
      <c r="H505" s="0" t="n">
        <f aca="false">Pemetaan!$B$2+E505</f>
        <v>8</v>
      </c>
      <c r="I505" s="0" t="str">
        <f aca="false">INDEX(Laporan!$A$1:$AZ$300,G505,1)</f>
        <v>Mixing</v>
      </c>
      <c r="J505" s="0" t="str">
        <f aca="false">INDEX(Laporan!$A$1:$AZ$300,G505,2)</f>
        <v>330 ml</v>
      </c>
      <c r="K505" s="0" t="str">
        <f aca="false">INDEX(Laporan!$A$1:$AZ$300,G505,3)</f>
        <v>Shift 1</v>
      </c>
      <c r="L505" s="0" t="n">
        <f aca="false">INDEX(Laporan!$A$1:$AZ$300,G505,4)</f>
        <v>3</v>
      </c>
      <c r="M505" s="1" t="n">
        <f aca="false">DATE(Pemetaan!$B$1,VALUE(RIGHT(INDEX(Laporan!$A$1:$AZ$300,F505+1,H505),2)),VALUE(LEFT(INDEX(Laporan!$A$1:$AZ$300,F505+1,H505),2)))</f>
        <v>46086</v>
      </c>
      <c r="N505" s="0" t="n">
        <f aca="false">INDEX(Laporan!$A$1:$AZ$300,G505,H505)</f>
        <v>2917</v>
      </c>
      <c r="O505" s="0" t="n">
        <f aca="false">IF(N505="","",IFERROR(VALUE(SUBSTITUTE(SUBSTITUTE(N505," btl",""),".","")),""))</f>
        <v>2917</v>
      </c>
      <c r="P505" s="0" t="str">
        <f aca="false">IF(B505="PRODUKSI","produced","reject")</f>
        <v>produced</v>
      </c>
    </row>
    <row r="506" customFormat="false" ht="15" hidden="false" customHeight="false" outlineLevel="0" collapsed="false">
      <c r="A506" s="0" t="n">
        <v>505</v>
      </c>
      <c r="B506" s="0" t="str">
        <f aca="false">IF(A506&lt;=36*25,"PRODUKSI","REJECT")</f>
        <v>PRODUKSI</v>
      </c>
      <c r="C506" s="0" t="n">
        <f aca="false">MOD(A506-1,Pemetaan!$B$3*Pemetaan!$B$4)</f>
        <v>504</v>
      </c>
      <c r="D506" s="0" t="n">
        <f aca="false">INT(C506/Pemetaan!$B$4)</f>
        <v>20</v>
      </c>
      <c r="E506" s="0" t="n">
        <f aca="false">MOD(C506,Pemetaan!$B$4)</f>
        <v>4</v>
      </c>
      <c r="F506" s="0" t="n">
        <f aca="false">IF(B506="PRODUKSI",Pemetaan!$B$5,Pemetaan!$B$6)</f>
        <v>5</v>
      </c>
      <c r="G506" s="0" t="n">
        <f aca="false">F506+2+D506</f>
        <v>27</v>
      </c>
      <c r="H506" s="0" t="n">
        <f aca="false">Pemetaan!$B$2+E506</f>
        <v>9</v>
      </c>
      <c r="I506" s="0" t="str">
        <f aca="false">INDEX(Laporan!$A$1:$AZ$300,G506,1)</f>
        <v>Mixing</v>
      </c>
      <c r="J506" s="0" t="str">
        <f aca="false">INDEX(Laporan!$A$1:$AZ$300,G506,2)</f>
        <v>330 ml</v>
      </c>
      <c r="K506" s="0" t="str">
        <f aca="false">INDEX(Laporan!$A$1:$AZ$300,G506,3)</f>
        <v>Shift 1</v>
      </c>
      <c r="L506" s="0" t="n">
        <f aca="false">INDEX(Laporan!$A$1:$AZ$300,G506,4)</f>
        <v>3</v>
      </c>
      <c r="M506" s="1" t="n">
        <f aca="false">DATE(Pemetaan!$B$1,VALUE(RIGHT(INDEX(Laporan!$A$1:$AZ$300,F506+1,H506),2)),VALUE(LEFT(INDEX(Laporan!$A$1:$AZ$300,F506+1,H506),2)))</f>
        <v>46087</v>
      </c>
      <c r="N506" s="0" t="n">
        <f aca="false">INDEX(Laporan!$A$1:$AZ$300,G506,H506)</f>
        <v>3119</v>
      </c>
      <c r="O506" s="0" t="n">
        <f aca="false">IF(N506="","",IFERROR(VALUE(SUBSTITUTE(SUBSTITUTE(N506," btl",""),".","")),""))</f>
        <v>3119</v>
      </c>
      <c r="P506" s="0" t="str">
        <f aca="false">IF(B506="PRODUKSI","produced","reject")</f>
        <v>produced</v>
      </c>
    </row>
    <row r="507" customFormat="false" ht="15" hidden="false" customHeight="false" outlineLevel="0" collapsed="false">
      <c r="A507" s="0" t="n">
        <v>506</v>
      </c>
      <c r="B507" s="0" t="str">
        <f aca="false">IF(A507&lt;=36*25,"PRODUKSI","REJECT")</f>
        <v>PRODUKSI</v>
      </c>
      <c r="C507" s="0" t="n">
        <f aca="false">MOD(A507-1,Pemetaan!$B$3*Pemetaan!$B$4)</f>
        <v>505</v>
      </c>
      <c r="D507" s="0" t="n">
        <f aca="false">INT(C507/Pemetaan!$B$4)</f>
        <v>20</v>
      </c>
      <c r="E507" s="0" t="n">
        <f aca="false">MOD(C507,Pemetaan!$B$4)</f>
        <v>5</v>
      </c>
      <c r="F507" s="0" t="n">
        <f aca="false">IF(B507="PRODUKSI",Pemetaan!$B$5,Pemetaan!$B$6)</f>
        <v>5</v>
      </c>
      <c r="G507" s="0" t="n">
        <f aca="false">F507+2+D507</f>
        <v>27</v>
      </c>
      <c r="H507" s="0" t="n">
        <f aca="false">Pemetaan!$B$2+E507</f>
        <v>10</v>
      </c>
      <c r="I507" s="0" t="str">
        <f aca="false">INDEX(Laporan!$A$1:$AZ$300,G507,1)</f>
        <v>Mixing</v>
      </c>
      <c r="J507" s="0" t="str">
        <f aca="false">INDEX(Laporan!$A$1:$AZ$300,G507,2)</f>
        <v>330 ml</v>
      </c>
      <c r="K507" s="0" t="str">
        <f aca="false">INDEX(Laporan!$A$1:$AZ$300,G507,3)</f>
        <v>Shift 1</v>
      </c>
      <c r="L507" s="0" t="n">
        <f aca="false">INDEX(Laporan!$A$1:$AZ$300,G507,4)</f>
        <v>3</v>
      </c>
      <c r="M507" s="1" t="n">
        <f aca="false">DATE(Pemetaan!$B$1,VALUE(RIGHT(INDEX(Laporan!$A$1:$AZ$300,F507+1,H507),2)),VALUE(LEFT(INDEX(Laporan!$A$1:$AZ$300,F507+1,H507),2)))</f>
        <v>46090</v>
      </c>
      <c r="N507" s="0" t="n">
        <f aca="false">INDEX(Laporan!$A$1:$AZ$300,G507,H507)</f>
        <v>2821</v>
      </c>
      <c r="O507" s="0" t="n">
        <f aca="false">IF(N507="","",IFERROR(VALUE(SUBSTITUTE(SUBSTITUTE(N507," btl",""),".","")),""))</f>
        <v>2821</v>
      </c>
      <c r="P507" s="0" t="str">
        <f aca="false">IF(B507="PRODUKSI","produced","reject")</f>
        <v>produced</v>
      </c>
    </row>
    <row r="508" customFormat="false" ht="15" hidden="false" customHeight="false" outlineLevel="0" collapsed="false">
      <c r="A508" s="0" t="n">
        <v>507</v>
      </c>
      <c r="B508" s="0" t="str">
        <f aca="false">IF(A508&lt;=36*25,"PRODUKSI","REJECT")</f>
        <v>PRODUKSI</v>
      </c>
      <c r="C508" s="0" t="n">
        <f aca="false">MOD(A508-1,Pemetaan!$B$3*Pemetaan!$B$4)</f>
        <v>506</v>
      </c>
      <c r="D508" s="0" t="n">
        <f aca="false">INT(C508/Pemetaan!$B$4)</f>
        <v>20</v>
      </c>
      <c r="E508" s="0" t="n">
        <f aca="false">MOD(C508,Pemetaan!$B$4)</f>
        <v>6</v>
      </c>
      <c r="F508" s="0" t="n">
        <f aca="false">IF(B508="PRODUKSI",Pemetaan!$B$5,Pemetaan!$B$6)</f>
        <v>5</v>
      </c>
      <c r="G508" s="0" t="n">
        <f aca="false">F508+2+D508</f>
        <v>27</v>
      </c>
      <c r="H508" s="0" t="n">
        <f aca="false">Pemetaan!$B$2+E508</f>
        <v>11</v>
      </c>
      <c r="I508" s="0" t="str">
        <f aca="false">INDEX(Laporan!$A$1:$AZ$300,G508,1)</f>
        <v>Mixing</v>
      </c>
      <c r="J508" s="0" t="str">
        <f aca="false">INDEX(Laporan!$A$1:$AZ$300,G508,2)</f>
        <v>330 ml</v>
      </c>
      <c r="K508" s="0" t="str">
        <f aca="false">INDEX(Laporan!$A$1:$AZ$300,G508,3)</f>
        <v>Shift 1</v>
      </c>
      <c r="L508" s="0" t="n">
        <f aca="false">INDEX(Laporan!$A$1:$AZ$300,G508,4)</f>
        <v>3</v>
      </c>
      <c r="M508" s="1" t="n">
        <f aca="false">DATE(Pemetaan!$B$1,VALUE(RIGHT(INDEX(Laporan!$A$1:$AZ$300,F508+1,H508),2)),VALUE(LEFT(INDEX(Laporan!$A$1:$AZ$300,F508+1,H508),2)))</f>
        <v>46091</v>
      </c>
      <c r="N508" s="0" t="n">
        <f aca="false">INDEX(Laporan!$A$1:$AZ$300,G508,H508)</f>
        <v>3406</v>
      </c>
      <c r="O508" s="0" t="n">
        <f aca="false">IF(N508="","",IFERROR(VALUE(SUBSTITUTE(SUBSTITUTE(N508," btl",""),".","")),""))</f>
        <v>3406</v>
      </c>
      <c r="P508" s="0" t="str">
        <f aca="false">IF(B508="PRODUKSI","produced","reject")</f>
        <v>produced</v>
      </c>
    </row>
    <row r="509" customFormat="false" ht="15" hidden="false" customHeight="false" outlineLevel="0" collapsed="false">
      <c r="A509" s="0" t="n">
        <v>508</v>
      </c>
      <c r="B509" s="0" t="str">
        <f aca="false">IF(A509&lt;=36*25,"PRODUKSI","REJECT")</f>
        <v>PRODUKSI</v>
      </c>
      <c r="C509" s="0" t="n">
        <f aca="false">MOD(A509-1,Pemetaan!$B$3*Pemetaan!$B$4)</f>
        <v>507</v>
      </c>
      <c r="D509" s="0" t="n">
        <f aca="false">INT(C509/Pemetaan!$B$4)</f>
        <v>20</v>
      </c>
      <c r="E509" s="0" t="n">
        <f aca="false">MOD(C509,Pemetaan!$B$4)</f>
        <v>7</v>
      </c>
      <c r="F509" s="0" t="n">
        <f aca="false">IF(B509="PRODUKSI",Pemetaan!$B$5,Pemetaan!$B$6)</f>
        <v>5</v>
      </c>
      <c r="G509" s="0" t="n">
        <f aca="false">F509+2+D509</f>
        <v>27</v>
      </c>
      <c r="H509" s="0" t="n">
        <f aca="false">Pemetaan!$B$2+E509</f>
        <v>12</v>
      </c>
      <c r="I509" s="0" t="str">
        <f aca="false">INDEX(Laporan!$A$1:$AZ$300,G509,1)</f>
        <v>Mixing</v>
      </c>
      <c r="J509" s="0" t="str">
        <f aca="false">INDEX(Laporan!$A$1:$AZ$300,G509,2)</f>
        <v>330 ml</v>
      </c>
      <c r="K509" s="0" t="str">
        <f aca="false">INDEX(Laporan!$A$1:$AZ$300,G509,3)</f>
        <v>Shift 1</v>
      </c>
      <c r="L509" s="0" t="n">
        <f aca="false">INDEX(Laporan!$A$1:$AZ$300,G509,4)</f>
        <v>3</v>
      </c>
      <c r="M509" s="1" t="n">
        <f aca="false">DATE(Pemetaan!$B$1,VALUE(RIGHT(INDEX(Laporan!$A$1:$AZ$300,F509+1,H509),2)),VALUE(LEFT(INDEX(Laporan!$A$1:$AZ$300,F509+1,H509),2)))</f>
        <v>46092</v>
      </c>
      <c r="N509" s="0" t="n">
        <f aca="false">INDEX(Laporan!$A$1:$AZ$300,G509,H509)</f>
        <v>3458</v>
      </c>
      <c r="O509" s="0" t="n">
        <f aca="false">IF(N509="","",IFERROR(VALUE(SUBSTITUTE(SUBSTITUTE(N509," btl",""),".","")),""))</f>
        <v>3458</v>
      </c>
      <c r="P509" s="0" t="str">
        <f aca="false">IF(B509="PRODUKSI","produced","reject")</f>
        <v>produced</v>
      </c>
    </row>
    <row r="510" customFormat="false" ht="15" hidden="false" customHeight="false" outlineLevel="0" collapsed="false">
      <c r="A510" s="0" t="n">
        <v>509</v>
      </c>
      <c r="B510" s="0" t="str">
        <f aca="false">IF(A510&lt;=36*25,"PRODUKSI","REJECT")</f>
        <v>PRODUKSI</v>
      </c>
      <c r="C510" s="0" t="n">
        <f aca="false">MOD(A510-1,Pemetaan!$B$3*Pemetaan!$B$4)</f>
        <v>508</v>
      </c>
      <c r="D510" s="0" t="n">
        <f aca="false">INT(C510/Pemetaan!$B$4)</f>
        <v>20</v>
      </c>
      <c r="E510" s="0" t="n">
        <f aca="false">MOD(C510,Pemetaan!$B$4)</f>
        <v>8</v>
      </c>
      <c r="F510" s="0" t="n">
        <f aca="false">IF(B510="PRODUKSI",Pemetaan!$B$5,Pemetaan!$B$6)</f>
        <v>5</v>
      </c>
      <c r="G510" s="0" t="n">
        <f aca="false">F510+2+D510</f>
        <v>27</v>
      </c>
      <c r="H510" s="0" t="n">
        <f aca="false">Pemetaan!$B$2+E510</f>
        <v>13</v>
      </c>
      <c r="I510" s="0" t="str">
        <f aca="false">INDEX(Laporan!$A$1:$AZ$300,G510,1)</f>
        <v>Mixing</v>
      </c>
      <c r="J510" s="0" t="str">
        <f aca="false">INDEX(Laporan!$A$1:$AZ$300,G510,2)</f>
        <v>330 ml</v>
      </c>
      <c r="K510" s="0" t="str">
        <f aca="false">INDEX(Laporan!$A$1:$AZ$300,G510,3)</f>
        <v>Shift 1</v>
      </c>
      <c r="L510" s="0" t="n">
        <f aca="false">INDEX(Laporan!$A$1:$AZ$300,G510,4)</f>
        <v>3</v>
      </c>
      <c r="M510" s="1" t="n">
        <f aca="false">DATE(Pemetaan!$B$1,VALUE(RIGHT(INDEX(Laporan!$A$1:$AZ$300,F510+1,H510),2)),VALUE(LEFT(INDEX(Laporan!$A$1:$AZ$300,F510+1,H510),2)))</f>
        <v>46093</v>
      </c>
      <c r="N510" s="0" t="n">
        <f aca="false">INDEX(Laporan!$A$1:$AZ$300,G510,H510)</f>
        <v>3087</v>
      </c>
      <c r="O510" s="0" t="n">
        <f aca="false">IF(N510="","",IFERROR(VALUE(SUBSTITUTE(SUBSTITUTE(N510," btl",""),".","")),""))</f>
        <v>3087</v>
      </c>
      <c r="P510" s="0" t="str">
        <f aca="false">IF(B510="PRODUKSI","produced","reject")</f>
        <v>produced</v>
      </c>
    </row>
    <row r="511" customFormat="false" ht="15" hidden="false" customHeight="false" outlineLevel="0" collapsed="false">
      <c r="A511" s="0" t="n">
        <v>510</v>
      </c>
      <c r="B511" s="0" t="str">
        <f aca="false">IF(A511&lt;=36*25,"PRODUKSI","REJECT")</f>
        <v>PRODUKSI</v>
      </c>
      <c r="C511" s="0" t="n">
        <f aca="false">MOD(A511-1,Pemetaan!$B$3*Pemetaan!$B$4)</f>
        <v>509</v>
      </c>
      <c r="D511" s="0" t="n">
        <f aca="false">INT(C511/Pemetaan!$B$4)</f>
        <v>20</v>
      </c>
      <c r="E511" s="0" t="n">
        <f aca="false">MOD(C511,Pemetaan!$B$4)</f>
        <v>9</v>
      </c>
      <c r="F511" s="0" t="n">
        <f aca="false">IF(B511="PRODUKSI",Pemetaan!$B$5,Pemetaan!$B$6)</f>
        <v>5</v>
      </c>
      <c r="G511" s="0" t="n">
        <f aca="false">F511+2+D511</f>
        <v>27</v>
      </c>
      <c r="H511" s="0" t="n">
        <f aca="false">Pemetaan!$B$2+E511</f>
        <v>14</v>
      </c>
      <c r="I511" s="0" t="str">
        <f aca="false">INDEX(Laporan!$A$1:$AZ$300,G511,1)</f>
        <v>Mixing</v>
      </c>
      <c r="J511" s="0" t="str">
        <f aca="false">INDEX(Laporan!$A$1:$AZ$300,G511,2)</f>
        <v>330 ml</v>
      </c>
      <c r="K511" s="0" t="str">
        <f aca="false">INDEX(Laporan!$A$1:$AZ$300,G511,3)</f>
        <v>Shift 1</v>
      </c>
      <c r="L511" s="0" t="n">
        <f aca="false">INDEX(Laporan!$A$1:$AZ$300,G511,4)</f>
        <v>3</v>
      </c>
      <c r="M511" s="1" t="n">
        <f aca="false">DATE(Pemetaan!$B$1,VALUE(RIGHT(INDEX(Laporan!$A$1:$AZ$300,F511+1,H511),2)),VALUE(LEFT(INDEX(Laporan!$A$1:$AZ$300,F511+1,H511),2)))</f>
        <v>46094</v>
      </c>
      <c r="N511" s="0" t="n">
        <f aca="false">INDEX(Laporan!$A$1:$AZ$300,G511,H511)</f>
        <v>2920</v>
      </c>
      <c r="O511" s="0" t="n">
        <f aca="false">IF(N511="","",IFERROR(VALUE(SUBSTITUTE(SUBSTITUTE(N511," btl",""),".","")),""))</f>
        <v>2920</v>
      </c>
      <c r="P511" s="0" t="str">
        <f aca="false">IF(B511="PRODUKSI","produced","reject")</f>
        <v>produced</v>
      </c>
    </row>
    <row r="512" customFormat="false" ht="15" hidden="false" customHeight="false" outlineLevel="0" collapsed="false">
      <c r="A512" s="0" t="n">
        <v>511</v>
      </c>
      <c r="B512" s="0" t="str">
        <f aca="false">IF(A512&lt;=36*25,"PRODUKSI","REJECT")</f>
        <v>PRODUKSI</v>
      </c>
      <c r="C512" s="0" t="n">
        <f aca="false">MOD(A512-1,Pemetaan!$B$3*Pemetaan!$B$4)</f>
        <v>510</v>
      </c>
      <c r="D512" s="0" t="n">
        <f aca="false">INT(C512/Pemetaan!$B$4)</f>
        <v>20</v>
      </c>
      <c r="E512" s="0" t="n">
        <f aca="false">MOD(C512,Pemetaan!$B$4)</f>
        <v>10</v>
      </c>
      <c r="F512" s="0" t="n">
        <f aca="false">IF(B512="PRODUKSI",Pemetaan!$B$5,Pemetaan!$B$6)</f>
        <v>5</v>
      </c>
      <c r="G512" s="0" t="n">
        <f aca="false">F512+2+D512</f>
        <v>27</v>
      </c>
      <c r="H512" s="0" t="n">
        <f aca="false">Pemetaan!$B$2+E512</f>
        <v>15</v>
      </c>
      <c r="I512" s="0" t="str">
        <f aca="false">INDEX(Laporan!$A$1:$AZ$300,G512,1)</f>
        <v>Mixing</v>
      </c>
      <c r="J512" s="0" t="str">
        <f aca="false">INDEX(Laporan!$A$1:$AZ$300,G512,2)</f>
        <v>330 ml</v>
      </c>
      <c r="K512" s="0" t="str">
        <f aca="false">INDEX(Laporan!$A$1:$AZ$300,G512,3)</f>
        <v>Shift 1</v>
      </c>
      <c r="L512" s="0" t="n">
        <f aca="false">INDEX(Laporan!$A$1:$AZ$300,G512,4)</f>
        <v>3</v>
      </c>
      <c r="M512" s="1" t="n">
        <f aca="false">DATE(Pemetaan!$B$1,VALUE(RIGHT(INDEX(Laporan!$A$1:$AZ$300,F512+1,H512),2)),VALUE(LEFT(INDEX(Laporan!$A$1:$AZ$300,F512+1,H512),2)))</f>
        <v>46097</v>
      </c>
      <c r="N512" s="0" t="n">
        <f aca="false">INDEX(Laporan!$A$1:$AZ$300,G512,H512)</f>
        <v>3188</v>
      </c>
      <c r="O512" s="0" t="n">
        <f aca="false">IF(N512="","",IFERROR(VALUE(SUBSTITUTE(SUBSTITUTE(N512," btl",""),".","")),""))</f>
        <v>3188</v>
      </c>
      <c r="P512" s="0" t="str">
        <f aca="false">IF(B512="PRODUKSI","produced","reject")</f>
        <v>produced</v>
      </c>
    </row>
    <row r="513" customFormat="false" ht="15" hidden="false" customHeight="false" outlineLevel="0" collapsed="false">
      <c r="A513" s="0" t="n">
        <v>512</v>
      </c>
      <c r="B513" s="0" t="str">
        <f aca="false">IF(A513&lt;=36*25,"PRODUKSI","REJECT")</f>
        <v>PRODUKSI</v>
      </c>
      <c r="C513" s="0" t="n">
        <f aca="false">MOD(A513-1,Pemetaan!$B$3*Pemetaan!$B$4)</f>
        <v>511</v>
      </c>
      <c r="D513" s="0" t="n">
        <f aca="false">INT(C513/Pemetaan!$B$4)</f>
        <v>20</v>
      </c>
      <c r="E513" s="0" t="n">
        <f aca="false">MOD(C513,Pemetaan!$B$4)</f>
        <v>11</v>
      </c>
      <c r="F513" s="0" t="n">
        <f aca="false">IF(B513="PRODUKSI",Pemetaan!$B$5,Pemetaan!$B$6)</f>
        <v>5</v>
      </c>
      <c r="G513" s="0" t="n">
        <f aca="false">F513+2+D513</f>
        <v>27</v>
      </c>
      <c r="H513" s="0" t="n">
        <f aca="false">Pemetaan!$B$2+E513</f>
        <v>16</v>
      </c>
      <c r="I513" s="0" t="str">
        <f aca="false">INDEX(Laporan!$A$1:$AZ$300,G513,1)</f>
        <v>Mixing</v>
      </c>
      <c r="J513" s="0" t="str">
        <f aca="false">INDEX(Laporan!$A$1:$AZ$300,G513,2)</f>
        <v>330 ml</v>
      </c>
      <c r="K513" s="0" t="str">
        <f aca="false">INDEX(Laporan!$A$1:$AZ$300,G513,3)</f>
        <v>Shift 1</v>
      </c>
      <c r="L513" s="0" t="n">
        <f aca="false">INDEX(Laporan!$A$1:$AZ$300,G513,4)</f>
        <v>3</v>
      </c>
      <c r="M513" s="1" t="n">
        <f aca="false">DATE(Pemetaan!$B$1,VALUE(RIGHT(INDEX(Laporan!$A$1:$AZ$300,F513+1,H513),2)),VALUE(LEFT(INDEX(Laporan!$A$1:$AZ$300,F513+1,H513),2)))</f>
        <v>46098</v>
      </c>
      <c r="N513" s="0" t="n">
        <f aca="false">INDEX(Laporan!$A$1:$AZ$300,G513,H513)</f>
        <v>3255</v>
      </c>
      <c r="O513" s="0" t="n">
        <f aca="false">IF(N513="","",IFERROR(VALUE(SUBSTITUTE(SUBSTITUTE(N513," btl",""),".","")),""))</f>
        <v>3255</v>
      </c>
      <c r="P513" s="0" t="str">
        <f aca="false">IF(B513="PRODUKSI","produced","reject")</f>
        <v>produced</v>
      </c>
    </row>
    <row r="514" customFormat="false" ht="15" hidden="false" customHeight="false" outlineLevel="0" collapsed="false">
      <c r="A514" s="0" t="n">
        <v>513</v>
      </c>
      <c r="B514" s="0" t="str">
        <f aca="false">IF(A514&lt;=36*25,"PRODUKSI","REJECT")</f>
        <v>PRODUKSI</v>
      </c>
      <c r="C514" s="0" t="n">
        <f aca="false">MOD(A514-1,Pemetaan!$B$3*Pemetaan!$B$4)</f>
        <v>512</v>
      </c>
      <c r="D514" s="0" t="n">
        <f aca="false">INT(C514/Pemetaan!$B$4)</f>
        <v>20</v>
      </c>
      <c r="E514" s="0" t="n">
        <f aca="false">MOD(C514,Pemetaan!$B$4)</f>
        <v>12</v>
      </c>
      <c r="F514" s="0" t="n">
        <f aca="false">IF(B514="PRODUKSI",Pemetaan!$B$5,Pemetaan!$B$6)</f>
        <v>5</v>
      </c>
      <c r="G514" s="0" t="n">
        <f aca="false">F514+2+D514</f>
        <v>27</v>
      </c>
      <c r="H514" s="0" t="n">
        <f aca="false">Pemetaan!$B$2+E514</f>
        <v>17</v>
      </c>
      <c r="I514" s="0" t="str">
        <f aca="false">INDEX(Laporan!$A$1:$AZ$300,G514,1)</f>
        <v>Mixing</v>
      </c>
      <c r="J514" s="0" t="str">
        <f aca="false">INDEX(Laporan!$A$1:$AZ$300,G514,2)</f>
        <v>330 ml</v>
      </c>
      <c r="K514" s="0" t="str">
        <f aca="false">INDEX(Laporan!$A$1:$AZ$300,G514,3)</f>
        <v>Shift 1</v>
      </c>
      <c r="L514" s="0" t="n">
        <f aca="false">INDEX(Laporan!$A$1:$AZ$300,G514,4)</f>
        <v>3</v>
      </c>
      <c r="M514" s="1" t="n">
        <f aca="false">DATE(Pemetaan!$B$1,VALUE(RIGHT(INDEX(Laporan!$A$1:$AZ$300,F514+1,H514),2)),VALUE(LEFT(INDEX(Laporan!$A$1:$AZ$300,F514+1,H514),2)))</f>
        <v>46099</v>
      </c>
      <c r="N514" s="0" t="n">
        <f aca="false">INDEX(Laporan!$A$1:$AZ$300,G514,H514)</f>
        <v>3507</v>
      </c>
      <c r="O514" s="0" t="n">
        <f aca="false">IF(N514="","",IFERROR(VALUE(SUBSTITUTE(SUBSTITUTE(N514," btl",""),".","")),""))</f>
        <v>3507</v>
      </c>
      <c r="P514" s="0" t="str">
        <f aca="false">IF(B514="PRODUKSI","produced","reject")</f>
        <v>produced</v>
      </c>
    </row>
    <row r="515" customFormat="false" ht="15" hidden="false" customHeight="false" outlineLevel="0" collapsed="false">
      <c r="A515" s="0" t="n">
        <v>514</v>
      </c>
      <c r="B515" s="0" t="str">
        <f aca="false">IF(A515&lt;=36*25,"PRODUKSI","REJECT")</f>
        <v>PRODUKSI</v>
      </c>
      <c r="C515" s="0" t="n">
        <f aca="false">MOD(A515-1,Pemetaan!$B$3*Pemetaan!$B$4)</f>
        <v>513</v>
      </c>
      <c r="D515" s="0" t="n">
        <f aca="false">INT(C515/Pemetaan!$B$4)</f>
        <v>20</v>
      </c>
      <c r="E515" s="0" t="n">
        <f aca="false">MOD(C515,Pemetaan!$B$4)</f>
        <v>13</v>
      </c>
      <c r="F515" s="0" t="n">
        <f aca="false">IF(B515="PRODUKSI",Pemetaan!$B$5,Pemetaan!$B$6)</f>
        <v>5</v>
      </c>
      <c r="G515" s="0" t="n">
        <f aca="false">F515+2+D515</f>
        <v>27</v>
      </c>
      <c r="H515" s="0" t="n">
        <f aca="false">Pemetaan!$B$2+E515</f>
        <v>18</v>
      </c>
      <c r="I515" s="0" t="str">
        <f aca="false">INDEX(Laporan!$A$1:$AZ$300,G515,1)</f>
        <v>Mixing</v>
      </c>
      <c r="J515" s="0" t="str">
        <f aca="false">INDEX(Laporan!$A$1:$AZ$300,G515,2)</f>
        <v>330 ml</v>
      </c>
      <c r="K515" s="0" t="str">
        <f aca="false">INDEX(Laporan!$A$1:$AZ$300,G515,3)</f>
        <v>Shift 1</v>
      </c>
      <c r="L515" s="0" t="n">
        <f aca="false">INDEX(Laporan!$A$1:$AZ$300,G515,4)</f>
        <v>3</v>
      </c>
      <c r="M515" s="1" t="n">
        <f aca="false">DATE(Pemetaan!$B$1,VALUE(RIGHT(INDEX(Laporan!$A$1:$AZ$300,F515+1,H515),2)),VALUE(LEFT(INDEX(Laporan!$A$1:$AZ$300,F515+1,H515),2)))</f>
        <v>46100</v>
      </c>
      <c r="N515" s="0" t="n">
        <f aca="false">INDEX(Laporan!$A$1:$AZ$300,G515,H515)</f>
        <v>3208</v>
      </c>
      <c r="O515" s="0" t="n">
        <f aca="false">IF(N515="","",IFERROR(VALUE(SUBSTITUTE(SUBSTITUTE(N515," btl",""),".","")),""))</f>
        <v>3208</v>
      </c>
      <c r="P515" s="0" t="str">
        <f aca="false">IF(B515="PRODUKSI","produced","reject")</f>
        <v>produced</v>
      </c>
    </row>
    <row r="516" customFormat="false" ht="15" hidden="false" customHeight="false" outlineLevel="0" collapsed="false">
      <c r="A516" s="0" t="n">
        <v>515</v>
      </c>
      <c r="B516" s="0" t="str">
        <f aca="false">IF(A516&lt;=36*25,"PRODUKSI","REJECT")</f>
        <v>PRODUKSI</v>
      </c>
      <c r="C516" s="0" t="n">
        <f aca="false">MOD(A516-1,Pemetaan!$B$3*Pemetaan!$B$4)</f>
        <v>514</v>
      </c>
      <c r="D516" s="0" t="n">
        <f aca="false">INT(C516/Pemetaan!$B$4)</f>
        <v>20</v>
      </c>
      <c r="E516" s="0" t="n">
        <f aca="false">MOD(C516,Pemetaan!$B$4)</f>
        <v>14</v>
      </c>
      <c r="F516" s="0" t="n">
        <f aca="false">IF(B516="PRODUKSI",Pemetaan!$B$5,Pemetaan!$B$6)</f>
        <v>5</v>
      </c>
      <c r="G516" s="0" t="n">
        <f aca="false">F516+2+D516</f>
        <v>27</v>
      </c>
      <c r="H516" s="0" t="n">
        <f aca="false">Pemetaan!$B$2+E516</f>
        <v>19</v>
      </c>
      <c r="I516" s="0" t="str">
        <f aca="false">INDEX(Laporan!$A$1:$AZ$300,G516,1)</f>
        <v>Mixing</v>
      </c>
      <c r="J516" s="0" t="str">
        <f aca="false">INDEX(Laporan!$A$1:$AZ$300,G516,2)</f>
        <v>330 ml</v>
      </c>
      <c r="K516" s="0" t="str">
        <f aca="false">INDEX(Laporan!$A$1:$AZ$300,G516,3)</f>
        <v>Shift 1</v>
      </c>
      <c r="L516" s="0" t="n">
        <f aca="false">INDEX(Laporan!$A$1:$AZ$300,G516,4)</f>
        <v>3</v>
      </c>
      <c r="M516" s="1" t="n">
        <f aca="false">DATE(Pemetaan!$B$1,VALUE(RIGHT(INDEX(Laporan!$A$1:$AZ$300,F516+1,H516),2)),VALUE(LEFT(INDEX(Laporan!$A$1:$AZ$300,F516+1,H516),2)))</f>
        <v>46101</v>
      </c>
      <c r="N516" s="0" t="n">
        <f aca="false">INDEX(Laporan!$A$1:$AZ$300,G516,H516)</f>
        <v>3200</v>
      </c>
      <c r="O516" s="0" t="n">
        <f aca="false">IF(N516="","",IFERROR(VALUE(SUBSTITUTE(SUBSTITUTE(N516," btl",""),".","")),""))</f>
        <v>3200</v>
      </c>
      <c r="P516" s="0" t="str">
        <f aca="false">IF(B516="PRODUKSI","produced","reject")</f>
        <v>produced</v>
      </c>
    </row>
    <row r="517" customFormat="false" ht="15" hidden="false" customHeight="false" outlineLevel="0" collapsed="false">
      <c r="A517" s="0" t="n">
        <v>516</v>
      </c>
      <c r="B517" s="0" t="str">
        <f aca="false">IF(A517&lt;=36*25,"PRODUKSI","REJECT")</f>
        <v>PRODUKSI</v>
      </c>
      <c r="C517" s="0" t="n">
        <f aca="false">MOD(A517-1,Pemetaan!$B$3*Pemetaan!$B$4)</f>
        <v>515</v>
      </c>
      <c r="D517" s="0" t="n">
        <f aca="false">INT(C517/Pemetaan!$B$4)</f>
        <v>20</v>
      </c>
      <c r="E517" s="0" t="n">
        <f aca="false">MOD(C517,Pemetaan!$B$4)</f>
        <v>15</v>
      </c>
      <c r="F517" s="0" t="n">
        <f aca="false">IF(B517="PRODUKSI",Pemetaan!$B$5,Pemetaan!$B$6)</f>
        <v>5</v>
      </c>
      <c r="G517" s="0" t="n">
        <f aca="false">F517+2+D517</f>
        <v>27</v>
      </c>
      <c r="H517" s="0" t="n">
        <f aca="false">Pemetaan!$B$2+E517</f>
        <v>20</v>
      </c>
      <c r="I517" s="0" t="str">
        <f aca="false">INDEX(Laporan!$A$1:$AZ$300,G517,1)</f>
        <v>Mixing</v>
      </c>
      <c r="J517" s="0" t="str">
        <f aca="false">INDEX(Laporan!$A$1:$AZ$300,G517,2)</f>
        <v>330 ml</v>
      </c>
      <c r="K517" s="0" t="str">
        <f aca="false">INDEX(Laporan!$A$1:$AZ$300,G517,3)</f>
        <v>Shift 1</v>
      </c>
      <c r="L517" s="0" t="n">
        <f aca="false">INDEX(Laporan!$A$1:$AZ$300,G517,4)</f>
        <v>3</v>
      </c>
      <c r="M517" s="1" t="n">
        <f aca="false">DATE(Pemetaan!$B$1,VALUE(RIGHT(INDEX(Laporan!$A$1:$AZ$300,F517+1,H517),2)),VALUE(LEFT(INDEX(Laporan!$A$1:$AZ$300,F517+1,H517),2)))</f>
        <v>46104</v>
      </c>
      <c r="N517" s="0" t="n">
        <f aca="false">INDEX(Laporan!$A$1:$AZ$300,G517,H517)</f>
        <v>3036</v>
      </c>
      <c r="O517" s="0" t="n">
        <f aca="false">IF(N517="","",IFERROR(VALUE(SUBSTITUTE(SUBSTITUTE(N517," btl",""),".","")),""))</f>
        <v>3036</v>
      </c>
      <c r="P517" s="0" t="str">
        <f aca="false">IF(B517="PRODUKSI","produced","reject")</f>
        <v>produced</v>
      </c>
    </row>
    <row r="518" customFormat="false" ht="15" hidden="false" customHeight="false" outlineLevel="0" collapsed="false">
      <c r="A518" s="0" t="n">
        <v>517</v>
      </c>
      <c r="B518" s="0" t="str">
        <f aca="false">IF(A518&lt;=36*25,"PRODUKSI","REJECT")</f>
        <v>PRODUKSI</v>
      </c>
      <c r="C518" s="0" t="n">
        <f aca="false">MOD(A518-1,Pemetaan!$B$3*Pemetaan!$B$4)</f>
        <v>516</v>
      </c>
      <c r="D518" s="0" t="n">
        <f aca="false">INT(C518/Pemetaan!$B$4)</f>
        <v>20</v>
      </c>
      <c r="E518" s="0" t="n">
        <f aca="false">MOD(C518,Pemetaan!$B$4)</f>
        <v>16</v>
      </c>
      <c r="F518" s="0" t="n">
        <f aca="false">IF(B518="PRODUKSI",Pemetaan!$B$5,Pemetaan!$B$6)</f>
        <v>5</v>
      </c>
      <c r="G518" s="0" t="n">
        <f aca="false">F518+2+D518</f>
        <v>27</v>
      </c>
      <c r="H518" s="0" t="n">
        <f aca="false">Pemetaan!$B$2+E518</f>
        <v>21</v>
      </c>
      <c r="I518" s="0" t="str">
        <f aca="false">INDEX(Laporan!$A$1:$AZ$300,G518,1)</f>
        <v>Mixing</v>
      </c>
      <c r="J518" s="0" t="str">
        <f aca="false">INDEX(Laporan!$A$1:$AZ$300,G518,2)</f>
        <v>330 ml</v>
      </c>
      <c r="K518" s="0" t="str">
        <f aca="false">INDEX(Laporan!$A$1:$AZ$300,G518,3)</f>
        <v>Shift 1</v>
      </c>
      <c r="L518" s="0" t="n">
        <f aca="false">INDEX(Laporan!$A$1:$AZ$300,G518,4)</f>
        <v>3</v>
      </c>
      <c r="M518" s="1" t="n">
        <f aca="false">DATE(Pemetaan!$B$1,VALUE(RIGHT(INDEX(Laporan!$A$1:$AZ$300,F518+1,H518),2)),VALUE(LEFT(INDEX(Laporan!$A$1:$AZ$300,F518+1,H518),2)))</f>
        <v>46105</v>
      </c>
      <c r="N518" s="0" t="n">
        <f aca="false">INDEX(Laporan!$A$1:$AZ$300,G518,H518)</f>
        <v>3317</v>
      </c>
      <c r="O518" s="0" t="n">
        <f aca="false">IF(N518="","",IFERROR(VALUE(SUBSTITUTE(SUBSTITUTE(N518," btl",""),".","")),""))</f>
        <v>3317</v>
      </c>
      <c r="P518" s="0" t="str">
        <f aca="false">IF(B518="PRODUKSI","produced","reject")</f>
        <v>produced</v>
      </c>
    </row>
    <row r="519" customFormat="false" ht="15" hidden="false" customHeight="false" outlineLevel="0" collapsed="false">
      <c r="A519" s="0" t="n">
        <v>518</v>
      </c>
      <c r="B519" s="0" t="str">
        <f aca="false">IF(A519&lt;=36*25,"PRODUKSI","REJECT")</f>
        <v>PRODUKSI</v>
      </c>
      <c r="C519" s="0" t="n">
        <f aca="false">MOD(A519-1,Pemetaan!$B$3*Pemetaan!$B$4)</f>
        <v>517</v>
      </c>
      <c r="D519" s="0" t="n">
        <f aca="false">INT(C519/Pemetaan!$B$4)</f>
        <v>20</v>
      </c>
      <c r="E519" s="0" t="n">
        <f aca="false">MOD(C519,Pemetaan!$B$4)</f>
        <v>17</v>
      </c>
      <c r="F519" s="0" t="n">
        <f aca="false">IF(B519="PRODUKSI",Pemetaan!$B$5,Pemetaan!$B$6)</f>
        <v>5</v>
      </c>
      <c r="G519" s="0" t="n">
        <f aca="false">F519+2+D519</f>
        <v>27</v>
      </c>
      <c r="H519" s="0" t="n">
        <f aca="false">Pemetaan!$B$2+E519</f>
        <v>22</v>
      </c>
      <c r="I519" s="0" t="str">
        <f aca="false">INDEX(Laporan!$A$1:$AZ$300,G519,1)</f>
        <v>Mixing</v>
      </c>
      <c r="J519" s="0" t="str">
        <f aca="false">INDEX(Laporan!$A$1:$AZ$300,G519,2)</f>
        <v>330 ml</v>
      </c>
      <c r="K519" s="0" t="str">
        <f aca="false">INDEX(Laporan!$A$1:$AZ$300,G519,3)</f>
        <v>Shift 1</v>
      </c>
      <c r="L519" s="0" t="n">
        <f aca="false">INDEX(Laporan!$A$1:$AZ$300,G519,4)</f>
        <v>3</v>
      </c>
      <c r="M519" s="1" t="n">
        <f aca="false">DATE(Pemetaan!$B$1,VALUE(RIGHT(INDEX(Laporan!$A$1:$AZ$300,F519+1,H519),2)),VALUE(LEFT(INDEX(Laporan!$A$1:$AZ$300,F519+1,H519),2)))</f>
        <v>46106</v>
      </c>
      <c r="N519" s="0" t="n">
        <f aca="false">INDEX(Laporan!$A$1:$AZ$300,G519,H519)</f>
        <v>3075</v>
      </c>
      <c r="O519" s="0" t="n">
        <f aca="false">IF(N519="","",IFERROR(VALUE(SUBSTITUTE(SUBSTITUTE(N519," btl",""),".","")),""))</f>
        <v>3075</v>
      </c>
      <c r="P519" s="0" t="str">
        <f aca="false">IF(B519="PRODUKSI","produced","reject")</f>
        <v>produced</v>
      </c>
    </row>
    <row r="520" customFormat="false" ht="15" hidden="false" customHeight="false" outlineLevel="0" collapsed="false">
      <c r="A520" s="0" t="n">
        <v>519</v>
      </c>
      <c r="B520" s="0" t="str">
        <f aca="false">IF(A520&lt;=36*25,"PRODUKSI","REJECT")</f>
        <v>PRODUKSI</v>
      </c>
      <c r="C520" s="0" t="n">
        <f aca="false">MOD(A520-1,Pemetaan!$B$3*Pemetaan!$B$4)</f>
        <v>518</v>
      </c>
      <c r="D520" s="0" t="n">
        <f aca="false">INT(C520/Pemetaan!$B$4)</f>
        <v>20</v>
      </c>
      <c r="E520" s="0" t="n">
        <f aca="false">MOD(C520,Pemetaan!$B$4)</f>
        <v>18</v>
      </c>
      <c r="F520" s="0" t="n">
        <f aca="false">IF(B520="PRODUKSI",Pemetaan!$B$5,Pemetaan!$B$6)</f>
        <v>5</v>
      </c>
      <c r="G520" s="0" t="n">
        <f aca="false">F520+2+D520</f>
        <v>27</v>
      </c>
      <c r="H520" s="0" t="n">
        <f aca="false">Pemetaan!$B$2+E520</f>
        <v>23</v>
      </c>
      <c r="I520" s="0" t="str">
        <f aca="false">INDEX(Laporan!$A$1:$AZ$300,G520,1)</f>
        <v>Mixing</v>
      </c>
      <c r="J520" s="0" t="str">
        <f aca="false">INDEX(Laporan!$A$1:$AZ$300,G520,2)</f>
        <v>330 ml</v>
      </c>
      <c r="K520" s="0" t="str">
        <f aca="false">INDEX(Laporan!$A$1:$AZ$300,G520,3)</f>
        <v>Shift 1</v>
      </c>
      <c r="L520" s="0" t="n">
        <f aca="false">INDEX(Laporan!$A$1:$AZ$300,G520,4)</f>
        <v>3</v>
      </c>
      <c r="M520" s="1" t="n">
        <f aca="false">DATE(Pemetaan!$B$1,VALUE(RIGHT(INDEX(Laporan!$A$1:$AZ$300,F520+1,H520),2)),VALUE(LEFT(INDEX(Laporan!$A$1:$AZ$300,F520+1,H520),2)))</f>
        <v>46107</v>
      </c>
      <c r="N520" s="0" t="n">
        <f aca="false">INDEX(Laporan!$A$1:$AZ$300,G520,H520)</f>
        <v>3245</v>
      </c>
      <c r="O520" s="0" t="n">
        <f aca="false">IF(N520="","",IFERROR(VALUE(SUBSTITUTE(SUBSTITUTE(N520," btl",""),".","")),""))</f>
        <v>3245</v>
      </c>
      <c r="P520" s="0" t="str">
        <f aca="false">IF(B520="PRODUKSI","produced","reject")</f>
        <v>produced</v>
      </c>
    </row>
    <row r="521" customFormat="false" ht="15" hidden="false" customHeight="false" outlineLevel="0" collapsed="false">
      <c r="A521" s="0" t="n">
        <v>520</v>
      </c>
      <c r="B521" s="0" t="str">
        <f aca="false">IF(A521&lt;=36*25,"PRODUKSI","REJECT")</f>
        <v>PRODUKSI</v>
      </c>
      <c r="C521" s="0" t="n">
        <f aca="false">MOD(A521-1,Pemetaan!$B$3*Pemetaan!$B$4)</f>
        <v>519</v>
      </c>
      <c r="D521" s="0" t="n">
        <f aca="false">INT(C521/Pemetaan!$B$4)</f>
        <v>20</v>
      </c>
      <c r="E521" s="0" t="n">
        <f aca="false">MOD(C521,Pemetaan!$B$4)</f>
        <v>19</v>
      </c>
      <c r="F521" s="0" t="n">
        <f aca="false">IF(B521="PRODUKSI",Pemetaan!$B$5,Pemetaan!$B$6)</f>
        <v>5</v>
      </c>
      <c r="G521" s="0" t="n">
        <f aca="false">F521+2+D521</f>
        <v>27</v>
      </c>
      <c r="H521" s="0" t="n">
        <f aca="false">Pemetaan!$B$2+E521</f>
        <v>24</v>
      </c>
      <c r="I521" s="0" t="str">
        <f aca="false">INDEX(Laporan!$A$1:$AZ$300,G521,1)</f>
        <v>Mixing</v>
      </c>
      <c r="J521" s="0" t="str">
        <f aca="false">INDEX(Laporan!$A$1:$AZ$300,G521,2)</f>
        <v>330 ml</v>
      </c>
      <c r="K521" s="0" t="str">
        <f aca="false">INDEX(Laporan!$A$1:$AZ$300,G521,3)</f>
        <v>Shift 1</v>
      </c>
      <c r="L521" s="0" t="n">
        <f aca="false">INDEX(Laporan!$A$1:$AZ$300,G521,4)</f>
        <v>3</v>
      </c>
      <c r="M521" s="1" t="n">
        <f aca="false">DATE(Pemetaan!$B$1,VALUE(RIGHT(INDEX(Laporan!$A$1:$AZ$300,F521+1,H521),2)),VALUE(LEFT(INDEX(Laporan!$A$1:$AZ$300,F521+1,H521),2)))</f>
        <v>46108</v>
      </c>
      <c r="N521" s="0" t="n">
        <f aca="false">INDEX(Laporan!$A$1:$AZ$300,G521,H521)</f>
        <v>3117</v>
      </c>
      <c r="O521" s="0" t="n">
        <f aca="false">IF(N521="","",IFERROR(VALUE(SUBSTITUTE(SUBSTITUTE(N521," btl",""),".","")),""))</f>
        <v>3117</v>
      </c>
      <c r="P521" s="0" t="str">
        <f aca="false">IF(B521="PRODUKSI","produced","reject")</f>
        <v>produced</v>
      </c>
    </row>
    <row r="522" customFormat="false" ht="15" hidden="false" customHeight="false" outlineLevel="0" collapsed="false">
      <c r="A522" s="0" t="n">
        <v>521</v>
      </c>
      <c r="B522" s="0" t="str">
        <f aca="false">IF(A522&lt;=36*25,"PRODUKSI","REJECT")</f>
        <v>PRODUKSI</v>
      </c>
      <c r="C522" s="0" t="n">
        <f aca="false">MOD(A522-1,Pemetaan!$B$3*Pemetaan!$B$4)</f>
        <v>520</v>
      </c>
      <c r="D522" s="0" t="n">
        <f aca="false">INT(C522/Pemetaan!$B$4)</f>
        <v>20</v>
      </c>
      <c r="E522" s="0" t="n">
        <f aca="false">MOD(C522,Pemetaan!$B$4)</f>
        <v>20</v>
      </c>
      <c r="F522" s="0" t="n">
        <f aca="false">IF(B522="PRODUKSI",Pemetaan!$B$5,Pemetaan!$B$6)</f>
        <v>5</v>
      </c>
      <c r="G522" s="0" t="n">
        <f aca="false">F522+2+D522</f>
        <v>27</v>
      </c>
      <c r="H522" s="0" t="n">
        <f aca="false">Pemetaan!$B$2+E522</f>
        <v>25</v>
      </c>
      <c r="I522" s="0" t="str">
        <f aca="false">INDEX(Laporan!$A$1:$AZ$300,G522,1)</f>
        <v>Mixing</v>
      </c>
      <c r="J522" s="0" t="str">
        <f aca="false">INDEX(Laporan!$A$1:$AZ$300,G522,2)</f>
        <v>330 ml</v>
      </c>
      <c r="K522" s="0" t="str">
        <f aca="false">INDEX(Laporan!$A$1:$AZ$300,G522,3)</f>
        <v>Shift 1</v>
      </c>
      <c r="L522" s="0" t="n">
        <f aca="false">INDEX(Laporan!$A$1:$AZ$300,G522,4)</f>
        <v>3</v>
      </c>
      <c r="M522" s="1" t="n">
        <f aca="false">DATE(Pemetaan!$B$1,VALUE(RIGHT(INDEX(Laporan!$A$1:$AZ$300,F522+1,H522),2)),VALUE(LEFT(INDEX(Laporan!$A$1:$AZ$300,F522+1,H522),2)))</f>
        <v>46111</v>
      </c>
      <c r="N522" s="0" t="n">
        <f aca="false">INDEX(Laporan!$A$1:$AZ$300,G522,H522)</f>
        <v>3457</v>
      </c>
      <c r="O522" s="0" t="n">
        <f aca="false">IF(N522="","",IFERROR(VALUE(SUBSTITUTE(SUBSTITUTE(N522," btl",""),".","")),""))</f>
        <v>3457</v>
      </c>
      <c r="P522" s="0" t="str">
        <f aca="false">IF(B522="PRODUKSI","produced","reject")</f>
        <v>produced</v>
      </c>
    </row>
    <row r="523" customFormat="false" ht="15" hidden="false" customHeight="false" outlineLevel="0" collapsed="false">
      <c r="A523" s="0" t="n">
        <v>522</v>
      </c>
      <c r="B523" s="0" t="str">
        <f aca="false">IF(A523&lt;=36*25,"PRODUKSI","REJECT")</f>
        <v>PRODUKSI</v>
      </c>
      <c r="C523" s="0" t="n">
        <f aca="false">MOD(A523-1,Pemetaan!$B$3*Pemetaan!$B$4)</f>
        <v>521</v>
      </c>
      <c r="D523" s="0" t="n">
        <f aca="false">INT(C523/Pemetaan!$B$4)</f>
        <v>20</v>
      </c>
      <c r="E523" s="0" t="n">
        <f aca="false">MOD(C523,Pemetaan!$B$4)</f>
        <v>21</v>
      </c>
      <c r="F523" s="0" t="n">
        <f aca="false">IF(B523="PRODUKSI",Pemetaan!$B$5,Pemetaan!$B$6)</f>
        <v>5</v>
      </c>
      <c r="G523" s="0" t="n">
        <f aca="false">F523+2+D523</f>
        <v>27</v>
      </c>
      <c r="H523" s="0" t="n">
        <f aca="false">Pemetaan!$B$2+E523</f>
        <v>26</v>
      </c>
      <c r="I523" s="0" t="str">
        <f aca="false">INDEX(Laporan!$A$1:$AZ$300,G523,1)</f>
        <v>Mixing</v>
      </c>
      <c r="J523" s="0" t="str">
        <f aca="false">INDEX(Laporan!$A$1:$AZ$300,G523,2)</f>
        <v>330 ml</v>
      </c>
      <c r="K523" s="0" t="str">
        <f aca="false">INDEX(Laporan!$A$1:$AZ$300,G523,3)</f>
        <v>Shift 1</v>
      </c>
      <c r="L523" s="0" t="n">
        <f aca="false">INDEX(Laporan!$A$1:$AZ$300,G523,4)</f>
        <v>3</v>
      </c>
      <c r="M523" s="1" t="n">
        <f aca="false">DATE(Pemetaan!$B$1,VALUE(RIGHT(INDEX(Laporan!$A$1:$AZ$300,F523+1,H523),2)),VALUE(LEFT(INDEX(Laporan!$A$1:$AZ$300,F523+1,H523),2)))</f>
        <v>46112</v>
      </c>
      <c r="N523" s="0" t="n">
        <f aca="false">INDEX(Laporan!$A$1:$AZ$300,G523,H523)</f>
        <v>3102</v>
      </c>
      <c r="O523" s="0" t="n">
        <f aca="false">IF(N523="","",IFERROR(VALUE(SUBSTITUTE(SUBSTITUTE(N523," btl",""),".","")),""))</f>
        <v>3102</v>
      </c>
      <c r="P523" s="0" t="str">
        <f aca="false">IF(B523="PRODUKSI","produced","reject")</f>
        <v>produced</v>
      </c>
    </row>
    <row r="524" customFormat="false" ht="15" hidden="false" customHeight="false" outlineLevel="0" collapsed="false">
      <c r="A524" s="0" t="n">
        <v>523</v>
      </c>
      <c r="B524" s="0" t="str">
        <f aca="false">IF(A524&lt;=36*25,"PRODUKSI","REJECT")</f>
        <v>PRODUKSI</v>
      </c>
      <c r="C524" s="0" t="n">
        <f aca="false">MOD(A524-1,Pemetaan!$B$3*Pemetaan!$B$4)</f>
        <v>522</v>
      </c>
      <c r="D524" s="0" t="n">
        <f aca="false">INT(C524/Pemetaan!$B$4)</f>
        <v>20</v>
      </c>
      <c r="E524" s="0" t="n">
        <f aca="false">MOD(C524,Pemetaan!$B$4)</f>
        <v>22</v>
      </c>
      <c r="F524" s="0" t="n">
        <f aca="false">IF(B524="PRODUKSI",Pemetaan!$B$5,Pemetaan!$B$6)</f>
        <v>5</v>
      </c>
      <c r="G524" s="0" t="n">
        <f aca="false">F524+2+D524</f>
        <v>27</v>
      </c>
      <c r="H524" s="0" t="n">
        <f aca="false">Pemetaan!$B$2+E524</f>
        <v>27</v>
      </c>
      <c r="I524" s="0" t="str">
        <f aca="false">INDEX(Laporan!$A$1:$AZ$300,G524,1)</f>
        <v>Mixing</v>
      </c>
      <c r="J524" s="0" t="str">
        <f aca="false">INDEX(Laporan!$A$1:$AZ$300,G524,2)</f>
        <v>330 ml</v>
      </c>
      <c r="K524" s="0" t="str">
        <f aca="false">INDEX(Laporan!$A$1:$AZ$300,G524,3)</f>
        <v>Shift 1</v>
      </c>
      <c r="L524" s="0" t="n">
        <f aca="false">INDEX(Laporan!$A$1:$AZ$300,G524,4)</f>
        <v>3</v>
      </c>
      <c r="M524" s="1" t="n">
        <f aca="false">DATE(Pemetaan!$B$1,VALUE(RIGHT(INDEX(Laporan!$A$1:$AZ$300,F524+1,H524),2)),VALUE(LEFT(INDEX(Laporan!$A$1:$AZ$300,F524+1,H524),2)))</f>
        <v>46113</v>
      </c>
      <c r="N524" s="0" t="n">
        <f aca="false">INDEX(Laporan!$A$1:$AZ$300,G524,H524)</f>
        <v>3336</v>
      </c>
      <c r="O524" s="0" t="n">
        <f aca="false">IF(N524="","",IFERROR(VALUE(SUBSTITUTE(SUBSTITUTE(N524," btl",""),".","")),""))</f>
        <v>3336</v>
      </c>
      <c r="P524" s="0" t="str">
        <f aca="false">IF(B524="PRODUKSI","produced","reject")</f>
        <v>produced</v>
      </c>
    </row>
    <row r="525" customFormat="false" ht="15" hidden="false" customHeight="false" outlineLevel="0" collapsed="false">
      <c r="A525" s="0" t="n">
        <v>524</v>
      </c>
      <c r="B525" s="0" t="str">
        <f aca="false">IF(A525&lt;=36*25,"PRODUKSI","REJECT")</f>
        <v>PRODUKSI</v>
      </c>
      <c r="C525" s="0" t="n">
        <f aca="false">MOD(A525-1,Pemetaan!$B$3*Pemetaan!$B$4)</f>
        <v>523</v>
      </c>
      <c r="D525" s="0" t="n">
        <f aca="false">INT(C525/Pemetaan!$B$4)</f>
        <v>20</v>
      </c>
      <c r="E525" s="0" t="n">
        <f aca="false">MOD(C525,Pemetaan!$B$4)</f>
        <v>23</v>
      </c>
      <c r="F525" s="0" t="n">
        <f aca="false">IF(B525="PRODUKSI",Pemetaan!$B$5,Pemetaan!$B$6)</f>
        <v>5</v>
      </c>
      <c r="G525" s="0" t="n">
        <f aca="false">F525+2+D525</f>
        <v>27</v>
      </c>
      <c r="H525" s="0" t="n">
        <f aca="false">Pemetaan!$B$2+E525</f>
        <v>28</v>
      </c>
      <c r="I525" s="0" t="str">
        <f aca="false">INDEX(Laporan!$A$1:$AZ$300,G525,1)</f>
        <v>Mixing</v>
      </c>
      <c r="J525" s="0" t="str">
        <f aca="false">INDEX(Laporan!$A$1:$AZ$300,G525,2)</f>
        <v>330 ml</v>
      </c>
      <c r="K525" s="0" t="str">
        <f aca="false">INDEX(Laporan!$A$1:$AZ$300,G525,3)</f>
        <v>Shift 1</v>
      </c>
      <c r="L525" s="0" t="n">
        <f aca="false">INDEX(Laporan!$A$1:$AZ$300,G525,4)</f>
        <v>3</v>
      </c>
      <c r="M525" s="1" t="n">
        <f aca="false">DATE(Pemetaan!$B$1,VALUE(RIGHT(INDEX(Laporan!$A$1:$AZ$300,F525+1,H525),2)),VALUE(LEFT(INDEX(Laporan!$A$1:$AZ$300,F525+1,H525),2)))</f>
        <v>46114</v>
      </c>
      <c r="N525" s="0" t="n">
        <f aca="false">INDEX(Laporan!$A$1:$AZ$300,G525,H525)</f>
        <v>3193</v>
      </c>
      <c r="O525" s="0" t="n">
        <f aca="false">IF(N525="","",IFERROR(VALUE(SUBSTITUTE(SUBSTITUTE(N525," btl",""),".","")),""))</f>
        <v>3193</v>
      </c>
      <c r="P525" s="0" t="str">
        <f aca="false">IF(B525="PRODUKSI","produced","reject")</f>
        <v>produced</v>
      </c>
    </row>
    <row r="526" customFormat="false" ht="15" hidden="false" customHeight="false" outlineLevel="0" collapsed="false">
      <c r="A526" s="0" t="n">
        <v>525</v>
      </c>
      <c r="B526" s="0" t="str">
        <f aca="false">IF(A526&lt;=36*25,"PRODUKSI","REJECT")</f>
        <v>PRODUKSI</v>
      </c>
      <c r="C526" s="0" t="n">
        <f aca="false">MOD(A526-1,Pemetaan!$B$3*Pemetaan!$B$4)</f>
        <v>524</v>
      </c>
      <c r="D526" s="0" t="n">
        <f aca="false">INT(C526/Pemetaan!$B$4)</f>
        <v>20</v>
      </c>
      <c r="E526" s="0" t="n">
        <f aca="false">MOD(C526,Pemetaan!$B$4)</f>
        <v>24</v>
      </c>
      <c r="F526" s="0" t="n">
        <f aca="false">IF(B526="PRODUKSI",Pemetaan!$B$5,Pemetaan!$B$6)</f>
        <v>5</v>
      </c>
      <c r="G526" s="0" t="n">
        <f aca="false">F526+2+D526</f>
        <v>27</v>
      </c>
      <c r="H526" s="0" t="n">
        <f aca="false">Pemetaan!$B$2+E526</f>
        <v>29</v>
      </c>
      <c r="I526" s="0" t="str">
        <f aca="false">INDEX(Laporan!$A$1:$AZ$300,G526,1)</f>
        <v>Mixing</v>
      </c>
      <c r="J526" s="0" t="str">
        <f aca="false">INDEX(Laporan!$A$1:$AZ$300,G526,2)</f>
        <v>330 ml</v>
      </c>
      <c r="K526" s="0" t="str">
        <f aca="false">INDEX(Laporan!$A$1:$AZ$300,G526,3)</f>
        <v>Shift 1</v>
      </c>
      <c r="L526" s="0" t="n">
        <f aca="false">INDEX(Laporan!$A$1:$AZ$300,G526,4)</f>
        <v>3</v>
      </c>
      <c r="M526" s="1" t="n">
        <f aca="false">DATE(Pemetaan!$B$1,VALUE(RIGHT(INDEX(Laporan!$A$1:$AZ$300,F526+1,H526),2)),VALUE(LEFT(INDEX(Laporan!$A$1:$AZ$300,F526+1,H526),2)))</f>
        <v>46115</v>
      </c>
      <c r="N526" s="0" t="n">
        <f aca="false">INDEX(Laporan!$A$1:$AZ$300,G526,H526)</f>
        <v>3087</v>
      </c>
      <c r="O526" s="0" t="n">
        <f aca="false">IF(N526="","",IFERROR(VALUE(SUBSTITUTE(SUBSTITUTE(N526," btl",""),".","")),""))</f>
        <v>3087</v>
      </c>
      <c r="P526" s="0" t="str">
        <f aca="false">IF(B526="PRODUKSI","produced","reject")</f>
        <v>produced</v>
      </c>
    </row>
    <row r="527" customFormat="false" ht="15" hidden="false" customHeight="false" outlineLevel="0" collapsed="false">
      <c r="A527" s="0" t="n">
        <v>526</v>
      </c>
      <c r="B527" s="0" t="str">
        <f aca="false">IF(A527&lt;=36*25,"PRODUKSI","REJECT")</f>
        <v>PRODUKSI</v>
      </c>
      <c r="C527" s="0" t="n">
        <f aca="false">MOD(A527-1,Pemetaan!$B$3*Pemetaan!$B$4)</f>
        <v>525</v>
      </c>
      <c r="D527" s="0" t="n">
        <f aca="false">INT(C527/Pemetaan!$B$4)</f>
        <v>21</v>
      </c>
      <c r="E527" s="0" t="n">
        <f aca="false">MOD(C527,Pemetaan!$B$4)</f>
        <v>0</v>
      </c>
      <c r="F527" s="0" t="n">
        <f aca="false">IF(B527="PRODUKSI",Pemetaan!$B$5,Pemetaan!$B$6)</f>
        <v>5</v>
      </c>
      <c r="G527" s="0" t="n">
        <f aca="false">F527+2+D527</f>
        <v>28</v>
      </c>
      <c r="H527" s="0" t="n">
        <f aca="false">Pemetaan!$B$2+E527</f>
        <v>5</v>
      </c>
      <c r="I527" s="0" t="str">
        <f aca="false">INDEX(Laporan!$A$1:$AZ$300,G527,1)</f>
        <v>Mixing</v>
      </c>
      <c r="J527" s="0" t="str">
        <f aca="false">INDEX(Laporan!$A$1:$AZ$300,G527,2)</f>
        <v>330 ml</v>
      </c>
      <c r="K527" s="0" t="str">
        <f aca="false">INDEX(Laporan!$A$1:$AZ$300,G527,3)</f>
        <v>Shift 2</v>
      </c>
      <c r="L527" s="0" t="n">
        <f aca="false">INDEX(Laporan!$A$1:$AZ$300,G527,4)</f>
        <v>1</v>
      </c>
      <c r="M527" s="1" t="n">
        <f aca="false">DATE(Pemetaan!$B$1,VALUE(RIGHT(INDEX(Laporan!$A$1:$AZ$300,F527+1,H527),2)),VALUE(LEFT(INDEX(Laporan!$A$1:$AZ$300,F527+1,H527),2)))</f>
        <v>46083</v>
      </c>
      <c r="N527" s="0" t="n">
        <f aca="false">INDEX(Laporan!$A$1:$AZ$300,G527,H527)</f>
        <v>3191</v>
      </c>
      <c r="O527" s="0" t="n">
        <f aca="false">IF(N527="","",IFERROR(VALUE(SUBSTITUTE(SUBSTITUTE(N527," btl",""),".","")),""))</f>
        <v>3191</v>
      </c>
      <c r="P527" s="0" t="str">
        <f aca="false">IF(B527="PRODUKSI","produced","reject")</f>
        <v>produced</v>
      </c>
    </row>
    <row r="528" customFormat="false" ht="15" hidden="false" customHeight="false" outlineLevel="0" collapsed="false">
      <c r="A528" s="0" t="n">
        <v>527</v>
      </c>
      <c r="B528" s="0" t="str">
        <f aca="false">IF(A528&lt;=36*25,"PRODUKSI","REJECT")</f>
        <v>PRODUKSI</v>
      </c>
      <c r="C528" s="0" t="n">
        <f aca="false">MOD(A528-1,Pemetaan!$B$3*Pemetaan!$B$4)</f>
        <v>526</v>
      </c>
      <c r="D528" s="0" t="n">
        <f aca="false">INT(C528/Pemetaan!$B$4)</f>
        <v>21</v>
      </c>
      <c r="E528" s="0" t="n">
        <f aca="false">MOD(C528,Pemetaan!$B$4)</f>
        <v>1</v>
      </c>
      <c r="F528" s="0" t="n">
        <f aca="false">IF(B528="PRODUKSI",Pemetaan!$B$5,Pemetaan!$B$6)</f>
        <v>5</v>
      </c>
      <c r="G528" s="0" t="n">
        <f aca="false">F528+2+D528</f>
        <v>28</v>
      </c>
      <c r="H528" s="0" t="n">
        <f aca="false">Pemetaan!$B$2+E528</f>
        <v>6</v>
      </c>
      <c r="I528" s="0" t="str">
        <f aca="false">INDEX(Laporan!$A$1:$AZ$300,G528,1)</f>
        <v>Mixing</v>
      </c>
      <c r="J528" s="0" t="str">
        <f aca="false">INDEX(Laporan!$A$1:$AZ$300,G528,2)</f>
        <v>330 ml</v>
      </c>
      <c r="K528" s="0" t="str">
        <f aca="false">INDEX(Laporan!$A$1:$AZ$300,G528,3)</f>
        <v>Shift 2</v>
      </c>
      <c r="L528" s="0" t="n">
        <f aca="false">INDEX(Laporan!$A$1:$AZ$300,G528,4)</f>
        <v>1</v>
      </c>
      <c r="M528" s="1" t="n">
        <f aca="false">DATE(Pemetaan!$B$1,VALUE(RIGHT(INDEX(Laporan!$A$1:$AZ$300,F528+1,H528),2)),VALUE(LEFT(INDEX(Laporan!$A$1:$AZ$300,F528+1,H528),2)))</f>
        <v>46084</v>
      </c>
      <c r="N528" s="0" t="n">
        <f aca="false">INDEX(Laporan!$A$1:$AZ$300,G528,H528)</f>
        <v>3133</v>
      </c>
      <c r="O528" s="0" t="n">
        <f aca="false">IF(N528="","",IFERROR(VALUE(SUBSTITUTE(SUBSTITUTE(N528," btl",""),".","")),""))</f>
        <v>3133</v>
      </c>
      <c r="P528" s="0" t="str">
        <f aca="false">IF(B528="PRODUKSI","produced","reject")</f>
        <v>produced</v>
      </c>
    </row>
    <row r="529" customFormat="false" ht="15" hidden="false" customHeight="false" outlineLevel="0" collapsed="false">
      <c r="A529" s="0" t="n">
        <v>528</v>
      </c>
      <c r="B529" s="0" t="str">
        <f aca="false">IF(A529&lt;=36*25,"PRODUKSI","REJECT")</f>
        <v>PRODUKSI</v>
      </c>
      <c r="C529" s="0" t="n">
        <f aca="false">MOD(A529-1,Pemetaan!$B$3*Pemetaan!$B$4)</f>
        <v>527</v>
      </c>
      <c r="D529" s="0" t="n">
        <f aca="false">INT(C529/Pemetaan!$B$4)</f>
        <v>21</v>
      </c>
      <c r="E529" s="0" t="n">
        <f aca="false">MOD(C529,Pemetaan!$B$4)</f>
        <v>2</v>
      </c>
      <c r="F529" s="0" t="n">
        <f aca="false">IF(B529="PRODUKSI",Pemetaan!$B$5,Pemetaan!$B$6)</f>
        <v>5</v>
      </c>
      <c r="G529" s="0" t="n">
        <f aca="false">F529+2+D529</f>
        <v>28</v>
      </c>
      <c r="H529" s="0" t="n">
        <f aca="false">Pemetaan!$B$2+E529</f>
        <v>7</v>
      </c>
      <c r="I529" s="0" t="str">
        <f aca="false">INDEX(Laporan!$A$1:$AZ$300,G529,1)</f>
        <v>Mixing</v>
      </c>
      <c r="J529" s="0" t="str">
        <f aca="false">INDEX(Laporan!$A$1:$AZ$300,G529,2)</f>
        <v>330 ml</v>
      </c>
      <c r="K529" s="0" t="str">
        <f aca="false">INDEX(Laporan!$A$1:$AZ$300,G529,3)</f>
        <v>Shift 2</v>
      </c>
      <c r="L529" s="0" t="n">
        <f aca="false">INDEX(Laporan!$A$1:$AZ$300,G529,4)</f>
        <v>1</v>
      </c>
      <c r="M529" s="1" t="n">
        <f aca="false">DATE(Pemetaan!$B$1,VALUE(RIGHT(INDEX(Laporan!$A$1:$AZ$300,F529+1,H529),2)),VALUE(LEFT(INDEX(Laporan!$A$1:$AZ$300,F529+1,H529),2)))</f>
        <v>46085</v>
      </c>
      <c r="N529" s="0" t="n">
        <f aca="false">INDEX(Laporan!$A$1:$AZ$300,G529,H529)</f>
        <v>3063</v>
      </c>
      <c r="O529" s="0" t="n">
        <f aca="false">IF(N529="","",IFERROR(VALUE(SUBSTITUTE(SUBSTITUTE(N529," btl",""),".","")),""))</f>
        <v>3063</v>
      </c>
      <c r="P529" s="0" t="str">
        <f aca="false">IF(B529="PRODUKSI","produced","reject")</f>
        <v>produced</v>
      </c>
    </row>
    <row r="530" customFormat="false" ht="15" hidden="false" customHeight="false" outlineLevel="0" collapsed="false">
      <c r="A530" s="0" t="n">
        <v>529</v>
      </c>
      <c r="B530" s="0" t="str">
        <f aca="false">IF(A530&lt;=36*25,"PRODUKSI","REJECT")</f>
        <v>PRODUKSI</v>
      </c>
      <c r="C530" s="0" t="n">
        <f aca="false">MOD(A530-1,Pemetaan!$B$3*Pemetaan!$B$4)</f>
        <v>528</v>
      </c>
      <c r="D530" s="0" t="n">
        <f aca="false">INT(C530/Pemetaan!$B$4)</f>
        <v>21</v>
      </c>
      <c r="E530" s="0" t="n">
        <f aca="false">MOD(C530,Pemetaan!$B$4)</f>
        <v>3</v>
      </c>
      <c r="F530" s="0" t="n">
        <f aca="false">IF(B530="PRODUKSI",Pemetaan!$B$5,Pemetaan!$B$6)</f>
        <v>5</v>
      </c>
      <c r="G530" s="0" t="n">
        <f aca="false">F530+2+D530</f>
        <v>28</v>
      </c>
      <c r="H530" s="0" t="n">
        <f aca="false">Pemetaan!$B$2+E530</f>
        <v>8</v>
      </c>
      <c r="I530" s="0" t="str">
        <f aca="false">INDEX(Laporan!$A$1:$AZ$300,G530,1)</f>
        <v>Mixing</v>
      </c>
      <c r="J530" s="0" t="str">
        <f aca="false">INDEX(Laporan!$A$1:$AZ$300,G530,2)</f>
        <v>330 ml</v>
      </c>
      <c r="K530" s="0" t="str">
        <f aca="false">INDEX(Laporan!$A$1:$AZ$300,G530,3)</f>
        <v>Shift 2</v>
      </c>
      <c r="L530" s="0" t="n">
        <f aca="false">INDEX(Laporan!$A$1:$AZ$300,G530,4)</f>
        <v>1</v>
      </c>
      <c r="M530" s="1" t="n">
        <f aca="false">DATE(Pemetaan!$B$1,VALUE(RIGHT(INDEX(Laporan!$A$1:$AZ$300,F530+1,H530),2)),VALUE(LEFT(INDEX(Laporan!$A$1:$AZ$300,F530+1,H530),2)))</f>
        <v>46086</v>
      </c>
      <c r="N530" s="0" t="n">
        <f aca="false">INDEX(Laporan!$A$1:$AZ$300,G530,H530)</f>
        <v>3844</v>
      </c>
      <c r="O530" s="0" t="n">
        <f aca="false">IF(N530="","",IFERROR(VALUE(SUBSTITUTE(SUBSTITUTE(N530," btl",""),".","")),""))</f>
        <v>3844</v>
      </c>
      <c r="P530" s="0" t="str">
        <f aca="false">IF(B530="PRODUKSI","produced","reject")</f>
        <v>produced</v>
      </c>
    </row>
    <row r="531" customFormat="false" ht="15" hidden="false" customHeight="false" outlineLevel="0" collapsed="false">
      <c r="A531" s="0" t="n">
        <v>530</v>
      </c>
      <c r="B531" s="0" t="str">
        <f aca="false">IF(A531&lt;=36*25,"PRODUKSI","REJECT")</f>
        <v>PRODUKSI</v>
      </c>
      <c r="C531" s="0" t="n">
        <f aca="false">MOD(A531-1,Pemetaan!$B$3*Pemetaan!$B$4)</f>
        <v>529</v>
      </c>
      <c r="D531" s="0" t="n">
        <f aca="false">INT(C531/Pemetaan!$B$4)</f>
        <v>21</v>
      </c>
      <c r="E531" s="0" t="n">
        <f aca="false">MOD(C531,Pemetaan!$B$4)</f>
        <v>4</v>
      </c>
      <c r="F531" s="0" t="n">
        <f aca="false">IF(B531="PRODUKSI",Pemetaan!$B$5,Pemetaan!$B$6)</f>
        <v>5</v>
      </c>
      <c r="G531" s="0" t="n">
        <f aca="false">F531+2+D531</f>
        <v>28</v>
      </c>
      <c r="H531" s="0" t="n">
        <f aca="false">Pemetaan!$B$2+E531</f>
        <v>9</v>
      </c>
      <c r="I531" s="0" t="str">
        <f aca="false">INDEX(Laporan!$A$1:$AZ$300,G531,1)</f>
        <v>Mixing</v>
      </c>
      <c r="J531" s="0" t="str">
        <f aca="false">INDEX(Laporan!$A$1:$AZ$300,G531,2)</f>
        <v>330 ml</v>
      </c>
      <c r="K531" s="0" t="str">
        <f aca="false">INDEX(Laporan!$A$1:$AZ$300,G531,3)</f>
        <v>Shift 2</v>
      </c>
      <c r="L531" s="0" t="n">
        <f aca="false">INDEX(Laporan!$A$1:$AZ$300,G531,4)</f>
        <v>1</v>
      </c>
      <c r="M531" s="1" t="n">
        <f aca="false">DATE(Pemetaan!$B$1,VALUE(RIGHT(INDEX(Laporan!$A$1:$AZ$300,F531+1,H531),2)),VALUE(LEFT(INDEX(Laporan!$A$1:$AZ$300,F531+1,H531),2)))</f>
        <v>46087</v>
      </c>
      <c r="N531" s="0" t="str">
        <f aca="false">INDEX(Laporan!$A$1:$AZ$300,G531,H531)</f>
        <v>3495 btl</v>
      </c>
      <c r="O531" s="0" t="n">
        <f aca="false">IF(N531="","",IFERROR(VALUE(SUBSTITUTE(SUBSTITUTE(N531," btl",""),".","")),""))</f>
        <v>3495</v>
      </c>
      <c r="P531" s="0" t="str">
        <f aca="false">IF(B531="PRODUKSI","produced","reject")</f>
        <v>produced</v>
      </c>
    </row>
    <row r="532" customFormat="false" ht="15" hidden="false" customHeight="false" outlineLevel="0" collapsed="false">
      <c r="A532" s="0" t="n">
        <v>531</v>
      </c>
      <c r="B532" s="0" t="str">
        <f aca="false">IF(A532&lt;=36*25,"PRODUKSI","REJECT")</f>
        <v>PRODUKSI</v>
      </c>
      <c r="C532" s="0" t="n">
        <f aca="false">MOD(A532-1,Pemetaan!$B$3*Pemetaan!$B$4)</f>
        <v>530</v>
      </c>
      <c r="D532" s="0" t="n">
        <f aca="false">INT(C532/Pemetaan!$B$4)</f>
        <v>21</v>
      </c>
      <c r="E532" s="0" t="n">
        <f aca="false">MOD(C532,Pemetaan!$B$4)</f>
        <v>5</v>
      </c>
      <c r="F532" s="0" t="n">
        <f aca="false">IF(B532="PRODUKSI",Pemetaan!$B$5,Pemetaan!$B$6)</f>
        <v>5</v>
      </c>
      <c r="G532" s="0" t="n">
        <f aca="false">F532+2+D532</f>
        <v>28</v>
      </c>
      <c r="H532" s="0" t="n">
        <f aca="false">Pemetaan!$B$2+E532</f>
        <v>10</v>
      </c>
      <c r="I532" s="0" t="str">
        <f aca="false">INDEX(Laporan!$A$1:$AZ$300,G532,1)</f>
        <v>Mixing</v>
      </c>
      <c r="J532" s="0" t="str">
        <f aca="false">INDEX(Laporan!$A$1:$AZ$300,G532,2)</f>
        <v>330 ml</v>
      </c>
      <c r="K532" s="0" t="str">
        <f aca="false">INDEX(Laporan!$A$1:$AZ$300,G532,3)</f>
        <v>Shift 2</v>
      </c>
      <c r="L532" s="0" t="n">
        <f aca="false">INDEX(Laporan!$A$1:$AZ$300,G532,4)</f>
        <v>1</v>
      </c>
      <c r="M532" s="1" t="n">
        <f aca="false">DATE(Pemetaan!$B$1,VALUE(RIGHT(INDEX(Laporan!$A$1:$AZ$300,F532+1,H532),2)),VALUE(LEFT(INDEX(Laporan!$A$1:$AZ$300,F532+1,H532),2)))</f>
        <v>46090</v>
      </c>
      <c r="N532" s="0" t="n">
        <f aca="false">INDEX(Laporan!$A$1:$AZ$300,G532,H532)</f>
        <v>3129</v>
      </c>
      <c r="O532" s="0" t="n">
        <f aca="false">IF(N532="","",IFERROR(VALUE(SUBSTITUTE(SUBSTITUTE(N532," btl",""),".","")),""))</f>
        <v>3129</v>
      </c>
      <c r="P532" s="0" t="str">
        <f aca="false">IF(B532="PRODUKSI","produced","reject")</f>
        <v>produced</v>
      </c>
    </row>
    <row r="533" customFormat="false" ht="15" hidden="false" customHeight="false" outlineLevel="0" collapsed="false">
      <c r="A533" s="0" t="n">
        <v>532</v>
      </c>
      <c r="B533" s="0" t="str">
        <f aca="false">IF(A533&lt;=36*25,"PRODUKSI","REJECT")</f>
        <v>PRODUKSI</v>
      </c>
      <c r="C533" s="0" t="n">
        <f aca="false">MOD(A533-1,Pemetaan!$B$3*Pemetaan!$B$4)</f>
        <v>531</v>
      </c>
      <c r="D533" s="0" t="n">
        <f aca="false">INT(C533/Pemetaan!$B$4)</f>
        <v>21</v>
      </c>
      <c r="E533" s="0" t="n">
        <f aca="false">MOD(C533,Pemetaan!$B$4)</f>
        <v>6</v>
      </c>
      <c r="F533" s="0" t="n">
        <f aca="false">IF(B533="PRODUKSI",Pemetaan!$B$5,Pemetaan!$B$6)</f>
        <v>5</v>
      </c>
      <c r="G533" s="0" t="n">
        <f aca="false">F533+2+D533</f>
        <v>28</v>
      </c>
      <c r="H533" s="0" t="n">
        <f aca="false">Pemetaan!$B$2+E533</f>
        <v>11</v>
      </c>
      <c r="I533" s="0" t="str">
        <f aca="false">INDEX(Laporan!$A$1:$AZ$300,G533,1)</f>
        <v>Mixing</v>
      </c>
      <c r="J533" s="0" t="str">
        <f aca="false">INDEX(Laporan!$A$1:$AZ$300,G533,2)</f>
        <v>330 ml</v>
      </c>
      <c r="K533" s="0" t="str">
        <f aca="false">INDEX(Laporan!$A$1:$AZ$300,G533,3)</f>
        <v>Shift 2</v>
      </c>
      <c r="L533" s="0" t="n">
        <f aca="false">INDEX(Laporan!$A$1:$AZ$300,G533,4)</f>
        <v>1</v>
      </c>
      <c r="M533" s="1" t="n">
        <f aca="false">DATE(Pemetaan!$B$1,VALUE(RIGHT(INDEX(Laporan!$A$1:$AZ$300,F533+1,H533),2)),VALUE(LEFT(INDEX(Laporan!$A$1:$AZ$300,F533+1,H533),2)))</f>
        <v>46091</v>
      </c>
      <c r="N533" s="0" t="n">
        <f aca="false">INDEX(Laporan!$A$1:$AZ$300,G533,H533)</f>
        <v>3154</v>
      </c>
      <c r="O533" s="0" t="n">
        <f aca="false">IF(N533="","",IFERROR(VALUE(SUBSTITUTE(SUBSTITUTE(N533," btl",""),".","")),""))</f>
        <v>3154</v>
      </c>
      <c r="P533" s="0" t="str">
        <f aca="false">IF(B533="PRODUKSI","produced","reject")</f>
        <v>produced</v>
      </c>
    </row>
    <row r="534" customFormat="false" ht="15" hidden="false" customHeight="false" outlineLevel="0" collapsed="false">
      <c r="A534" s="0" t="n">
        <v>533</v>
      </c>
      <c r="B534" s="0" t="str">
        <f aca="false">IF(A534&lt;=36*25,"PRODUKSI","REJECT")</f>
        <v>PRODUKSI</v>
      </c>
      <c r="C534" s="0" t="n">
        <f aca="false">MOD(A534-1,Pemetaan!$B$3*Pemetaan!$B$4)</f>
        <v>532</v>
      </c>
      <c r="D534" s="0" t="n">
        <f aca="false">INT(C534/Pemetaan!$B$4)</f>
        <v>21</v>
      </c>
      <c r="E534" s="0" t="n">
        <f aca="false">MOD(C534,Pemetaan!$B$4)</f>
        <v>7</v>
      </c>
      <c r="F534" s="0" t="n">
        <f aca="false">IF(B534="PRODUKSI",Pemetaan!$B$5,Pemetaan!$B$6)</f>
        <v>5</v>
      </c>
      <c r="G534" s="0" t="n">
        <f aca="false">F534+2+D534</f>
        <v>28</v>
      </c>
      <c r="H534" s="0" t="n">
        <f aca="false">Pemetaan!$B$2+E534</f>
        <v>12</v>
      </c>
      <c r="I534" s="0" t="str">
        <f aca="false">INDEX(Laporan!$A$1:$AZ$300,G534,1)</f>
        <v>Mixing</v>
      </c>
      <c r="J534" s="0" t="str">
        <f aca="false">INDEX(Laporan!$A$1:$AZ$300,G534,2)</f>
        <v>330 ml</v>
      </c>
      <c r="K534" s="0" t="str">
        <f aca="false">INDEX(Laporan!$A$1:$AZ$300,G534,3)</f>
        <v>Shift 2</v>
      </c>
      <c r="L534" s="0" t="n">
        <f aca="false">INDEX(Laporan!$A$1:$AZ$300,G534,4)</f>
        <v>1</v>
      </c>
      <c r="M534" s="1" t="n">
        <f aca="false">DATE(Pemetaan!$B$1,VALUE(RIGHT(INDEX(Laporan!$A$1:$AZ$300,F534+1,H534),2)),VALUE(LEFT(INDEX(Laporan!$A$1:$AZ$300,F534+1,H534),2)))</f>
        <v>46092</v>
      </c>
      <c r="N534" s="0" t="n">
        <f aca="false">INDEX(Laporan!$A$1:$AZ$300,G534,H534)</f>
        <v>3286</v>
      </c>
      <c r="O534" s="0" t="n">
        <f aca="false">IF(N534="","",IFERROR(VALUE(SUBSTITUTE(SUBSTITUTE(N534," btl",""),".","")),""))</f>
        <v>3286</v>
      </c>
      <c r="P534" s="0" t="str">
        <f aca="false">IF(B534="PRODUKSI","produced","reject")</f>
        <v>produced</v>
      </c>
    </row>
    <row r="535" customFormat="false" ht="15" hidden="false" customHeight="false" outlineLevel="0" collapsed="false">
      <c r="A535" s="0" t="n">
        <v>534</v>
      </c>
      <c r="B535" s="0" t="str">
        <f aca="false">IF(A535&lt;=36*25,"PRODUKSI","REJECT")</f>
        <v>PRODUKSI</v>
      </c>
      <c r="C535" s="0" t="n">
        <f aca="false">MOD(A535-1,Pemetaan!$B$3*Pemetaan!$B$4)</f>
        <v>533</v>
      </c>
      <c r="D535" s="0" t="n">
        <f aca="false">INT(C535/Pemetaan!$B$4)</f>
        <v>21</v>
      </c>
      <c r="E535" s="0" t="n">
        <f aca="false">MOD(C535,Pemetaan!$B$4)</f>
        <v>8</v>
      </c>
      <c r="F535" s="0" t="n">
        <f aca="false">IF(B535="PRODUKSI",Pemetaan!$B$5,Pemetaan!$B$6)</f>
        <v>5</v>
      </c>
      <c r="G535" s="0" t="n">
        <f aca="false">F535+2+D535</f>
        <v>28</v>
      </c>
      <c r="H535" s="0" t="n">
        <f aca="false">Pemetaan!$B$2+E535</f>
        <v>13</v>
      </c>
      <c r="I535" s="0" t="str">
        <f aca="false">INDEX(Laporan!$A$1:$AZ$300,G535,1)</f>
        <v>Mixing</v>
      </c>
      <c r="J535" s="0" t="str">
        <f aca="false">INDEX(Laporan!$A$1:$AZ$300,G535,2)</f>
        <v>330 ml</v>
      </c>
      <c r="K535" s="0" t="str">
        <f aca="false">INDEX(Laporan!$A$1:$AZ$300,G535,3)</f>
        <v>Shift 2</v>
      </c>
      <c r="L535" s="0" t="n">
        <f aca="false">INDEX(Laporan!$A$1:$AZ$300,G535,4)</f>
        <v>1</v>
      </c>
      <c r="M535" s="1" t="n">
        <f aca="false">DATE(Pemetaan!$B$1,VALUE(RIGHT(INDEX(Laporan!$A$1:$AZ$300,F535+1,H535),2)),VALUE(LEFT(INDEX(Laporan!$A$1:$AZ$300,F535+1,H535),2)))</f>
        <v>46093</v>
      </c>
      <c r="N535" s="0" t="n">
        <f aca="false">INDEX(Laporan!$A$1:$AZ$300,G535,H535)</f>
        <v>3013</v>
      </c>
      <c r="O535" s="0" t="n">
        <f aca="false">IF(N535="","",IFERROR(VALUE(SUBSTITUTE(SUBSTITUTE(N535," btl",""),".","")),""))</f>
        <v>3013</v>
      </c>
      <c r="P535" s="0" t="str">
        <f aca="false">IF(B535="PRODUKSI","produced","reject")</f>
        <v>produced</v>
      </c>
    </row>
    <row r="536" customFormat="false" ht="15" hidden="false" customHeight="false" outlineLevel="0" collapsed="false">
      <c r="A536" s="0" t="n">
        <v>535</v>
      </c>
      <c r="B536" s="0" t="str">
        <f aca="false">IF(A536&lt;=36*25,"PRODUKSI","REJECT")</f>
        <v>PRODUKSI</v>
      </c>
      <c r="C536" s="0" t="n">
        <f aca="false">MOD(A536-1,Pemetaan!$B$3*Pemetaan!$B$4)</f>
        <v>534</v>
      </c>
      <c r="D536" s="0" t="n">
        <f aca="false">INT(C536/Pemetaan!$B$4)</f>
        <v>21</v>
      </c>
      <c r="E536" s="0" t="n">
        <f aca="false">MOD(C536,Pemetaan!$B$4)</f>
        <v>9</v>
      </c>
      <c r="F536" s="0" t="n">
        <f aca="false">IF(B536="PRODUKSI",Pemetaan!$B$5,Pemetaan!$B$6)</f>
        <v>5</v>
      </c>
      <c r="G536" s="0" t="n">
        <f aca="false">F536+2+D536</f>
        <v>28</v>
      </c>
      <c r="H536" s="0" t="n">
        <f aca="false">Pemetaan!$B$2+E536</f>
        <v>14</v>
      </c>
      <c r="I536" s="0" t="str">
        <f aca="false">INDEX(Laporan!$A$1:$AZ$300,G536,1)</f>
        <v>Mixing</v>
      </c>
      <c r="J536" s="0" t="str">
        <f aca="false">INDEX(Laporan!$A$1:$AZ$300,G536,2)</f>
        <v>330 ml</v>
      </c>
      <c r="K536" s="0" t="str">
        <f aca="false">INDEX(Laporan!$A$1:$AZ$300,G536,3)</f>
        <v>Shift 2</v>
      </c>
      <c r="L536" s="0" t="n">
        <f aca="false">INDEX(Laporan!$A$1:$AZ$300,G536,4)</f>
        <v>1</v>
      </c>
      <c r="M536" s="1" t="n">
        <f aca="false">DATE(Pemetaan!$B$1,VALUE(RIGHT(INDEX(Laporan!$A$1:$AZ$300,F536+1,H536),2)),VALUE(LEFT(INDEX(Laporan!$A$1:$AZ$300,F536+1,H536),2)))</f>
        <v>46094</v>
      </c>
      <c r="N536" s="0" t="n">
        <f aca="false">INDEX(Laporan!$A$1:$AZ$300,G536,H536)</f>
        <v>3359</v>
      </c>
      <c r="O536" s="0" t="n">
        <f aca="false">IF(N536="","",IFERROR(VALUE(SUBSTITUTE(SUBSTITUTE(N536," btl",""),".","")),""))</f>
        <v>3359</v>
      </c>
      <c r="P536" s="0" t="str">
        <f aca="false">IF(B536="PRODUKSI","produced","reject")</f>
        <v>produced</v>
      </c>
    </row>
    <row r="537" customFormat="false" ht="15" hidden="false" customHeight="false" outlineLevel="0" collapsed="false">
      <c r="A537" s="0" t="n">
        <v>536</v>
      </c>
      <c r="B537" s="0" t="str">
        <f aca="false">IF(A537&lt;=36*25,"PRODUKSI","REJECT")</f>
        <v>PRODUKSI</v>
      </c>
      <c r="C537" s="0" t="n">
        <f aca="false">MOD(A537-1,Pemetaan!$B$3*Pemetaan!$B$4)</f>
        <v>535</v>
      </c>
      <c r="D537" s="0" t="n">
        <f aca="false">INT(C537/Pemetaan!$B$4)</f>
        <v>21</v>
      </c>
      <c r="E537" s="0" t="n">
        <f aca="false">MOD(C537,Pemetaan!$B$4)</f>
        <v>10</v>
      </c>
      <c r="F537" s="0" t="n">
        <f aca="false">IF(B537="PRODUKSI",Pemetaan!$B$5,Pemetaan!$B$6)</f>
        <v>5</v>
      </c>
      <c r="G537" s="0" t="n">
        <f aca="false">F537+2+D537</f>
        <v>28</v>
      </c>
      <c r="H537" s="0" t="n">
        <f aca="false">Pemetaan!$B$2+E537</f>
        <v>15</v>
      </c>
      <c r="I537" s="0" t="str">
        <f aca="false">INDEX(Laporan!$A$1:$AZ$300,G537,1)</f>
        <v>Mixing</v>
      </c>
      <c r="J537" s="0" t="str">
        <f aca="false">INDEX(Laporan!$A$1:$AZ$300,G537,2)</f>
        <v>330 ml</v>
      </c>
      <c r="K537" s="0" t="str">
        <f aca="false">INDEX(Laporan!$A$1:$AZ$300,G537,3)</f>
        <v>Shift 2</v>
      </c>
      <c r="L537" s="0" t="n">
        <f aca="false">INDEX(Laporan!$A$1:$AZ$300,G537,4)</f>
        <v>1</v>
      </c>
      <c r="M537" s="1" t="n">
        <f aca="false">DATE(Pemetaan!$B$1,VALUE(RIGHT(INDEX(Laporan!$A$1:$AZ$300,F537+1,H537),2)),VALUE(LEFT(INDEX(Laporan!$A$1:$AZ$300,F537+1,H537),2)))</f>
        <v>46097</v>
      </c>
      <c r="N537" s="0" t="n">
        <f aca="false">INDEX(Laporan!$A$1:$AZ$300,G537,H537)</f>
        <v>3448</v>
      </c>
      <c r="O537" s="0" t="n">
        <f aca="false">IF(N537="","",IFERROR(VALUE(SUBSTITUTE(SUBSTITUTE(N537," btl",""),".","")),""))</f>
        <v>3448</v>
      </c>
      <c r="P537" s="0" t="str">
        <f aca="false">IF(B537="PRODUKSI","produced","reject")</f>
        <v>produced</v>
      </c>
    </row>
    <row r="538" customFormat="false" ht="15" hidden="false" customHeight="false" outlineLevel="0" collapsed="false">
      <c r="A538" s="0" t="n">
        <v>537</v>
      </c>
      <c r="B538" s="0" t="str">
        <f aca="false">IF(A538&lt;=36*25,"PRODUKSI","REJECT")</f>
        <v>PRODUKSI</v>
      </c>
      <c r="C538" s="0" t="n">
        <f aca="false">MOD(A538-1,Pemetaan!$B$3*Pemetaan!$B$4)</f>
        <v>536</v>
      </c>
      <c r="D538" s="0" t="n">
        <f aca="false">INT(C538/Pemetaan!$B$4)</f>
        <v>21</v>
      </c>
      <c r="E538" s="0" t="n">
        <f aca="false">MOD(C538,Pemetaan!$B$4)</f>
        <v>11</v>
      </c>
      <c r="F538" s="0" t="n">
        <f aca="false">IF(B538="PRODUKSI",Pemetaan!$B$5,Pemetaan!$B$6)</f>
        <v>5</v>
      </c>
      <c r="G538" s="0" t="n">
        <f aca="false">F538+2+D538</f>
        <v>28</v>
      </c>
      <c r="H538" s="0" t="n">
        <f aca="false">Pemetaan!$B$2+E538</f>
        <v>16</v>
      </c>
      <c r="I538" s="0" t="str">
        <f aca="false">INDEX(Laporan!$A$1:$AZ$300,G538,1)</f>
        <v>Mixing</v>
      </c>
      <c r="J538" s="0" t="str">
        <f aca="false">INDEX(Laporan!$A$1:$AZ$300,G538,2)</f>
        <v>330 ml</v>
      </c>
      <c r="K538" s="0" t="str">
        <f aca="false">INDEX(Laporan!$A$1:$AZ$300,G538,3)</f>
        <v>Shift 2</v>
      </c>
      <c r="L538" s="0" t="n">
        <f aca="false">INDEX(Laporan!$A$1:$AZ$300,G538,4)</f>
        <v>1</v>
      </c>
      <c r="M538" s="1" t="n">
        <f aca="false">DATE(Pemetaan!$B$1,VALUE(RIGHT(INDEX(Laporan!$A$1:$AZ$300,F538+1,H538),2)),VALUE(LEFT(INDEX(Laporan!$A$1:$AZ$300,F538+1,H538),2)))</f>
        <v>46098</v>
      </c>
      <c r="N538" s="0" t="n">
        <f aca="false">INDEX(Laporan!$A$1:$AZ$300,G538,H538)</f>
        <v>2664</v>
      </c>
      <c r="O538" s="0" t="n">
        <f aca="false">IF(N538="","",IFERROR(VALUE(SUBSTITUTE(SUBSTITUTE(N538," btl",""),".","")),""))</f>
        <v>2664</v>
      </c>
      <c r="P538" s="0" t="str">
        <f aca="false">IF(B538="PRODUKSI","produced","reject")</f>
        <v>produced</v>
      </c>
    </row>
    <row r="539" customFormat="false" ht="15" hidden="false" customHeight="false" outlineLevel="0" collapsed="false">
      <c r="A539" s="0" t="n">
        <v>538</v>
      </c>
      <c r="B539" s="0" t="str">
        <f aca="false">IF(A539&lt;=36*25,"PRODUKSI","REJECT")</f>
        <v>PRODUKSI</v>
      </c>
      <c r="C539" s="0" t="n">
        <f aca="false">MOD(A539-1,Pemetaan!$B$3*Pemetaan!$B$4)</f>
        <v>537</v>
      </c>
      <c r="D539" s="0" t="n">
        <f aca="false">INT(C539/Pemetaan!$B$4)</f>
        <v>21</v>
      </c>
      <c r="E539" s="0" t="n">
        <f aca="false">MOD(C539,Pemetaan!$B$4)</f>
        <v>12</v>
      </c>
      <c r="F539" s="0" t="n">
        <f aca="false">IF(B539="PRODUKSI",Pemetaan!$B$5,Pemetaan!$B$6)</f>
        <v>5</v>
      </c>
      <c r="G539" s="0" t="n">
        <f aca="false">F539+2+D539</f>
        <v>28</v>
      </c>
      <c r="H539" s="0" t="n">
        <f aca="false">Pemetaan!$B$2+E539</f>
        <v>17</v>
      </c>
      <c r="I539" s="0" t="str">
        <f aca="false">INDEX(Laporan!$A$1:$AZ$300,G539,1)</f>
        <v>Mixing</v>
      </c>
      <c r="J539" s="0" t="str">
        <f aca="false">INDEX(Laporan!$A$1:$AZ$300,G539,2)</f>
        <v>330 ml</v>
      </c>
      <c r="K539" s="0" t="str">
        <f aca="false">INDEX(Laporan!$A$1:$AZ$300,G539,3)</f>
        <v>Shift 2</v>
      </c>
      <c r="L539" s="0" t="n">
        <f aca="false">INDEX(Laporan!$A$1:$AZ$300,G539,4)</f>
        <v>1</v>
      </c>
      <c r="M539" s="1" t="n">
        <f aca="false">DATE(Pemetaan!$B$1,VALUE(RIGHT(INDEX(Laporan!$A$1:$AZ$300,F539+1,H539),2)),VALUE(LEFT(INDEX(Laporan!$A$1:$AZ$300,F539+1,H539),2)))</f>
        <v>46099</v>
      </c>
      <c r="N539" s="0" t="n">
        <f aca="false">INDEX(Laporan!$A$1:$AZ$300,G539,H539)</f>
        <v>3074</v>
      </c>
      <c r="O539" s="0" t="n">
        <f aca="false">IF(N539="","",IFERROR(VALUE(SUBSTITUTE(SUBSTITUTE(N539," btl",""),".","")),""))</f>
        <v>3074</v>
      </c>
      <c r="P539" s="0" t="str">
        <f aca="false">IF(B539="PRODUKSI","produced","reject")</f>
        <v>produced</v>
      </c>
    </row>
    <row r="540" customFormat="false" ht="15" hidden="false" customHeight="false" outlineLevel="0" collapsed="false">
      <c r="A540" s="0" t="n">
        <v>539</v>
      </c>
      <c r="B540" s="0" t="str">
        <f aca="false">IF(A540&lt;=36*25,"PRODUKSI","REJECT")</f>
        <v>PRODUKSI</v>
      </c>
      <c r="C540" s="0" t="n">
        <f aca="false">MOD(A540-1,Pemetaan!$B$3*Pemetaan!$B$4)</f>
        <v>538</v>
      </c>
      <c r="D540" s="0" t="n">
        <f aca="false">INT(C540/Pemetaan!$B$4)</f>
        <v>21</v>
      </c>
      <c r="E540" s="0" t="n">
        <f aca="false">MOD(C540,Pemetaan!$B$4)</f>
        <v>13</v>
      </c>
      <c r="F540" s="0" t="n">
        <f aca="false">IF(B540="PRODUKSI",Pemetaan!$B$5,Pemetaan!$B$6)</f>
        <v>5</v>
      </c>
      <c r="G540" s="0" t="n">
        <f aca="false">F540+2+D540</f>
        <v>28</v>
      </c>
      <c r="H540" s="0" t="n">
        <f aca="false">Pemetaan!$B$2+E540</f>
        <v>18</v>
      </c>
      <c r="I540" s="0" t="str">
        <f aca="false">INDEX(Laporan!$A$1:$AZ$300,G540,1)</f>
        <v>Mixing</v>
      </c>
      <c r="J540" s="0" t="str">
        <f aca="false">INDEX(Laporan!$A$1:$AZ$300,G540,2)</f>
        <v>330 ml</v>
      </c>
      <c r="K540" s="0" t="str">
        <f aca="false">INDEX(Laporan!$A$1:$AZ$300,G540,3)</f>
        <v>Shift 2</v>
      </c>
      <c r="L540" s="0" t="n">
        <f aca="false">INDEX(Laporan!$A$1:$AZ$300,G540,4)</f>
        <v>1</v>
      </c>
      <c r="M540" s="1" t="n">
        <f aca="false">DATE(Pemetaan!$B$1,VALUE(RIGHT(INDEX(Laporan!$A$1:$AZ$300,F540+1,H540),2)),VALUE(LEFT(INDEX(Laporan!$A$1:$AZ$300,F540+1,H540),2)))</f>
        <v>46100</v>
      </c>
      <c r="N540" s="0" t="n">
        <f aca="false">INDEX(Laporan!$A$1:$AZ$300,G540,H540)</f>
        <v>3661</v>
      </c>
      <c r="O540" s="0" t="n">
        <f aca="false">IF(N540="","",IFERROR(VALUE(SUBSTITUTE(SUBSTITUTE(N540," btl",""),".","")),""))</f>
        <v>3661</v>
      </c>
      <c r="P540" s="0" t="str">
        <f aca="false">IF(B540="PRODUKSI","produced","reject")</f>
        <v>produced</v>
      </c>
    </row>
    <row r="541" customFormat="false" ht="15" hidden="false" customHeight="false" outlineLevel="0" collapsed="false">
      <c r="A541" s="0" t="n">
        <v>540</v>
      </c>
      <c r="B541" s="0" t="str">
        <f aca="false">IF(A541&lt;=36*25,"PRODUKSI","REJECT")</f>
        <v>PRODUKSI</v>
      </c>
      <c r="C541" s="0" t="n">
        <f aca="false">MOD(A541-1,Pemetaan!$B$3*Pemetaan!$B$4)</f>
        <v>539</v>
      </c>
      <c r="D541" s="0" t="n">
        <f aca="false">INT(C541/Pemetaan!$B$4)</f>
        <v>21</v>
      </c>
      <c r="E541" s="0" t="n">
        <f aca="false">MOD(C541,Pemetaan!$B$4)</f>
        <v>14</v>
      </c>
      <c r="F541" s="0" t="n">
        <f aca="false">IF(B541="PRODUKSI",Pemetaan!$B$5,Pemetaan!$B$6)</f>
        <v>5</v>
      </c>
      <c r="G541" s="0" t="n">
        <f aca="false">F541+2+D541</f>
        <v>28</v>
      </c>
      <c r="H541" s="0" t="n">
        <f aca="false">Pemetaan!$B$2+E541</f>
        <v>19</v>
      </c>
      <c r="I541" s="0" t="str">
        <f aca="false">INDEX(Laporan!$A$1:$AZ$300,G541,1)</f>
        <v>Mixing</v>
      </c>
      <c r="J541" s="0" t="str">
        <f aca="false">INDEX(Laporan!$A$1:$AZ$300,G541,2)</f>
        <v>330 ml</v>
      </c>
      <c r="K541" s="0" t="str">
        <f aca="false">INDEX(Laporan!$A$1:$AZ$300,G541,3)</f>
        <v>Shift 2</v>
      </c>
      <c r="L541" s="0" t="n">
        <f aca="false">INDEX(Laporan!$A$1:$AZ$300,G541,4)</f>
        <v>1</v>
      </c>
      <c r="M541" s="1" t="n">
        <f aca="false">DATE(Pemetaan!$B$1,VALUE(RIGHT(INDEX(Laporan!$A$1:$AZ$300,F541+1,H541),2)),VALUE(LEFT(INDEX(Laporan!$A$1:$AZ$300,F541+1,H541),2)))</f>
        <v>46101</v>
      </c>
      <c r="N541" s="0" t="n">
        <f aca="false">INDEX(Laporan!$A$1:$AZ$300,G541,H541)</f>
        <v>3197</v>
      </c>
      <c r="O541" s="0" t="n">
        <f aca="false">IF(N541="","",IFERROR(VALUE(SUBSTITUTE(SUBSTITUTE(N541," btl",""),".","")),""))</f>
        <v>3197</v>
      </c>
      <c r="P541" s="0" t="str">
        <f aca="false">IF(B541="PRODUKSI","produced","reject")</f>
        <v>produced</v>
      </c>
    </row>
    <row r="542" customFormat="false" ht="15" hidden="false" customHeight="false" outlineLevel="0" collapsed="false">
      <c r="A542" s="0" t="n">
        <v>541</v>
      </c>
      <c r="B542" s="0" t="str">
        <f aca="false">IF(A542&lt;=36*25,"PRODUKSI","REJECT")</f>
        <v>PRODUKSI</v>
      </c>
      <c r="C542" s="0" t="n">
        <f aca="false">MOD(A542-1,Pemetaan!$B$3*Pemetaan!$B$4)</f>
        <v>540</v>
      </c>
      <c r="D542" s="0" t="n">
        <f aca="false">INT(C542/Pemetaan!$B$4)</f>
        <v>21</v>
      </c>
      <c r="E542" s="0" t="n">
        <f aca="false">MOD(C542,Pemetaan!$B$4)</f>
        <v>15</v>
      </c>
      <c r="F542" s="0" t="n">
        <f aca="false">IF(B542="PRODUKSI",Pemetaan!$B$5,Pemetaan!$B$6)</f>
        <v>5</v>
      </c>
      <c r="G542" s="0" t="n">
        <f aca="false">F542+2+D542</f>
        <v>28</v>
      </c>
      <c r="H542" s="0" t="n">
        <f aca="false">Pemetaan!$B$2+E542</f>
        <v>20</v>
      </c>
      <c r="I542" s="0" t="str">
        <f aca="false">INDEX(Laporan!$A$1:$AZ$300,G542,1)</f>
        <v>Mixing</v>
      </c>
      <c r="J542" s="0" t="str">
        <f aca="false">INDEX(Laporan!$A$1:$AZ$300,G542,2)</f>
        <v>330 ml</v>
      </c>
      <c r="K542" s="0" t="str">
        <f aca="false">INDEX(Laporan!$A$1:$AZ$300,G542,3)</f>
        <v>Shift 2</v>
      </c>
      <c r="L542" s="0" t="n">
        <f aca="false">INDEX(Laporan!$A$1:$AZ$300,G542,4)</f>
        <v>1</v>
      </c>
      <c r="M542" s="1" t="n">
        <f aca="false">DATE(Pemetaan!$B$1,VALUE(RIGHT(INDEX(Laporan!$A$1:$AZ$300,F542+1,H542),2)),VALUE(LEFT(INDEX(Laporan!$A$1:$AZ$300,F542+1,H542),2)))</f>
        <v>46104</v>
      </c>
      <c r="N542" s="0" t="n">
        <f aca="false">INDEX(Laporan!$A$1:$AZ$300,G542,H542)</f>
        <v>3237</v>
      </c>
      <c r="O542" s="0" t="n">
        <f aca="false">IF(N542="","",IFERROR(VALUE(SUBSTITUTE(SUBSTITUTE(N542," btl",""),".","")),""))</f>
        <v>3237</v>
      </c>
      <c r="P542" s="0" t="str">
        <f aca="false">IF(B542="PRODUKSI","produced","reject")</f>
        <v>produced</v>
      </c>
    </row>
    <row r="543" customFormat="false" ht="15" hidden="false" customHeight="false" outlineLevel="0" collapsed="false">
      <c r="A543" s="0" t="n">
        <v>542</v>
      </c>
      <c r="B543" s="0" t="str">
        <f aca="false">IF(A543&lt;=36*25,"PRODUKSI","REJECT")</f>
        <v>PRODUKSI</v>
      </c>
      <c r="C543" s="0" t="n">
        <f aca="false">MOD(A543-1,Pemetaan!$B$3*Pemetaan!$B$4)</f>
        <v>541</v>
      </c>
      <c r="D543" s="0" t="n">
        <f aca="false">INT(C543/Pemetaan!$B$4)</f>
        <v>21</v>
      </c>
      <c r="E543" s="0" t="n">
        <f aca="false">MOD(C543,Pemetaan!$B$4)</f>
        <v>16</v>
      </c>
      <c r="F543" s="0" t="n">
        <f aca="false">IF(B543="PRODUKSI",Pemetaan!$B$5,Pemetaan!$B$6)</f>
        <v>5</v>
      </c>
      <c r="G543" s="0" t="n">
        <f aca="false">F543+2+D543</f>
        <v>28</v>
      </c>
      <c r="H543" s="0" t="n">
        <f aca="false">Pemetaan!$B$2+E543</f>
        <v>21</v>
      </c>
      <c r="I543" s="0" t="str">
        <f aca="false">INDEX(Laporan!$A$1:$AZ$300,G543,1)</f>
        <v>Mixing</v>
      </c>
      <c r="J543" s="0" t="str">
        <f aca="false">INDEX(Laporan!$A$1:$AZ$300,G543,2)</f>
        <v>330 ml</v>
      </c>
      <c r="K543" s="0" t="str">
        <f aca="false">INDEX(Laporan!$A$1:$AZ$300,G543,3)</f>
        <v>Shift 2</v>
      </c>
      <c r="L543" s="0" t="n">
        <f aca="false">INDEX(Laporan!$A$1:$AZ$300,G543,4)</f>
        <v>1</v>
      </c>
      <c r="M543" s="1" t="n">
        <f aca="false">DATE(Pemetaan!$B$1,VALUE(RIGHT(INDEX(Laporan!$A$1:$AZ$300,F543+1,H543),2)),VALUE(LEFT(INDEX(Laporan!$A$1:$AZ$300,F543+1,H543),2)))</f>
        <v>46105</v>
      </c>
      <c r="N543" s="0" t="n">
        <f aca="false">INDEX(Laporan!$A$1:$AZ$300,G543,H543)</f>
        <v>3167</v>
      </c>
      <c r="O543" s="0" t="n">
        <f aca="false">IF(N543="","",IFERROR(VALUE(SUBSTITUTE(SUBSTITUTE(N543," btl",""),".","")),""))</f>
        <v>3167</v>
      </c>
      <c r="P543" s="0" t="str">
        <f aca="false">IF(B543="PRODUKSI","produced","reject")</f>
        <v>produced</v>
      </c>
    </row>
    <row r="544" customFormat="false" ht="15" hidden="false" customHeight="false" outlineLevel="0" collapsed="false">
      <c r="A544" s="0" t="n">
        <v>543</v>
      </c>
      <c r="B544" s="0" t="str">
        <f aca="false">IF(A544&lt;=36*25,"PRODUKSI","REJECT")</f>
        <v>PRODUKSI</v>
      </c>
      <c r="C544" s="0" t="n">
        <f aca="false">MOD(A544-1,Pemetaan!$B$3*Pemetaan!$B$4)</f>
        <v>542</v>
      </c>
      <c r="D544" s="0" t="n">
        <f aca="false">INT(C544/Pemetaan!$B$4)</f>
        <v>21</v>
      </c>
      <c r="E544" s="0" t="n">
        <f aca="false">MOD(C544,Pemetaan!$B$4)</f>
        <v>17</v>
      </c>
      <c r="F544" s="0" t="n">
        <f aca="false">IF(B544="PRODUKSI",Pemetaan!$B$5,Pemetaan!$B$6)</f>
        <v>5</v>
      </c>
      <c r="G544" s="0" t="n">
        <f aca="false">F544+2+D544</f>
        <v>28</v>
      </c>
      <c r="H544" s="0" t="n">
        <f aca="false">Pemetaan!$B$2+E544</f>
        <v>22</v>
      </c>
      <c r="I544" s="0" t="str">
        <f aca="false">INDEX(Laporan!$A$1:$AZ$300,G544,1)</f>
        <v>Mixing</v>
      </c>
      <c r="J544" s="0" t="str">
        <f aca="false">INDEX(Laporan!$A$1:$AZ$300,G544,2)</f>
        <v>330 ml</v>
      </c>
      <c r="K544" s="0" t="str">
        <f aca="false">INDEX(Laporan!$A$1:$AZ$300,G544,3)</f>
        <v>Shift 2</v>
      </c>
      <c r="L544" s="0" t="n">
        <f aca="false">INDEX(Laporan!$A$1:$AZ$300,G544,4)</f>
        <v>1</v>
      </c>
      <c r="M544" s="1" t="n">
        <f aca="false">DATE(Pemetaan!$B$1,VALUE(RIGHT(INDEX(Laporan!$A$1:$AZ$300,F544+1,H544),2)),VALUE(LEFT(INDEX(Laporan!$A$1:$AZ$300,F544+1,H544),2)))</f>
        <v>46106</v>
      </c>
      <c r="N544" s="0" t="n">
        <f aca="false">INDEX(Laporan!$A$1:$AZ$300,G544,H544)</f>
        <v>2946</v>
      </c>
      <c r="O544" s="0" t="n">
        <f aca="false">IF(N544="","",IFERROR(VALUE(SUBSTITUTE(SUBSTITUTE(N544," btl",""),".","")),""))</f>
        <v>2946</v>
      </c>
      <c r="P544" s="0" t="str">
        <f aca="false">IF(B544="PRODUKSI","produced","reject")</f>
        <v>produced</v>
      </c>
    </row>
    <row r="545" customFormat="false" ht="15" hidden="false" customHeight="false" outlineLevel="0" collapsed="false">
      <c r="A545" s="0" t="n">
        <v>544</v>
      </c>
      <c r="B545" s="0" t="str">
        <f aca="false">IF(A545&lt;=36*25,"PRODUKSI","REJECT")</f>
        <v>PRODUKSI</v>
      </c>
      <c r="C545" s="0" t="n">
        <f aca="false">MOD(A545-1,Pemetaan!$B$3*Pemetaan!$B$4)</f>
        <v>543</v>
      </c>
      <c r="D545" s="0" t="n">
        <f aca="false">INT(C545/Pemetaan!$B$4)</f>
        <v>21</v>
      </c>
      <c r="E545" s="0" t="n">
        <f aca="false">MOD(C545,Pemetaan!$B$4)</f>
        <v>18</v>
      </c>
      <c r="F545" s="0" t="n">
        <f aca="false">IF(B545="PRODUKSI",Pemetaan!$B$5,Pemetaan!$B$6)</f>
        <v>5</v>
      </c>
      <c r="G545" s="0" t="n">
        <f aca="false">F545+2+D545</f>
        <v>28</v>
      </c>
      <c r="H545" s="0" t="n">
        <f aca="false">Pemetaan!$B$2+E545</f>
        <v>23</v>
      </c>
      <c r="I545" s="0" t="str">
        <f aca="false">INDEX(Laporan!$A$1:$AZ$300,G545,1)</f>
        <v>Mixing</v>
      </c>
      <c r="J545" s="0" t="str">
        <f aca="false">INDEX(Laporan!$A$1:$AZ$300,G545,2)</f>
        <v>330 ml</v>
      </c>
      <c r="K545" s="0" t="str">
        <f aca="false">INDEX(Laporan!$A$1:$AZ$300,G545,3)</f>
        <v>Shift 2</v>
      </c>
      <c r="L545" s="0" t="n">
        <f aca="false">INDEX(Laporan!$A$1:$AZ$300,G545,4)</f>
        <v>1</v>
      </c>
      <c r="M545" s="1" t="n">
        <f aca="false">DATE(Pemetaan!$B$1,VALUE(RIGHT(INDEX(Laporan!$A$1:$AZ$300,F545+1,H545),2)),VALUE(LEFT(INDEX(Laporan!$A$1:$AZ$300,F545+1,H545),2)))</f>
        <v>46107</v>
      </c>
      <c r="N545" s="0" t="n">
        <f aca="false">INDEX(Laporan!$A$1:$AZ$300,G545,H545)</f>
        <v>3126</v>
      </c>
      <c r="O545" s="0" t="n">
        <f aca="false">IF(N545="","",IFERROR(VALUE(SUBSTITUTE(SUBSTITUTE(N545," btl",""),".","")),""))</f>
        <v>3126</v>
      </c>
      <c r="P545" s="0" t="str">
        <f aca="false">IF(B545="PRODUKSI","produced","reject")</f>
        <v>produced</v>
      </c>
    </row>
    <row r="546" customFormat="false" ht="15" hidden="false" customHeight="false" outlineLevel="0" collapsed="false">
      <c r="A546" s="0" t="n">
        <v>545</v>
      </c>
      <c r="B546" s="0" t="str">
        <f aca="false">IF(A546&lt;=36*25,"PRODUKSI","REJECT")</f>
        <v>PRODUKSI</v>
      </c>
      <c r="C546" s="0" t="n">
        <f aca="false">MOD(A546-1,Pemetaan!$B$3*Pemetaan!$B$4)</f>
        <v>544</v>
      </c>
      <c r="D546" s="0" t="n">
        <f aca="false">INT(C546/Pemetaan!$B$4)</f>
        <v>21</v>
      </c>
      <c r="E546" s="0" t="n">
        <f aca="false">MOD(C546,Pemetaan!$B$4)</f>
        <v>19</v>
      </c>
      <c r="F546" s="0" t="n">
        <f aca="false">IF(B546="PRODUKSI",Pemetaan!$B$5,Pemetaan!$B$6)</f>
        <v>5</v>
      </c>
      <c r="G546" s="0" t="n">
        <f aca="false">F546+2+D546</f>
        <v>28</v>
      </c>
      <c r="H546" s="0" t="n">
        <f aca="false">Pemetaan!$B$2+E546</f>
        <v>24</v>
      </c>
      <c r="I546" s="0" t="str">
        <f aca="false">INDEX(Laporan!$A$1:$AZ$300,G546,1)</f>
        <v>Mixing</v>
      </c>
      <c r="J546" s="0" t="str">
        <f aca="false">INDEX(Laporan!$A$1:$AZ$300,G546,2)</f>
        <v>330 ml</v>
      </c>
      <c r="K546" s="0" t="str">
        <f aca="false">INDEX(Laporan!$A$1:$AZ$300,G546,3)</f>
        <v>Shift 2</v>
      </c>
      <c r="L546" s="0" t="n">
        <f aca="false">INDEX(Laporan!$A$1:$AZ$300,G546,4)</f>
        <v>1</v>
      </c>
      <c r="M546" s="1" t="n">
        <f aca="false">DATE(Pemetaan!$B$1,VALUE(RIGHT(INDEX(Laporan!$A$1:$AZ$300,F546+1,H546),2)),VALUE(LEFT(INDEX(Laporan!$A$1:$AZ$300,F546+1,H546),2)))</f>
        <v>46108</v>
      </c>
      <c r="N546" s="0" t="n">
        <f aca="false">INDEX(Laporan!$A$1:$AZ$300,G546,H546)</f>
        <v>28150</v>
      </c>
      <c r="O546" s="0" t="n">
        <f aca="false">IF(N546="","",IFERROR(VALUE(SUBSTITUTE(SUBSTITUTE(N546," btl",""),".","")),""))</f>
        <v>28150</v>
      </c>
      <c r="P546" s="0" t="str">
        <f aca="false">IF(B546="PRODUKSI","produced","reject")</f>
        <v>produced</v>
      </c>
    </row>
    <row r="547" customFormat="false" ht="15" hidden="false" customHeight="false" outlineLevel="0" collapsed="false">
      <c r="A547" s="0" t="n">
        <v>546</v>
      </c>
      <c r="B547" s="0" t="str">
        <f aca="false">IF(A547&lt;=36*25,"PRODUKSI","REJECT")</f>
        <v>PRODUKSI</v>
      </c>
      <c r="C547" s="0" t="n">
        <f aca="false">MOD(A547-1,Pemetaan!$B$3*Pemetaan!$B$4)</f>
        <v>545</v>
      </c>
      <c r="D547" s="0" t="n">
        <f aca="false">INT(C547/Pemetaan!$B$4)</f>
        <v>21</v>
      </c>
      <c r="E547" s="0" t="n">
        <f aca="false">MOD(C547,Pemetaan!$B$4)</f>
        <v>20</v>
      </c>
      <c r="F547" s="0" t="n">
        <f aca="false">IF(B547="PRODUKSI",Pemetaan!$B$5,Pemetaan!$B$6)</f>
        <v>5</v>
      </c>
      <c r="G547" s="0" t="n">
        <f aca="false">F547+2+D547</f>
        <v>28</v>
      </c>
      <c r="H547" s="0" t="n">
        <f aca="false">Pemetaan!$B$2+E547</f>
        <v>25</v>
      </c>
      <c r="I547" s="0" t="str">
        <f aca="false">INDEX(Laporan!$A$1:$AZ$300,G547,1)</f>
        <v>Mixing</v>
      </c>
      <c r="J547" s="0" t="str">
        <f aca="false">INDEX(Laporan!$A$1:$AZ$300,G547,2)</f>
        <v>330 ml</v>
      </c>
      <c r="K547" s="0" t="str">
        <f aca="false">INDEX(Laporan!$A$1:$AZ$300,G547,3)</f>
        <v>Shift 2</v>
      </c>
      <c r="L547" s="0" t="n">
        <f aca="false">INDEX(Laporan!$A$1:$AZ$300,G547,4)</f>
        <v>1</v>
      </c>
      <c r="M547" s="1" t="n">
        <f aca="false">DATE(Pemetaan!$B$1,VALUE(RIGHT(INDEX(Laporan!$A$1:$AZ$300,F547+1,H547),2)),VALUE(LEFT(INDEX(Laporan!$A$1:$AZ$300,F547+1,H547),2)))</f>
        <v>46111</v>
      </c>
      <c r="N547" s="0" t="n">
        <f aca="false">INDEX(Laporan!$A$1:$AZ$300,G547,H547)</f>
        <v>3299</v>
      </c>
      <c r="O547" s="0" t="n">
        <f aca="false">IF(N547="","",IFERROR(VALUE(SUBSTITUTE(SUBSTITUTE(N547," btl",""),".","")),""))</f>
        <v>3299</v>
      </c>
      <c r="P547" s="0" t="str">
        <f aca="false">IF(B547="PRODUKSI","produced","reject")</f>
        <v>produced</v>
      </c>
    </row>
    <row r="548" customFormat="false" ht="15" hidden="false" customHeight="false" outlineLevel="0" collapsed="false">
      <c r="A548" s="0" t="n">
        <v>547</v>
      </c>
      <c r="B548" s="0" t="str">
        <f aca="false">IF(A548&lt;=36*25,"PRODUKSI","REJECT")</f>
        <v>PRODUKSI</v>
      </c>
      <c r="C548" s="0" t="n">
        <f aca="false">MOD(A548-1,Pemetaan!$B$3*Pemetaan!$B$4)</f>
        <v>546</v>
      </c>
      <c r="D548" s="0" t="n">
        <f aca="false">INT(C548/Pemetaan!$B$4)</f>
        <v>21</v>
      </c>
      <c r="E548" s="0" t="n">
        <f aca="false">MOD(C548,Pemetaan!$B$4)</f>
        <v>21</v>
      </c>
      <c r="F548" s="0" t="n">
        <f aca="false">IF(B548="PRODUKSI",Pemetaan!$B$5,Pemetaan!$B$6)</f>
        <v>5</v>
      </c>
      <c r="G548" s="0" t="n">
        <f aca="false">F548+2+D548</f>
        <v>28</v>
      </c>
      <c r="H548" s="0" t="n">
        <f aca="false">Pemetaan!$B$2+E548</f>
        <v>26</v>
      </c>
      <c r="I548" s="0" t="str">
        <f aca="false">INDEX(Laporan!$A$1:$AZ$300,G548,1)</f>
        <v>Mixing</v>
      </c>
      <c r="J548" s="0" t="str">
        <f aca="false">INDEX(Laporan!$A$1:$AZ$300,G548,2)</f>
        <v>330 ml</v>
      </c>
      <c r="K548" s="0" t="str">
        <f aca="false">INDEX(Laporan!$A$1:$AZ$300,G548,3)</f>
        <v>Shift 2</v>
      </c>
      <c r="L548" s="0" t="n">
        <f aca="false">INDEX(Laporan!$A$1:$AZ$300,G548,4)</f>
        <v>1</v>
      </c>
      <c r="M548" s="1" t="n">
        <f aca="false">DATE(Pemetaan!$B$1,VALUE(RIGHT(INDEX(Laporan!$A$1:$AZ$300,F548+1,H548),2)),VALUE(LEFT(INDEX(Laporan!$A$1:$AZ$300,F548+1,H548),2)))</f>
        <v>46112</v>
      </c>
      <c r="N548" s="0" t="n">
        <f aca="false">INDEX(Laporan!$A$1:$AZ$300,G548,H548)</f>
        <v>2909</v>
      </c>
      <c r="O548" s="0" t="n">
        <f aca="false">IF(N548="","",IFERROR(VALUE(SUBSTITUTE(SUBSTITUTE(N548," btl",""),".","")),""))</f>
        <v>2909</v>
      </c>
      <c r="P548" s="0" t="str">
        <f aca="false">IF(B548="PRODUKSI","produced","reject")</f>
        <v>produced</v>
      </c>
    </row>
    <row r="549" customFormat="false" ht="15" hidden="false" customHeight="false" outlineLevel="0" collapsed="false">
      <c r="A549" s="0" t="n">
        <v>548</v>
      </c>
      <c r="B549" s="0" t="str">
        <f aca="false">IF(A549&lt;=36*25,"PRODUKSI","REJECT")</f>
        <v>PRODUKSI</v>
      </c>
      <c r="C549" s="0" t="n">
        <f aca="false">MOD(A549-1,Pemetaan!$B$3*Pemetaan!$B$4)</f>
        <v>547</v>
      </c>
      <c r="D549" s="0" t="n">
        <f aca="false">INT(C549/Pemetaan!$B$4)</f>
        <v>21</v>
      </c>
      <c r="E549" s="0" t="n">
        <f aca="false">MOD(C549,Pemetaan!$B$4)</f>
        <v>22</v>
      </c>
      <c r="F549" s="0" t="n">
        <f aca="false">IF(B549="PRODUKSI",Pemetaan!$B$5,Pemetaan!$B$6)</f>
        <v>5</v>
      </c>
      <c r="G549" s="0" t="n">
        <f aca="false">F549+2+D549</f>
        <v>28</v>
      </c>
      <c r="H549" s="0" t="n">
        <f aca="false">Pemetaan!$B$2+E549</f>
        <v>27</v>
      </c>
      <c r="I549" s="0" t="str">
        <f aca="false">INDEX(Laporan!$A$1:$AZ$300,G549,1)</f>
        <v>Mixing</v>
      </c>
      <c r="J549" s="0" t="str">
        <f aca="false">INDEX(Laporan!$A$1:$AZ$300,G549,2)</f>
        <v>330 ml</v>
      </c>
      <c r="K549" s="0" t="str">
        <f aca="false">INDEX(Laporan!$A$1:$AZ$300,G549,3)</f>
        <v>Shift 2</v>
      </c>
      <c r="L549" s="0" t="n">
        <f aca="false">INDEX(Laporan!$A$1:$AZ$300,G549,4)</f>
        <v>1</v>
      </c>
      <c r="M549" s="1" t="n">
        <f aca="false">DATE(Pemetaan!$B$1,VALUE(RIGHT(INDEX(Laporan!$A$1:$AZ$300,F549+1,H549),2)),VALUE(LEFT(INDEX(Laporan!$A$1:$AZ$300,F549+1,H549),2)))</f>
        <v>46113</v>
      </c>
      <c r="N549" s="0" t="n">
        <f aca="false">INDEX(Laporan!$A$1:$AZ$300,G549,H549)</f>
        <v>3434</v>
      </c>
      <c r="O549" s="0" t="n">
        <f aca="false">IF(N549="","",IFERROR(VALUE(SUBSTITUTE(SUBSTITUTE(N549," btl",""),".","")),""))</f>
        <v>3434</v>
      </c>
      <c r="P549" s="0" t="str">
        <f aca="false">IF(B549="PRODUKSI","produced","reject")</f>
        <v>produced</v>
      </c>
    </row>
    <row r="550" customFormat="false" ht="15" hidden="false" customHeight="false" outlineLevel="0" collapsed="false">
      <c r="A550" s="0" t="n">
        <v>549</v>
      </c>
      <c r="B550" s="0" t="str">
        <f aca="false">IF(A550&lt;=36*25,"PRODUKSI","REJECT")</f>
        <v>PRODUKSI</v>
      </c>
      <c r="C550" s="0" t="n">
        <f aca="false">MOD(A550-1,Pemetaan!$B$3*Pemetaan!$B$4)</f>
        <v>548</v>
      </c>
      <c r="D550" s="0" t="n">
        <f aca="false">INT(C550/Pemetaan!$B$4)</f>
        <v>21</v>
      </c>
      <c r="E550" s="0" t="n">
        <f aca="false">MOD(C550,Pemetaan!$B$4)</f>
        <v>23</v>
      </c>
      <c r="F550" s="0" t="n">
        <f aca="false">IF(B550="PRODUKSI",Pemetaan!$B$5,Pemetaan!$B$6)</f>
        <v>5</v>
      </c>
      <c r="G550" s="0" t="n">
        <f aca="false">F550+2+D550</f>
        <v>28</v>
      </c>
      <c r="H550" s="0" t="n">
        <f aca="false">Pemetaan!$B$2+E550</f>
        <v>28</v>
      </c>
      <c r="I550" s="0" t="str">
        <f aca="false">INDEX(Laporan!$A$1:$AZ$300,G550,1)</f>
        <v>Mixing</v>
      </c>
      <c r="J550" s="0" t="str">
        <f aca="false">INDEX(Laporan!$A$1:$AZ$300,G550,2)</f>
        <v>330 ml</v>
      </c>
      <c r="K550" s="0" t="str">
        <f aca="false">INDEX(Laporan!$A$1:$AZ$300,G550,3)</f>
        <v>Shift 2</v>
      </c>
      <c r="L550" s="0" t="n">
        <f aca="false">INDEX(Laporan!$A$1:$AZ$300,G550,4)</f>
        <v>1</v>
      </c>
      <c r="M550" s="1" t="n">
        <f aca="false">DATE(Pemetaan!$B$1,VALUE(RIGHT(INDEX(Laporan!$A$1:$AZ$300,F550+1,H550),2)),VALUE(LEFT(INDEX(Laporan!$A$1:$AZ$300,F550+1,H550),2)))</f>
        <v>46114</v>
      </c>
      <c r="N550" s="0" t="n">
        <f aca="false">INDEX(Laporan!$A$1:$AZ$300,G550,H550)</f>
        <v>3245</v>
      </c>
      <c r="O550" s="0" t="n">
        <f aca="false">IF(N550="","",IFERROR(VALUE(SUBSTITUTE(SUBSTITUTE(N550," btl",""),".","")),""))</f>
        <v>3245</v>
      </c>
      <c r="P550" s="0" t="str">
        <f aca="false">IF(B550="PRODUKSI","produced","reject")</f>
        <v>produced</v>
      </c>
    </row>
    <row r="551" customFormat="false" ht="15" hidden="false" customHeight="false" outlineLevel="0" collapsed="false">
      <c r="A551" s="0" t="n">
        <v>550</v>
      </c>
      <c r="B551" s="0" t="str">
        <f aca="false">IF(A551&lt;=36*25,"PRODUKSI","REJECT")</f>
        <v>PRODUKSI</v>
      </c>
      <c r="C551" s="0" t="n">
        <f aca="false">MOD(A551-1,Pemetaan!$B$3*Pemetaan!$B$4)</f>
        <v>549</v>
      </c>
      <c r="D551" s="0" t="n">
        <f aca="false">INT(C551/Pemetaan!$B$4)</f>
        <v>21</v>
      </c>
      <c r="E551" s="0" t="n">
        <f aca="false">MOD(C551,Pemetaan!$B$4)</f>
        <v>24</v>
      </c>
      <c r="F551" s="0" t="n">
        <f aca="false">IF(B551="PRODUKSI",Pemetaan!$B$5,Pemetaan!$B$6)</f>
        <v>5</v>
      </c>
      <c r="G551" s="0" t="n">
        <f aca="false">F551+2+D551</f>
        <v>28</v>
      </c>
      <c r="H551" s="0" t="n">
        <f aca="false">Pemetaan!$B$2+E551</f>
        <v>29</v>
      </c>
      <c r="I551" s="0" t="str">
        <f aca="false">INDEX(Laporan!$A$1:$AZ$300,G551,1)</f>
        <v>Mixing</v>
      </c>
      <c r="J551" s="0" t="str">
        <f aca="false">INDEX(Laporan!$A$1:$AZ$300,G551,2)</f>
        <v>330 ml</v>
      </c>
      <c r="K551" s="0" t="str">
        <f aca="false">INDEX(Laporan!$A$1:$AZ$300,G551,3)</f>
        <v>Shift 2</v>
      </c>
      <c r="L551" s="0" t="n">
        <f aca="false">INDEX(Laporan!$A$1:$AZ$300,G551,4)</f>
        <v>1</v>
      </c>
      <c r="M551" s="1" t="n">
        <f aca="false">DATE(Pemetaan!$B$1,VALUE(RIGHT(INDEX(Laporan!$A$1:$AZ$300,F551+1,H551),2)),VALUE(LEFT(INDEX(Laporan!$A$1:$AZ$300,F551+1,H551),2)))</f>
        <v>46115</v>
      </c>
      <c r="N551" s="0" t="n">
        <f aca="false">INDEX(Laporan!$A$1:$AZ$300,G551,H551)</f>
        <v>2987</v>
      </c>
      <c r="O551" s="0" t="n">
        <f aca="false">IF(N551="","",IFERROR(VALUE(SUBSTITUTE(SUBSTITUTE(N551," btl",""),".","")),""))</f>
        <v>2987</v>
      </c>
      <c r="P551" s="0" t="str">
        <f aca="false">IF(B551="PRODUKSI","produced","reject")</f>
        <v>produced</v>
      </c>
    </row>
    <row r="552" customFormat="false" ht="15" hidden="false" customHeight="false" outlineLevel="0" collapsed="false">
      <c r="A552" s="0" t="n">
        <v>551</v>
      </c>
      <c r="B552" s="0" t="str">
        <f aca="false">IF(A552&lt;=36*25,"PRODUKSI","REJECT")</f>
        <v>PRODUKSI</v>
      </c>
      <c r="C552" s="0" t="n">
        <f aca="false">MOD(A552-1,Pemetaan!$B$3*Pemetaan!$B$4)</f>
        <v>550</v>
      </c>
      <c r="D552" s="0" t="n">
        <f aca="false">INT(C552/Pemetaan!$B$4)</f>
        <v>22</v>
      </c>
      <c r="E552" s="0" t="n">
        <f aca="false">MOD(C552,Pemetaan!$B$4)</f>
        <v>0</v>
      </c>
      <c r="F552" s="0" t="n">
        <f aca="false">IF(B552="PRODUKSI",Pemetaan!$B$5,Pemetaan!$B$6)</f>
        <v>5</v>
      </c>
      <c r="G552" s="0" t="n">
        <f aca="false">F552+2+D552</f>
        <v>29</v>
      </c>
      <c r="H552" s="0" t="n">
        <f aca="false">Pemetaan!$B$2+E552</f>
        <v>5</v>
      </c>
      <c r="I552" s="0" t="str">
        <f aca="false">INDEX(Laporan!$A$1:$AZ$300,G552,1)</f>
        <v>Mixing</v>
      </c>
      <c r="J552" s="0" t="str">
        <f aca="false">INDEX(Laporan!$A$1:$AZ$300,G552,2)</f>
        <v>330 ml</v>
      </c>
      <c r="K552" s="0" t="str">
        <f aca="false">INDEX(Laporan!$A$1:$AZ$300,G552,3)</f>
        <v>Shift 2</v>
      </c>
      <c r="L552" s="0" t="n">
        <f aca="false">INDEX(Laporan!$A$1:$AZ$300,G552,4)</f>
        <v>2</v>
      </c>
      <c r="M552" s="1" t="n">
        <f aca="false">DATE(Pemetaan!$B$1,VALUE(RIGHT(INDEX(Laporan!$A$1:$AZ$300,F552+1,H552),2)),VALUE(LEFT(INDEX(Laporan!$A$1:$AZ$300,F552+1,H552),2)))</f>
        <v>46083</v>
      </c>
      <c r="N552" s="0" t="n">
        <f aca="false">INDEX(Laporan!$A$1:$AZ$300,G552,H552)</f>
        <v>3385</v>
      </c>
      <c r="O552" s="0" t="n">
        <f aca="false">IF(N552="","",IFERROR(VALUE(SUBSTITUTE(SUBSTITUTE(N552," btl",""),".","")),""))</f>
        <v>3385</v>
      </c>
      <c r="P552" s="0" t="str">
        <f aca="false">IF(B552="PRODUKSI","produced","reject")</f>
        <v>produced</v>
      </c>
    </row>
    <row r="553" customFormat="false" ht="15" hidden="false" customHeight="false" outlineLevel="0" collapsed="false">
      <c r="A553" s="0" t="n">
        <v>552</v>
      </c>
      <c r="B553" s="0" t="str">
        <f aca="false">IF(A553&lt;=36*25,"PRODUKSI","REJECT")</f>
        <v>PRODUKSI</v>
      </c>
      <c r="C553" s="0" t="n">
        <f aca="false">MOD(A553-1,Pemetaan!$B$3*Pemetaan!$B$4)</f>
        <v>551</v>
      </c>
      <c r="D553" s="0" t="n">
        <f aca="false">INT(C553/Pemetaan!$B$4)</f>
        <v>22</v>
      </c>
      <c r="E553" s="0" t="n">
        <f aca="false">MOD(C553,Pemetaan!$B$4)</f>
        <v>1</v>
      </c>
      <c r="F553" s="0" t="n">
        <f aca="false">IF(B553="PRODUKSI",Pemetaan!$B$5,Pemetaan!$B$6)</f>
        <v>5</v>
      </c>
      <c r="G553" s="0" t="n">
        <f aca="false">F553+2+D553</f>
        <v>29</v>
      </c>
      <c r="H553" s="0" t="n">
        <f aca="false">Pemetaan!$B$2+E553</f>
        <v>6</v>
      </c>
      <c r="I553" s="0" t="str">
        <f aca="false">INDEX(Laporan!$A$1:$AZ$300,G553,1)</f>
        <v>Mixing</v>
      </c>
      <c r="J553" s="0" t="str">
        <f aca="false">INDEX(Laporan!$A$1:$AZ$300,G553,2)</f>
        <v>330 ml</v>
      </c>
      <c r="K553" s="0" t="str">
        <f aca="false">INDEX(Laporan!$A$1:$AZ$300,G553,3)</f>
        <v>Shift 2</v>
      </c>
      <c r="L553" s="0" t="n">
        <f aca="false">INDEX(Laporan!$A$1:$AZ$300,G553,4)</f>
        <v>2</v>
      </c>
      <c r="M553" s="1" t="n">
        <f aca="false">DATE(Pemetaan!$B$1,VALUE(RIGHT(INDEX(Laporan!$A$1:$AZ$300,F553+1,H553),2)),VALUE(LEFT(INDEX(Laporan!$A$1:$AZ$300,F553+1,H553),2)))</f>
        <v>46084</v>
      </c>
      <c r="N553" s="0" t="n">
        <f aca="false">INDEX(Laporan!$A$1:$AZ$300,G553,H553)</f>
        <v>3585</v>
      </c>
      <c r="O553" s="0" t="n">
        <f aca="false">IF(N553="","",IFERROR(VALUE(SUBSTITUTE(SUBSTITUTE(N553," btl",""),".","")),""))</f>
        <v>3585</v>
      </c>
      <c r="P553" s="0" t="str">
        <f aca="false">IF(B553="PRODUKSI","produced","reject")</f>
        <v>produced</v>
      </c>
    </row>
    <row r="554" customFormat="false" ht="15" hidden="false" customHeight="false" outlineLevel="0" collapsed="false">
      <c r="A554" s="0" t="n">
        <v>553</v>
      </c>
      <c r="B554" s="0" t="str">
        <f aca="false">IF(A554&lt;=36*25,"PRODUKSI","REJECT")</f>
        <v>PRODUKSI</v>
      </c>
      <c r="C554" s="0" t="n">
        <f aca="false">MOD(A554-1,Pemetaan!$B$3*Pemetaan!$B$4)</f>
        <v>552</v>
      </c>
      <c r="D554" s="0" t="n">
        <f aca="false">INT(C554/Pemetaan!$B$4)</f>
        <v>22</v>
      </c>
      <c r="E554" s="0" t="n">
        <f aca="false">MOD(C554,Pemetaan!$B$4)</f>
        <v>2</v>
      </c>
      <c r="F554" s="0" t="n">
        <f aca="false">IF(B554="PRODUKSI",Pemetaan!$B$5,Pemetaan!$B$6)</f>
        <v>5</v>
      </c>
      <c r="G554" s="0" t="n">
        <f aca="false">F554+2+D554</f>
        <v>29</v>
      </c>
      <c r="H554" s="0" t="n">
        <f aca="false">Pemetaan!$B$2+E554</f>
        <v>7</v>
      </c>
      <c r="I554" s="0" t="str">
        <f aca="false">INDEX(Laporan!$A$1:$AZ$300,G554,1)</f>
        <v>Mixing</v>
      </c>
      <c r="J554" s="0" t="str">
        <f aca="false">INDEX(Laporan!$A$1:$AZ$300,G554,2)</f>
        <v>330 ml</v>
      </c>
      <c r="K554" s="0" t="str">
        <f aca="false">INDEX(Laporan!$A$1:$AZ$300,G554,3)</f>
        <v>Shift 2</v>
      </c>
      <c r="L554" s="0" t="n">
        <f aca="false">INDEX(Laporan!$A$1:$AZ$300,G554,4)</f>
        <v>2</v>
      </c>
      <c r="M554" s="1" t="n">
        <f aca="false">DATE(Pemetaan!$B$1,VALUE(RIGHT(INDEX(Laporan!$A$1:$AZ$300,F554+1,H554),2)),VALUE(LEFT(INDEX(Laporan!$A$1:$AZ$300,F554+1,H554),2)))</f>
        <v>46085</v>
      </c>
      <c r="N554" s="0" t="n">
        <f aca="false">INDEX(Laporan!$A$1:$AZ$300,G554,H554)</f>
        <v>3455</v>
      </c>
      <c r="O554" s="0" t="n">
        <f aca="false">IF(N554="","",IFERROR(VALUE(SUBSTITUTE(SUBSTITUTE(N554," btl",""),".","")),""))</f>
        <v>3455</v>
      </c>
      <c r="P554" s="0" t="str">
        <f aca="false">IF(B554="PRODUKSI","produced","reject")</f>
        <v>produced</v>
      </c>
    </row>
    <row r="555" customFormat="false" ht="15" hidden="false" customHeight="false" outlineLevel="0" collapsed="false">
      <c r="A555" s="0" t="n">
        <v>554</v>
      </c>
      <c r="B555" s="0" t="str">
        <f aca="false">IF(A555&lt;=36*25,"PRODUKSI","REJECT")</f>
        <v>PRODUKSI</v>
      </c>
      <c r="C555" s="0" t="n">
        <f aca="false">MOD(A555-1,Pemetaan!$B$3*Pemetaan!$B$4)</f>
        <v>553</v>
      </c>
      <c r="D555" s="0" t="n">
        <f aca="false">INT(C555/Pemetaan!$B$4)</f>
        <v>22</v>
      </c>
      <c r="E555" s="0" t="n">
        <f aca="false">MOD(C555,Pemetaan!$B$4)</f>
        <v>3</v>
      </c>
      <c r="F555" s="0" t="n">
        <f aca="false">IF(B555="PRODUKSI",Pemetaan!$B$5,Pemetaan!$B$6)</f>
        <v>5</v>
      </c>
      <c r="G555" s="0" t="n">
        <f aca="false">F555+2+D555</f>
        <v>29</v>
      </c>
      <c r="H555" s="0" t="n">
        <f aca="false">Pemetaan!$B$2+E555</f>
        <v>8</v>
      </c>
      <c r="I555" s="0" t="str">
        <f aca="false">INDEX(Laporan!$A$1:$AZ$300,G555,1)</f>
        <v>Mixing</v>
      </c>
      <c r="J555" s="0" t="str">
        <f aca="false">INDEX(Laporan!$A$1:$AZ$300,G555,2)</f>
        <v>330 ml</v>
      </c>
      <c r="K555" s="0" t="str">
        <f aca="false">INDEX(Laporan!$A$1:$AZ$300,G555,3)</f>
        <v>Shift 2</v>
      </c>
      <c r="L555" s="0" t="n">
        <f aca="false">INDEX(Laporan!$A$1:$AZ$300,G555,4)</f>
        <v>2</v>
      </c>
      <c r="M555" s="1" t="n">
        <f aca="false">DATE(Pemetaan!$B$1,VALUE(RIGHT(INDEX(Laporan!$A$1:$AZ$300,F555+1,H555),2)),VALUE(LEFT(INDEX(Laporan!$A$1:$AZ$300,F555+1,H555),2)))</f>
        <v>46086</v>
      </c>
      <c r="N555" s="0" t="n">
        <f aca="false">INDEX(Laporan!$A$1:$AZ$300,G555,H555)</f>
        <v>3413</v>
      </c>
      <c r="O555" s="0" t="n">
        <f aca="false">IF(N555="","",IFERROR(VALUE(SUBSTITUTE(SUBSTITUTE(N555," btl",""),".","")),""))</f>
        <v>3413</v>
      </c>
      <c r="P555" s="0" t="str">
        <f aca="false">IF(B555="PRODUKSI","produced","reject")</f>
        <v>produced</v>
      </c>
    </row>
    <row r="556" customFormat="false" ht="15" hidden="false" customHeight="false" outlineLevel="0" collapsed="false">
      <c r="A556" s="0" t="n">
        <v>555</v>
      </c>
      <c r="B556" s="0" t="str">
        <f aca="false">IF(A556&lt;=36*25,"PRODUKSI","REJECT")</f>
        <v>PRODUKSI</v>
      </c>
      <c r="C556" s="0" t="n">
        <f aca="false">MOD(A556-1,Pemetaan!$B$3*Pemetaan!$B$4)</f>
        <v>554</v>
      </c>
      <c r="D556" s="0" t="n">
        <f aca="false">INT(C556/Pemetaan!$B$4)</f>
        <v>22</v>
      </c>
      <c r="E556" s="0" t="n">
        <f aca="false">MOD(C556,Pemetaan!$B$4)</f>
        <v>4</v>
      </c>
      <c r="F556" s="0" t="n">
        <f aca="false">IF(B556="PRODUKSI",Pemetaan!$B$5,Pemetaan!$B$6)</f>
        <v>5</v>
      </c>
      <c r="G556" s="0" t="n">
        <f aca="false">F556+2+D556</f>
        <v>29</v>
      </c>
      <c r="H556" s="0" t="n">
        <f aca="false">Pemetaan!$B$2+E556</f>
        <v>9</v>
      </c>
      <c r="I556" s="0" t="str">
        <f aca="false">INDEX(Laporan!$A$1:$AZ$300,G556,1)</f>
        <v>Mixing</v>
      </c>
      <c r="J556" s="0" t="str">
        <f aca="false">INDEX(Laporan!$A$1:$AZ$300,G556,2)</f>
        <v>330 ml</v>
      </c>
      <c r="K556" s="0" t="str">
        <f aca="false">INDEX(Laporan!$A$1:$AZ$300,G556,3)</f>
        <v>Shift 2</v>
      </c>
      <c r="L556" s="0" t="n">
        <f aca="false">INDEX(Laporan!$A$1:$AZ$300,G556,4)</f>
        <v>2</v>
      </c>
      <c r="M556" s="1" t="n">
        <f aca="false">DATE(Pemetaan!$B$1,VALUE(RIGHT(INDEX(Laporan!$A$1:$AZ$300,F556+1,H556),2)),VALUE(LEFT(INDEX(Laporan!$A$1:$AZ$300,F556+1,H556),2)))</f>
        <v>46087</v>
      </c>
      <c r="N556" s="0" t="n">
        <f aca="false">INDEX(Laporan!$A$1:$AZ$300,G556,H556)</f>
        <v>3264</v>
      </c>
      <c r="O556" s="0" t="n">
        <f aca="false">IF(N556="","",IFERROR(VALUE(SUBSTITUTE(SUBSTITUTE(N556," btl",""),".","")),""))</f>
        <v>3264</v>
      </c>
      <c r="P556" s="0" t="str">
        <f aca="false">IF(B556="PRODUKSI","produced","reject")</f>
        <v>produced</v>
      </c>
    </row>
    <row r="557" customFormat="false" ht="15" hidden="false" customHeight="false" outlineLevel="0" collapsed="false">
      <c r="A557" s="0" t="n">
        <v>556</v>
      </c>
      <c r="B557" s="0" t="str">
        <f aca="false">IF(A557&lt;=36*25,"PRODUKSI","REJECT")</f>
        <v>PRODUKSI</v>
      </c>
      <c r="C557" s="0" t="n">
        <f aca="false">MOD(A557-1,Pemetaan!$B$3*Pemetaan!$B$4)</f>
        <v>555</v>
      </c>
      <c r="D557" s="0" t="n">
        <f aca="false">INT(C557/Pemetaan!$B$4)</f>
        <v>22</v>
      </c>
      <c r="E557" s="0" t="n">
        <f aca="false">MOD(C557,Pemetaan!$B$4)</f>
        <v>5</v>
      </c>
      <c r="F557" s="0" t="n">
        <f aca="false">IF(B557="PRODUKSI",Pemetaan!$B$5,Pemetaan!$B$6)</f>
        <v>5</v>
      </c>
      <c r="G557" s="0" t="n">
        <f aca="false">F557+2+D557</f>
        <v>29</v>
      </c>
      <c r="H557" s="0" t="n">
        <f aca="false">Pemetaan!$B$2+E557</f>
        <v>10</v>
      </c>
      <c r="I557" s="0" t="str">
        <f aca="false">INDEX(Laporan!$A$1:$AZ$300,G557,1)</f>
        <v>Mixing</v>
      </c>
      <c r="J557" s="0" t="str">
        <f aca="false">INDEX(Laporan!$A$1:$AZ$300,G557,2)</f>
        <v>330 ml</v>
      </c>
      <c r="K557" s="0" t="str">
        <f aca="false">INDEX(Laporan!$A$1:$AZ$300,G557,3)</f>
        <v>Shift 2</v>
      </c>
      <c r="L557" s="0" t="n">
        <f aca="false">INDEX(Laporan!$A$1:$AZ$300,G557,4)</f>
        <v>2</v>
      </c>
      <c r="M557" s="1" t="n">
        <f aca="false">DATE(Pemetaan!$B$1,VALUE(RIGHT(INDEX(Laporan!$A$1:$AZ$300,F557+1,H557),2)),VALUE(LEFT(INDEX(Laporan!$A$1:$AZ$300,F557+1,H557),2)))</f>
        <v>46090</v>
      </c>
      <c r="N557" s="0" t="n">
        <f aca="false">INDEX(Laporan!$A$1:$AZ$300,G557,H557)</f>
        <v>3167</v>
      </c>
      <c r="O557" s="0" t="n">
        <f aca="false">IF(N557="","",IFERROR(VALUE(SUBSTITUTE(SUBSTITUTE(N557," btl",""),".","")),""))</f>
        <v>3167</v>
      </c>
      <c r="P557" s="0" t="str">
        <f aca="false">IF(B557="PRODUKSI","produced","reject")</f>
        <v>produced</v>
      </c>
    </row>
    <row r="558" customFormat="false" ht="15" hidden="false" customHeight="false" outlineLevel="0" collapsed="false">
      <c r="A558" s="0" t="n">
        <v>557</v>
      </c>
      <c r="B558" s="0" t="str">
        <f aca="false">IF(A558&lt;=36*25,"PRODUKSI","REJECT")</f>
        <v>PRODUKSI</v>
      </c>
      <c r="C558" s="0" t="n">
        <f aca="false">MOD(A558-1,Pemetaan!$B$3*Pemetaan!$B$4)</f>
        <v>556</v>
      </c>
      <c r="D558" s="0" t="n">
        <f aca="false">INT(C558/Pemetaan!$B$4)</f>
        <v>22</v>
      </c>
      <c r="E558" s="0" t="n">
        <f aca="false">MOD(C558,Pemetaan!$B$4)</f>
        <v>6</v>
      </c>
      <c r="F558" s="0" t="n">
        <f aca="false">IF(B558="PRODUKSI",Pemetaan!$B$5,Pemetaan!$B$6)</f>
        <v>5</v>
      </c>
      <c r="G558" s="0" t="n">
        <f aca="false">F558+2+D558</f>
        <v>29</v>
      </c>
      <c r="H558" s="0" t="n">
        <f aca="false">Pemetaan!$B$2+E558</f>
        <v>11</v>
      </c>
      <c r="I558" s="0" t="str">
        <f aca="false">INDEX(Laporan!$A$1:$AZ$300,G558,1)</f>
        <v>Mixing</v>
      </c>
      <c r="J558" s="0" t="str">
        <f aca="false">INDEX(Laporan!$A$1:$AZ$300,G558,2)</f>
        <v>330 ml</v>
      </c>
      <c r="K558" s="0" t="str">
        <f aca="false">INDEX(Laporan!$A$1:$AZ$300,G558,3)</f>
        <v>Shift 2</v>
      </c>
      <c r="L558" s="0" t="n">
        <f aca="false">INDEX(Laporan!$A$1:$AZ$300,G558,4)</f>
        <v>2</v>
      </c>
      <c r="M558" s="1" t="n">
        <f aca="false">DATE(Pemetaan!$B$1,VALUE(RIGHT(INDEX(Laporan!$A$1:$AZ$300,F558+1,H558),2)),VALUE(LEFT(INDEX(Laporan!$A$1:$AZ$300,F558+1,H558),2)))</f>
        <v>46091</v>
      </c>
      <c r="N558" s="0" t="n">
        <f aca="false">INDEX(Laporan!$A$1:$AZ$300,G558,H558)</f>
        <v>3262</v>
      </c>
      <c r="O558" s="0" t="n">
        <f aca="false">IF(N558="","",IFERROR(VALUE(SUBSTITUTE(SUBSTITUTE(N558," btl",""),".","")),""))</f>
        <v>3262</v>
      </c>
      <c r="P558" s="0" t="str">
        <f aca="false">IF(B558="PRODUKSI","produced","reject")</f>
        <v>produced</v>
      </c>
    </row>
    <row r="559" customFormat="false" ht="15" hidden="false" customHeight="false" outlineLevel="0" collapsed="false">
      <c r="A559" s="0" t="n">
        <v>558</v>
      </c>
      <c r="B559" s="0" t="str">
        <f aca="false">IF(A559&lt;=36*25,"PRODUKSI","REJECT")</f>
        <v>PRODUKSI</v>
      </c>
      <c r="C559" s="0" t="n">
        <f aca="false">MOD(A559-1,Pemetaan!$B$3*Pemetaan!$B$4)</f>
        <v>557</v>
      </c>
      <c r="D559" s="0" t="n">
        <f aca="false">INT(C559/Pemetaan!$B$4)</f>
        <v>22</v>
      </c>
      <c r="E559" s="0" t="n">
        <f aca="false">MOD(C559,Pemetaan!$B$4)</f>
        <v>7</v>
      </c>
      <c r="F559" s="0" t="n">
        <f aca="false">IF(B559="PRODUKSI",Pemetaan!$B$5,Pemetaan!$B$6)</f>
        <v>5</v>
      </c>
      <c r="G559" s="0" t="n">
        <f aca="false">F559+2+D559</f>
        <v>29</v>
      </c>
      <c r="H559" s="0" t="n">
        <f aca="false">Pemetaan!$B$2+E559</f>
        <v>12</v>
      </c>
      <c r="I559" s="0" t="str">
        <f aca="false">INDEX(Laporan!$A$1:$AZ$300,G559,1)</f>
        <v>Mixing</v>
      </c>
      <c r="J559" s="0" t="str">
        <f aca="false">INDEX(Laporan!$A$1:$AZ$300,G559,2)</f>
        <v>330 ml</v>
      </c>
      <c r="K559" s="0" t="str">
        <f aca="false">INDEX(Laporan!$A$1:$AZ$300,G559,3)</f>
        <v>Shift 2</v>
      </c>
      <c r="L559" s="0" t="n">
        <f aca="false">INDEX(Laporan!$A$1:$AZ$300,G559,4)</f>
        <v>2</v>
      </c>
      <c r="M559" s="1" t="n">
        <f aca="false">DATE(Pemetaan!$B$1,VALUE(RIGHT(INDEX(Laporan!$A$1:$AZ$300,F559+1,H559),2)),VALUE(LEFT(INDEX(Laporan!$A$1:$AZ$300,F559+1,H559),2)))</f>
        <v>46092</v>
      </c>
      <c r="N559" s="0" t="n">
        <f aca="false">INDEX(Laporan!$A$1:$AZ$300,G559,H559)</f>
        <v>3378</v>
      </c>
      <c r="O559" s="0" t="n">
        <f aca="false">IF(N559="","",IFERROR(VALUE(SUBSTITUTE(SUBSTITUTE(N559," btl",""),".","")),""))</f>
        <v>3378</v>
      </c>
      <c r="P559" s="0" t="str">
        <f aca="false">IF(B559="PRODUKSI","produced","reject")</f>
        <v>produced</v>
      </c>
    </row>
    <row r="560" customFormat="false" ht="15" hidden="false" customHeight="false" outlineLevel="0" collapsed="false">
      <c r="A560" s="0" t="n">
        <v>559</v>
      </c>
      <c r="B560" s="0" t="str">
        <f aca="false">IF(A560&lt;=36*25,"PRODUKSI","REJECT")</f>
        <v>PRODUKSI</v>
      </c>
      <c r="C560" s="0" t="n">
        <f aca="false">MOD(A560-1,Pemetaan!$B$3*Pemetaan!$B$4)</f>
        <v>558</v>
      </c>
      <c r="D560" s="0" t="n">
        <f aca="false">INT(C560/Pemetaan!$B$4)</f>
        <v>22</v>
      </c>
      <c r="E560" s="0" t="n">
        <f aca="false">MOD(C560,Pemetaan!$B$4)</f>
        <v>8</v>
      </c>
      <c r="F560" s="0" t="n">
        <f aca="false">IF(B560="PRODUKSI",Pemetaan!$B$5,Pemetaan!$B$6)</f>
        <v>5</v>
      </c>
      <c r="G560" s="0" t="n">
        <f aca="false">F560+2+D560</f>
        <v>29</v>
      </c>
      <c r="H560" s="0" t="n">
        <f aca="false">Pemetaan!$B$2+E560</f>
        <v>13</v>
      </c>
      <c r="I560" s="0" t="str">
        <f aca="false">INDEX(Laporan!$A$1:$AZ$300,G560,1)</f>
        <v>Mixing</v>
      </c>
      <c r="J560" s="0" t="str">
        <f aca="false">INDEX(Laporan!$A$1:$AZ$300,G560,2)</f>
        <v>330 ml</v>
      </c>
      <c r="K560" s="0" t="str">
        <f aca="false">INDEX(Laporan!$A$1:$AZ$300,G560,3)</f>
        <v>Shift 2</v>
      </c>
      <c r="L560" s="0" t="n">
        <f aca="false">INDEX(Laporan!$A$1:$AZ$300,G560,4)</f>
        <v>2</v>
      </c>
      <c r="M560" s="1" t="n">
        <f aca="false">DATE(Pemetaan!$B$1,VALUE(RIGHT(INDEX(Laporan!$A$1:$AZ$300,F560+1,H560),2)),VALUE(LEFT(INDEX(Laporan!$A$1:$AZ$300,F560+1,H560),2)))</f>
        <v>46093</v>
      </c>
      <c r="N560" s="0" t="n">
        <f aca="false">INDEX(Laporan!$A$1:$AZ$300,G560,H560)</f>
        <v>3211</v>
      </c>
      <c r="O560" s="0" t="n">
        <f aca="false">IF(N560="","",IFERROR(VALUE(SUBSTITUTE(SUBSTITUTE(N560," btl",""),".","")),""))</f>
        <v>3211</v>
      </c>
      <c r="P560" s="0" t="str">
        <f aca="false">IF(B560="PRODUKSI","produced","reject")</f>
        <v>produced</v>
      </c>
    </row>
    <row r="561" customFormat="false" ht="15" hidden="false" customHeight="false" outlineLevel="0" collapsed="false">
      <c r="A561" s="0" t="n">
        <v>560</v>
      </c>
      <c r="B561" s="0" t="str">
        <f aca="false">IF(A561&lt;=36*25,"PRODUKSI","REJECT")</f>
        <v>PRODUKSI</v>
      </c>
      <c r="C561" s="0" t="n">
        <f aca="false">MOD(A561-1,Pemetaan!$B$3*Pemetaan!$B$4)</f>
        <v>559</v>
      </c>
      <c r="D561" s="0" t="n">
        <f aca="false">INT(C561/Pemetaan!$B$4)</f>
        <v>22</v>
      </c>
      <c r="E561" s="0" t="n">
        <f aca="false">MOD(C561,Pemetaan!$B$4)</f>
        <v>9</v>
      </c>
      <c r="F561" s="0" t="n">
        <f aca="false">IF(B561="PRODUKSI",Pemetaan!$B$5,Pemetaan!$B$6)</f>
        <v>5</v>
      </c>
      <c r="G561" s="0" t="n">
        <f aca="false">F561+2+D561</f>
        <v>29</v>
      </c>
      <c r="H561" s="0" t="n">
        <f aca="false">Pemetaan!$B$2+E561</f>
        <v>14</v>
      </c>
      <c r="I561" s="0" t="str">
        <f aca="false">INDEX(Laporan!$A$1:$AZ$300,G561,1)</f>
        <v>Mixing</v>
      </c>
      <c r="J561" s="0" t="str">
        <f aca="false">INDEX(Laporan!$A$1:$AZ$300,G561,2)</f>
        <v>330 ml</v>
      </c>
      <c r="K561" s="0" t="str">
        <f aca="false">INDEX(Laporan!$A$1:$AZ$300,G561,3)</f>
        <v>Shift 2</v>
      </c>
      <c r="L561" s="0" t="n">
        <f aca="false">INDEX(Laporan!$A$1:$AZ$300,G561,4)</f>
        <v>2</v>
      </c>
      <c r="M561" s="1" t="n">
        <f aca="false">DATE(Pemetaan!$B$1,VALUE(RIGHT(INDEX(Laporan!$A$1:$AZ$300,F561+1,H561),2)),VALUE(LEFT(INDEX(Laporan!$A$1:$AZ$300,F561+1,H561),2)))</f>
        <v>46094</v>
      </c>
      <c r="N561" s="0" t="n">
        <f aca="false">INDEX(Laporan!$A$1:$AZ$300,G561,H561)</f>
        <v>2828</v>
      </c>
      <c r="O561" s="0" t="n">
        <f aca="false">IF(N561="","",IFERROR(VALUE(SUBSTITUTE(SUBSTITUTE(N561," btl",""),".","")),""))</f>
        <v>2828</v>
      </c>
      <c r="P561" s="0" t="str">
        <f aca="false">IF(B561="PRODUKSI","produced","reject")</f>
        <v>produced</v>
      </c>
    </row>
    <row r="562" customFormat="false" ht="15" hidden="false" customHeight="false" outlineLevel="0" collapsed="false">
      <c r="A562" s="0" t="n">
        <v>561</v>
      </c>
      <c r="B562" s="0" t="str">
        <f aca="false">IF(A562&lt;=36*25,"PRODUKSI","REJECT")</f>
        <v>PRODUKSI</v>
      </c>
      <c r="C562" s="0" t="n">
        <f aca="false">MOD(A562-1,Pemetaan!$B$3*Pemetaan!$B$4)</f>
        <v>560</v>
      </c>
      <c r="D562" s="0" t="n">
        <f aca="false">INT(C562/Pemetaan!$B$4)</f>
        <v>22</v>
      </c>
      <c r="E562" s="0" t="n">
        <f aca="false">MOD(C562,Pemetaan!$B$4)</f>
        <v>10</v>
      </c>
      <c r="F562" s="0" t="n">
        <f aca="false">IF(B562="PRODUKSI",Pemetaan!$B$5,Pemetaan!$B$6)</f>
        <v>5</v>
      </c>
      <c r="G562" s="0" t="n">
        <f aca="false">F562+2+D562</f>
        <v>29</v>
      </c>
      <c r="H562" s="0" t="n">
        <f aca="false">Pemetaan!$B$2+E562</f>
        <v>15</v>
      </c>
      <c r="I562" s="0" t="str">
        <f aca="false">INDEX(Laporan!$A$1:$AZ$300,G562,1)</f>
        <v>Mixing</v>
      </c>
      <c r="J562" s="0" t="str">
        <f aca="false">INDEX(Laporan!$A$1:$AZ$300,G562,2)</f>
        <v>330 ml</v>
      </c>
      <c r="K562" s="0" t="str">
        <f aca="false">INDEX(Laporan!$A$1:$AZ$300,G562,3)</f>
        <v>Shift 2</v>
      </c>
      <c r="L562" s="0" t="n">
        <f aca="false">INDEX(Laporan!$A$1:$AZ$300,G562,4)</f>
        <v>2</v>
      </c>
      <c r="M562" s="1" t="n">
        <f aca="false">DATE(Pemetaan!$B$1,VALUE(RIGHT(INDEX(Laporan!$A$1:$AZ$300,F562+1,H562),2)),VALUE(LEFT(INDEX(Laporan!$A$1:$AZ$300,F562+1,H562),2)))</f>
        <v>46097</v>
      </c>
      <c r="N562" s="0" t="n">
        <f aca="false">INDEX(Laporan!$A$1:$AZ$300,G562,H562)</f>
        <v>3002</v>
      </c>
      <c r="O562" s="0" t="n">
        <f aca="false">IF(N562="","",IFERROR(VALUE(SUBSTITUTE(SUBSTITUTE(N562," btl",""),".","")),""))</f>
        <v>3002</v>
      </c>
      <c r="P562" s="0" t="str">
        <f aca="false">IF(B562="PRODUKSI","produced","reject")</f>
        <v>produced</v>
      </c>
    </row>
    <row r="563" customFormat="false" ht="15" hidden="false" customHeight="false" outlineLevel="0" collapsed="false">
      <c r="A563" s="0" t="n">
        <v>562</v>
      </c>
      <c r="B563" s="0" t="str">
        <f aca="false">IF(A563&lt;=36*25,"PRODUKSI","REJECT")</f>
        <v>PRODUKSI</v>
      </c>
      <c r="C563" s="0" t="n">
        <f aca="false">MOD(A563-1,Pemetaan!$B$3*Pemetaan!$B$4)</f>
        <v>561</v>
      </c>
      <c r="D563" s="0" t="n">
        <f aca="false">INT(C563/Pemetaan!$B$4)</f>
        <v>22</v>
      </c>
      <c r="E563" s="0" t="n">
        <f aca="false">MOD(C563,Pemetaan!$B$4)</f>
        <v>11</v>
      </c>
      <c r="F563" s="0" t="n">
        <f aca="false">IF(B563="PRODUKSI",Pemetaan!$B$5,Pemetaan!$B$6)</f>
        <v>5</v>
      </c>
      <c r="G563" s="0" t="n">
        <f aca="false">F563+2+D563</f>
        <v>29</v>
      </c>
      <c r="H563" s="0" t="n">
        <f aca="false">Pemetaan!$B$2+E563</f>
        <v>16</v>
      </c>
      <c r="I563" s="0" t="str">
        <f aca="false">INDEX(Laporan!$A$1:$AZ$300,G563,1)</f>
        <v>Mixing</v>
      </c>
      <c r="J563" s="0" t="str">
        <f aca="false">INDEX(Laporan!$A$1:$AZ$300,G563,2)</f>
        <v>330 ml</v>
      </c>
      <c r="K563" s="0" t="str">
        <f aca="false">INDEX(Laporan!$A$1:$AZ$300,G563,3)</f>
        <v>Shift 2</v>
      </c>
      <c r="L563" s="0" t="n">
        <f aca="false">INDEX(Laporan!$A$1:$AZ$300,G563,4)</f>
        <v>2</v>
      </c>
      <c r="M563" s="1" t="n">
        <f aca="false">DATE(Pemetaan!$B$1,VALUE(RIGHT(INDEX(Laporan!$A$1:$AZ$300,F563+1,H563),2)),VALUE(LEFT(INDEX(Laporan!$A$1:$AZ$300,F563+1,H563),2)))</f>
        <v>46098</v>
      </c>
      <c r="N563" s="0" t="n">
        <f aca="false">INDEX(Laporan!$A$1:$AZ$300,G563,H563)</f>
        <v>3083</v>
      </c>
      <c r="O563" s="0" t="n">
        <f aca="false">IF(N563="","",IFERROR(VALUE(SUBSTITUTE(SUBSTITUTE(N563," btl",""),".","")),""))</f>
        <v>3083</v>
      </c>
      <c r="P563" s="0" t="str">
        <f aca="false">IF(B563="PRODUKSI","produced","reject")</f>
        <v>produced</v>
      </c>
    </row>
    <row r="564" customFormat="false" ht="15" hidden="false" customHeight="false" outlineLevel="0" collapsed="false">
      <c r="A564" s="0" t="n">
        <v>563</v>
      </c>
      <c r="B564" s="0" t="str">
        <f aca="false">IF(A564&lt;=36*25,"PRODUKSI","REJECT")</f>
        <v>PRODUKSI</v>
      </c>
      <c r="C564" s="0" t="n">
        <f aca="false">MOD(A564-1,Pemetaan!$B$3*Pemetaan!$B$4)</f>
        <v>562</v>
      </c>
      <c r="D564" s="0" t="n">
        <f aca="false">INT(C564/Pemetaan!$B$4)</f>
        <v>22</v>
      </c>
      <c r="E564" s="0" t="n">
        <f aca="false">MOD(C564,Pemetaan!$B$4)</f>
        <v>12</v>
      </c>
      <c r="F564" s="0" t="n">
        <f aca="false">IF(B564="PRODUKSI",Pemetaan!$B$5,Pemetaan!$B$6)</f>
        <v>5</v>
      </c>
      <c r="G564" s="0" t="n">
        <f aca="false">F564+2+D564</f>
        <v>29</v>
      </c>
      <c r="H564" s="0" t="n">
        <f aca="false">Pemetaan!$B$2+E564</f>
        <v>17</v>
      </c>
      <c r="I564" s="0" t="str">
        <f aca="false">INDEX(Laporan!$A$1:$AZ$300,G564,1)</f>
        <v>Mixing</v>
      </c>
      <c r="J564" s="0" t="str">
        <f aca="false">INDEX(Laporan!$A$1:$AZ$300,G564,2)</f>
        <v>330 ml</v>
      </c>
      <c r="K564" s="0" t="str">
        <f aca="false">INDEX(Laporan!$A$1:$AZ$300,G564,3)</f>
        <v>Shift 2</v>
      </c>
      <c r="L564" s="0" t="n">
        <f aca="false">INDEX(Laporan!$A$1:$AZ$300,G564,4)</f>
        <v>2</v>
      </c>
      <c r="M564" s="1" t="n">
        <f aca="false">DATE(Pemetaan!$B$1,VALUE(RIGHT(INDEX(Laporan!$A$1:$AZ$300,F564+1,H564),2)),VALUE(LEFT(INDEX(Laporan!$A$1:$AZ$300,F564+1,H564),2)))</f>
        <v>46099</v>
      </c>
      <c r="N564" s="0" t="n">
        <f aca="false">INDEX(Laporan!$A$1:$AZ$300,G564,H564)</f>
        <v>3513</v>
      </c>
      <c r="O564" s="0" t="n">
        <f aca="false">IF(N564="","",IFERROR(VALUE(SUBSTITUTE(SUBSTITUTE(N564," btl",""),".","")),""))</f>
        <v>3513</v>
      </c>
      <c r="P564" s="0" t="str">
        <f aca="false">IF(B564="PRODUKSI","produced","reject")</f>
        <v>produced</v>
      </c>
    </row>
    <row r="565" customFormat="false" ht="15" hidden="false" customHeight="false" outlineLevel="0" collapsed="false">
      <c r="A565" s="0" t="n">
        <v>564</v>
      </c>
      <c r="B565" s="0" t="str">
        <f aca="false">IF(A565&lt;=36*25,"PRODUKSI","REJECT")</f>
        <v>PRODUKSI</v>
      </c>
      <c r="C565" s="0" t="n">
        <f aca="false">MOD(A565-1,Pemetaan!$B$3*Pemetaan!$B$4)</f>
        <v>563</v>
      </c>
      <c r="D565" s="0" t="n">
        <f aca="false">INT(C565/Pemetaan!$B$4)</f>
        <v>22</v>
      </c>
      <c r="E565" s="0" t="n">
        <f aca="false">MOD(C565,Pemetaan!$B$4)</f>
        <v>13</v>
      </c>
      <c r="F565" s="0" t="n">
        <f aca="false">IF(B565="PRODUKSI",Pemetaan!$B$5,Pemetaan!$B$6)</f>
        <v>5</v>
      </c>
      <c r="G565" s="0" t="n">
        <f aca="false">F565+2+D565</f>
        <v>29</v>
      </c>
      <c r="H565" s="0" t="n">
        <f aca="false">Pemetaan!$B$2+E565</f>
        <v>18</v>
      </c>
      <c r="I565" s="0" t="str">
        <f aca="false">INDEX(Laporan!$A$1:$AZ$300,G565,1)</f>
        <v>Mixing</v>
      </c>
      <c r="J565" s="0" t="str">
        <f aca="false">INDEX(Laporan!$A$1:$AZ$300,G565,2)</f>
        <v>330 ml</v>
      </c>
      <c r="K565" s="0" t="str">
        <f aca="false">INDEX(Laporan!$A$1:$AZ$300,G565,3)</f>
        <v>Shift 2</v>
      </c>
      <c r="L565" s="0" t="n">
        <f aca="false">INDEX(Laporan!$A$1:$AZ$300,G565,4)</f>
        <v>2</v>
      </c>
      <c r="M565" s="1" t="n">
        <f aca="false">DATE(Pemetaan!$B$1,VALUE(RIGHT(INDEX(Laporan!$A$1:$AZ$300,F565+1,H565),2)),VALUE(LEFT(INDEX(Laporan!$A$1:$AZ$300,F565+1,H565),2)))</f>
        <v>46100</v>
      </c>
      <c r="N565" s="0" t="n">
        <f aca="false">INDEX(Laporan!$A$1:$AZ$300,G565,H565)</f>
        <v>2964</v>
      </c>
      <c r="O565" s="0" t="n">
        <f aca="false">IF(N565="","",IFERROR(VALUE(SUBSTITUTE(SUBSTITUTE(N565," btl",""),".","")),""))</f>
        <v>2964</v>
      </c>
      <c r="P565" s="0" t="str">
        <f aca="false">IF(B565="PRODUKSI","produced","reject")</f>
        <v>produced</v>
      </c>
    </row>
    <row r="566" customFormat="false" ht="15" hidden="false" customHeight="false" outlineLevel="0" collapsed="false">
      <c r="A566" s="0" t="n">
        <v>565</v>
      </c>
      <c r="B566" s="0" t="str">
        <f aca="false">IF(A566&lt;=36*25,"PRODUKSI","REJECT")</f>
        <v>PRODUKSI</v>
      </c>
      <c r="C566" s="0" t="n">
        <f aca="false">MOD(A566-1,Pemetaan!$B$3*Pemetaan!$B$4)</f>
        <v>564</v>
      </c>
      <c r="D566" s="0" t="n">
        <f aca="false">INT(C566/Pemetaan!$B$4)</f>
        <v>22</v>
      </c>
      <c r="E566" s="0" t="n">
        <f aca="false">MOD(C566,Pemetaan!$B$4)</f>
        <v>14</v>
      </c>
      <c r="F566" s="0" t="n">
        <f aca="false">IF(B566="PRODUKSI",Pemetaan!$B$5,Pemetaan!$B$6)</f>
        <v>5</v>
      </c>
      <c r="G566" s="0" t="n">
        <f aca="false">F566+2+D566</f>
        <v>29</v>
      </c>
      <c r="H566" s="0" t="n">
        <f aca="false">Pemetaan!$B$2+E566</f>
        <v>19</v>
      </c>
      <c r="I566" s="0" t="str">
        <f aca="false">INDEX(Laporan!$A$1:$AZ$300,G566,1)</f>
        <v>Mixing</v>
      </c>
      <c r="J566" s="0" t="str">
        <f aca="false">INDEX(Laporan!$A$1:$AZ$300,G566,2)</f>
        <v>330 ml</v>
      </c>
      <c r="K566" s="0" t="str">
        <f aca="false">INDEX(Laporan!$A$1:$AZ$300,G566,3)</f>
        <v>Shift 2</v>
      </c>
      <c r="L566" s="0" t="n">
        <f aca="false">INDEX(Laporan!$A$1:$AZ$300,G566,4)</f>
        <v>2</v>
      </c>
      <c r="M566" s="1" t="n">
        <f aca="false">DATE(Pemetaan!$B$1,VALUE(RIGHT(INDEX(Laporan!$A$1:$AZ$300,F566+1,H566),2)),VALUE(LEFT(INDEX(Laporan!$A$1:$AZ$300,F566+1,H566),2)))</f>
        <v>46101</v>
      </c>
      <c r="N566" s="0" t="n">
        <f aca="false">INDEX(Laporan!$A$1:$AZ$300,G566,H566)</f>
        <v>3190</v>
      </c>
      <c r="O566" s="0" t="n">
        <f aca="false">IF(N566="","",IFERROR(VALUE(SUBSTITUTE(SUBSTITUTE(N566," btl",""),".","")),""))</f>
        <v>3190</v>
      </c>
      <c r="P566" s="0" t="str">
        <f aca="false">IF(B566="PRODUKSI","produced","reject")</f>
        <v>produced</v>
      </c>
    </row>
    <row r="567" customFormat="false" ht="15" hidden="false" customHeight="false" outlineLevel="0" collapsed="false">
      <c r="A567" s="0" t="n">
        <v>566</v>
      </c>
      <c r="B567" s="0" t="str">
        <f aca="false">IF(A567&lt;=36*25,"PRODUKSI","REJECT")</f>
        <v>PRODUKSI</v>
      </c>
      <c r="C567" s="0" t="n">
        <f aca="false">MOD(A567-1,Pemetaan!$B$3*Pemetaan!$B$4)</f>
        <v>565</v>
      </c>
      <c r="D567" s="0" t="n">
        <f aca="false">INT(C567/Pemetaan!$B$4)</f>
        <v>22</v>
      </c>
      <c r="E567" s="0" t="n">
        <f aca="false">MOD(C567,Pemetaan!$B$4)</f>
        <v>15</v>
      </c>
      <c r="F567" s="0" t="n">
        <f aca="false">IF(B567="PRODUKSI",Pemetaan!$B$5,Pemetaan!$B$6)</f>
        <v>5</v>
      </c>
      <c r="G567" s="0" t="n">
        <f aca="false">F567+2+D567</f>
        <v>29</v>
      </c>
      <c r="H567" s="0" t="n">
        <f aca="false">Pemetaan!$B$2+E567</f>
        <v>20</v>
      </c>
      <c r="I567" s="0" t="str">
        <f aca="false">INDEX(Laporan!$A$1:$AZ$300,G567,1)</f>
        <v>Mixing</v>
      </c>
      <c r="J567" s="0" t="str">
        <f aca="false">INDEX(Laporan!$A$1:$AZ$300,G567,2)</f>
        <v>330 ml</v>
      </c>
      <c r="K567" s="0" t="str">
        <f aca="false">INDEX(Laporan!$A$1:$AZ$300,G567,3)</f>
        <v>Shift 2</v>
      </c>
      <c r="L567" s="0" t="n">
        <f aca="false">INDEX(Laporan!$A$1:$AZ$300,G567,4)</f>
        <v>2</v>
      </c>
      <c r="M567" s="1" t="n">
        <f aca="false">DATE(Pemetaan!$B$1,VALUE(RIGHT(INDEX(Laporan!$A$1:$AZ$300,F567+1,H567),2)),VALUE(LEFT(INDEX(Laporan!$A$1:$AZ$300,F567+1,H567),2)))</f>
        <v>46104</v>
      </c>
      <c r="N567" s="0" t="n">
        <f aca="false">INDEX(Laporan!$A$1:$AZ$300,G567,H567)</f>
        <v>2901</v>
      </c>
      <c r="O567" s="0" t="n">
        <f aca="false">IF(N567="","",IFERROR(VALUE(SUBSTITUTE(SUBSTITUTE(N567," btl",""),".","")),""))</f>
        <v>2901</v>
      </c>
      <c r="P567" s="0" t="str">
        <f aca="false">IF(B567="PRODUKSI","produced","reject")</f>
        <v>produced</v>
      </c>
    </row>
    <row r="568" customFormat="false" ht="15" hidden="false" customHeight="false" outlineLevel="0" collapsed="false">
      <c r="A568" s="0" t="n">
        <v>567</v>
      </c>
      <c r="B568" s="0" t="str">
        <f aca="false">IF(A568&lt;=36*25,"PRODUKSI","REJECT")</f>
        <v>PRODUKSI</v>
      </c>
      <c r="C568" s="0" t="n">
        <f aca="false">MOD(A568-1,Pemetaan!$B$3*Pemetaan!$B$4)</f>
        <v>566</v>
      </c>
      <c r="D568" s="0" t="n">
        <f aca="false">INT(C568/Pemetaan!$B$4)</f>
        <v>22</v>
      </c>
      <c r="E568" s="0" t="n">
        <f aca="false">MOD(C568,Pemetaan!$B$4)</f>
        <v>16</v>
      </c>
      <c r="F568" s="0" t="n">
        <f aca="false">IF(B568="PRODUKSI",Pemetaan!$B$5,Pemetaan!$B$6)</f>
        <v>5</v>
      </c>
      <c r="G568" s="0" t="n">
        <f aca="false">F568+2+D568</f>
        <v>29</v>
      </c>
      <c r="H568" s="0" t="n">
        <f aca="false">Pemetaan!$B$2+E568</f>
        <v>21</v>
      </c>
      <c r="I568" s="0" t="str">
        <f aca="false">INDEX(Laporan!$A$1:$AZ$300,G568,1)</f>
        <v>Mixing</v>
      </c>
      <c r="J568" s="0" t="str">
        <f aca="false">INDEX(Laporan!$A$1:$AZ$300,G568,2)</f>
        <v>330 ml</v>
      </c>
      <c r="K568" s="0" t="str">
        <f aca="false">INDEX(Laporan!$A$1:$AZ$300,G568,3)</f>
        <v>Shift 2</v>
      </c>
      <c r="L568" s="0" t="n">
        <f aca="false">INDEX(Laporan!$A$1:$AZ$300,G568,4)</f>
        <v>2</v>
      </c>
      <c r="M568" s="1" t="n">
        <f aca="false">DATE(Pemetaan!$B$1,VALUE(RIGHT(INDEX(Laporan!$A$1:$AZ$300,F568+1,H568),2)),VALUE(LEFT(INDEX(Laporan!$A$1:$AZ$300,F568+1,H568),2)))</f>
        <v>46105</v>
      </c>
      <c r="N568" s="0" t="n">
        <f aca="false">INDEX(Laporan!$A$1:$AZ$300,G568,H568)</f>
        <v>2674</v>
      </c>
      <c r="O568" s="0" t="n">
        <f aca="false">IF(N568="","",IFERROR(VALUE(SUBSTITUTE(SUBSTITUTE(N568," btl",""),".","")),""))</f>
        <v>2674</v>
      </c>
      <c r="P568" s="0" t="str">
        <f aca="false">IF(B568="PRODUKSI","produced","reject")</f>
        <v>produced</v>
      </c>
    </row>
    <row r="569" customFormat="false" ht="15" hidden="false" customHeight="false" outlineLevel="0" collapsed="false">
      <c r="A569" s="0" t="n">
        <v>568</v>
      </c>
      <c r="B569" s="0" t="str">
        <f aca="false">IF(A569&lt;=36*25,"PRODUKSI","REJECT")</f>
        <v>PRODUKSI</v>
      </c>
      <c r="C569" s="0" t="n">
        <f aca="false">MOD(A569-1,Pemetaan!$B$3*Pemetaan!$B$4)</f>
        <v>567</v>
      </c>
      <c r="D569" s="0" t="n">
        <f aca="false">INT(C569/Pemetaan!$B$4)</f>
        <v>22</v>
      </c>
      <c r="E569" s="0" t="n">
        <f aca="false">MOD(C569,Pemetaan!$B$4)</f>
        <v>17</v>
      </c>
      <c r="F569" s="0" t="n">
        <f aca="false">IF(B569="PRODUKSI",Pemetaan!$B$5,Pemetaan!$B$6)</f>
        <v>5</v>
      </c>
      <c r="G569" s="0" t="n">
        <f aca="false">F569+2+D569</f>
        <v>29</v>
      </c>
      <c r="H569" s="0" t="n">
        <f aca="false">Pemetaan!$B$2+E569</f>
        <v>22</v>
      </c>
      <c r="I569" s="0" t="str">
        <f aca="false">INDEX(Laporan!$A$1:$AZ$300,G569,1)</f>
        <v>Mixing</v>
      </c>
      <c r="J569" s="0" t="str">
        <f aca="false">INDEX(Laporan!$A$1:$AZ$300,G569,2)</f>
        <v>330 ml</v>
      </c>
      <c r="K569" s="0" t="str">
        <f aca="false">INDEX(Laporan!$A$1:$AZ$300,G569,3)</f>
        <v>Shift 2</v>
      </c>
      <c r="L569" s="0" t="n">
        <f aca="false">INDEX(Laporan!$A$1:$AZ$300,G569,4)</f>
        <v>2</v>
      </c>
      <c r="M569" s="1" t="n">
        <f aca="false">DATE(Pemetaan!$B$1,VALUE(RIGHT(INDEX(Laporan!$A$1:$AZ$300,F569+1,H569),2)),VALUE(LEFT(INDEX(Laporan!$A$1:$AZ$300,F569+1,H569),2)))</f>
        <v>46106</v>
      </c>
      <c r="N569" s="0" t="n">
        <f aca="false">INDEX(Laporan!$A$1:$AZ$300,G569,H569)</f>
        <v>3257</v>
      </c>
      <c r="O569" s="0" t="n">
        <f aca="false">IF(N569="","",IFERROR(VALUE(SUBSTITUTE(SUBSTITUTE(N569," btl",""),".","")),""))</f>
        <v>3257</v>
      </c>
      <c r="P569" s="0" t="str">
        <f aca="false">IF(B569="PRODUKSI","produced","reject")</f>
        <v>produced</v>
      </c>
    </row>
    <row r="570" customFormat="false" ht="15" hidden="false" customHeight="false" outlineLevel="0" collapsed="false">
      <c r="A570" s="0" t="n">
        <v>569</v>
      </c>
      <c r="B570" s="0" t="str">
        <f aca="false">IF(A570&lt;=36*25,"PRODUKSI","REJECT")</f>
        <v>PRODUKSI</v>
      </c>
      <c r="C570" s="0" t="n">
        <f aca="false">MOD(A570-1,Pemetaan!$B$3*Pemetaan!$B$4)</f>
        <v>568</v>
      </c>
      <c r="D570" s="0" t="n">
        <f aca="false">INT(C570/Pemetaan!$B$4)</f>
        <v>22</v>
      </c>
      <c r="E570" s="0" t="n">
        <f aca="false">MOD(C570,Pemetaan!$B$4)</f>
        <v>18</v>
      </c>
      <c r="F570" s="0" t="n">
        <f aca="false">IF(B570="PRODUKSI",Pemetaan!$B$5,Pemetaan!$B$6)</f>
        <v>5</v>
      </c>
      <c r="G570" s="0" t="n">
        <f aca="false">F570+2+D570</f>
        <v>29</v>
      </c>
      <c r="H570" s="0" t="n">
        <f aca="false">Pemetaan!$B$2+E570</f>
        <v>23</v>
      </c>
      <c r="I570" s="0" t="str">
        <f aca="false">INDEX(Laporan!$A$1:$AZ$300,G570,1)</f>
        <v>Mixing</v>
      </c>
      <c r="J570" s="0" t="str">
        <f aca="false">INDEX(Laporan!$A$1:$AZ$300,G570,2)</f>
        <v>330 ml</v>
      </c>
      <c r="K570" s="0" t="str">
        <f aca="false">INDEX(Laporan!$A$1:$AZ$300,G570,3)</f>
        <v>Shift 2</v>
      </c>
      <c r="L570" s="0" t="n">
        <f aca="false">INDEX(Laporan!$A$1:$AZ$300,G570,4)</f>
        <v>2</v>
      </c>
      <c r="M570" s="1" t="n">
        <f aca="false">DATE(Pemetaan!$B$1,VALUE(RIGHT(INDEX(Laporan!$A$1:$AZ$300,F570+1,H570),2)),VALUE(LEFT(INDEX(Laporan!$A$1:$AZ$300,F570+1,H570),2)))</f>
        <v>46107</v>
      </c>
      <c r="N570" s="0" t="n">
        <f aca="false">INDEX(Laporan!$A$1:$AZ$300,G570,H570)</f>
        <v>3249</v>
      </c>
      <c r="O570" s="0" t="n">
        <f aca="false">IF(N570="","",IFERROR(VALUE(SUBSTITUTE(SUBSTITUTE(N570," btl",""),".","")),""))</f>
        <v>3249</v>
      </c>
      <c r="P570" s="0" t="str">
        <f aca="false">IF(B570="PRODUKSI","produced","reject")</f>
        <v>produced</v>
      </c>
    </row>
    <row r="571" customFormat="false" ht="15" hidden="false" customHeight="false" outlineLevel="0" collapsed="false">
      <c r="A571" s="0" t="n">
        <v>570</v>
      </c>
      <c r="B571" s="0" t="str">
        <f aca="false">IF(A571&lt;=36*25,"PRODUKSI","REJECT")</f>
        <v>PRODUKSI</v>
      </c>
      <c r="C571" s="0" t="n">
        <f aca="false">MOD(A571-1,Pemetaan!$B$3*Pemetaan!$B$4)</f>
        <v>569</v>
      </c>
      <c r="D571" s="0" t="n">
        <f aca="false">INT(C571/Pemetaan!$B$4)</f>
        <v>22</v>
      </c>
      <c r="E571" s="0" t="n">
        <f aca="false">MOD(C571,Pemetaan!$B$4)</f>
        <v>19</v>
      </c>
      <c r="F571" s="0" t="n">
        <f aca="false">IF(B571="PRODUKSI",Pemetaan!$B$5,Pemetaan!$B$6)</f>
        <v>5</v>
      </c>
      <c r="G571" s="0" t="n">
        <f aca="false">F571+2+D571</f>
        <v>29</v>
      </c>
      <c r="H571" s="0" t="n">
        <f aca="false">Pemetaan!$B$2+E571</f>
        <v>24</v>
      </c>
      <c r="I571" s="0" t="str">
        <f aca="false">INDEX(Laporan!$A$1:$AZ$300,G571,1)</f>
        <v>Mixing</v>
      </c>
      <c r="J571" s="0" t="str">
        <f aca="false">INDEX(Laporan!$A$1:$AZ$300,G571,2)</f>
        <v>330 ml</v>
      </c>
      <c r="K571" s="0" t="str">
        <f aca="false">INDEX(Laporan!$A$1:$AZ$300,G571,3)</f>
        <v>Shift 2</v>
      </c>
      <c r="L571" s="0" t="n">
        <f aca="false">INDEX(Laporan!$A$1:$AZ$300,G571,4)</f>
        <v>2</v>
      </c>
      <c r="M571" s="1" t="n">
        <f aca="false">DATE(Pemetaan!$B$1,VALUE(RIGHT(INDEX(Laporan!$A$1:$AZ$300,F571+1,H571),2)),VALUE(LEFT(INDEX(Laporan!$A$1:$AZ$300,F571+1,H571),2)))</f>
        <v>46108</v>
      </c>
      <c r="N571" s="0" t="n">
        <f aca="false">INDEX(Laporan!$A$1:$AZ$300,G571,H571)</f>
        <v>3397</v>
      </c>
      <c r="O571" s="0" t="n">
        <f aca="false">IF(N571="","",IFERROR(VALUE(SUBSTITUTE(SUBSTITUTE(N571," btl",""),".","")),""))</f>
        <v>3397</v>
      </c>
      <c r="P571" s="0" t="str">
        <f aca="false">IF(B571="PRODUKSI","produced","reject")</f>
        <v>produced</v>
      </c>
    </row>
    <row r="572" customFormat="false" ht="15" hidden="false" customHeight="false" outlineLevel="0" collapsed="false">
      <c r="A572" s="0" t="n">
        <v>571</v>
      </c>
      <c r="B572" s="0" t="str">
        <f aca="false">IF(A572&lt;=36*25,"PRODUKSI","REJECT")</f>
        <v>PRODUKSI</v>
      </c>
      <c r="C572" s="0" t="n">
        <f aca="false">MOD(A572-1,Pemetaan!$B$3*Pemetaan!$B$4)</f>
        <v>570</v>
      </c>
      <c r="D572" s="0" t="n">
        <f aca="false">INT(C572/Pemetaan!$B$4)</f>
        <v>22</v>
      </c>
      <c r="E572" s="0" t="n">
        <f aca="false">MOD(C572,Pemetaan!$B$4)</f>
        <v>20</v>
      </c>
      <c r="F572" s="0" t="n">
        <f aca="false">IF(B572="PRODUKSI",Pemetaan!$B$5,Pemetaan!$B$6)</f>
        <v>5</v>
      </c>
      <c r="G572" s="0" t="n">
        <f aca="false">F572+2+D572</f>
        <v>29</v>
      </c>
      <c r="H572" s="0" t="n">
        <f aca="false">Pemetaan!$B$2+E572</f>
        <v>25</v>
      </c>
      <c r="I572" s="0" t="str">
        <f aca="false">INDEX(Laporan!$A$1:$AZ$300,G572,1)</f>
        <v>Mixing</v>
      </c>
      <c r="J572" s="0" t="str">
        <f aca="false">INDEX(Laporan!$A$1:$AZ$300,G572,2)</f>
        <v>330 ml</v>
      </c>
      <c r="K572" s="0" t="str">
        <f aca="false">INDEX(Laporan!$A$1:$AZ$300,G572,3)</f>
        <v>Shift 2</v>
      </c>
      <c r="L572" s="0" t="n">
        <f aca="false">INDEX(Laporan!$A$1:$AZ$300,G572,4)</f>
        <v>2</v>
      </c>
      <c r="M572" s="1" t="n">
        <f aca="false">DATE(Pemetaan!$B$1,VALUE(RIGHT(INDEX(Laporan!$A$1:$AZ$300,F572+1,H572),2)),VALUE(LEFT(INDEX(Laporan!$A$1:$AZ$300,F572+1,H572),2)))</f>
        <v>46111</v>
      </c>
      <c r="N572" s="0" t="n">
        <f aca="false">INDEX(Laporan!$A$1:$AZ$300,G572,H572)</f>
        <v>2801</v>
      </c>
      <c r="O572" s="0" t="n">
        <f aca="false">IF(N572="","",IFERROR(VALUE(SUBSTITUTE(SUBSTITUTE(N572," btl",""),".","")),""))</f>
        <v>2801</v>
      </c>
      <c r="P572" s="0" t="str">
        <f aca="false">IF(B572="PRODUKSI","produced","reject")</f>
        <v>produced</v>
      </c>
    </row>
    <row r="573" customFormat="false" ht="15" hidden="false" customHeight="false" outlineLevel="0" collapsed="false">
      <c r="A573" s="0" t="n">
        <v>572</v>
      </c>
      <c r="B573" s="0" t="str">
        <f aca="false">IF(A573&lt;=36*25,"PRODUKSI","REJECT")</f>
        <v>PRODUKSI</v>
      </c>
      <c r="C573" s="0" t="n">
        <f aca="false">MOD(A573-1,Pemetaan!$B$3*Pemetaan!$B$4)</f>
        <v>571</v>
      </c>
      <c r="D573" s="0" t="n">
        <f aca="false">INT(C573/Pemetaan!$B$4)</f>
        <v>22</v>
      </c>
      <c r="E573" s="0" t="n">
        <f aca="false">MOD(C573,Pemetaan!$B$4)</f>
        <v>21</v>
      </c>
      <c r="F573" s="0" t="n">
        <f aca="false">IF(B573="PRODUKSI",Pemetaan!$B$5,Pemetaan!$B$6)</f>
        <v>5</v>
      </c>
      <c r="G573" s="0" t="n">
        <f aca="false">F573+2+D573</f>
        <v>29</v>
      </c>
      <c r="H573" s="0" t="n">
        <f aca="false">Pemetaan!$B$2+E573</f>
        <v>26</v>
      </c>
      <c r="I573" s="0" t="str">
        <f aca="false">INDEX(Laporan!$A$1:$AZ$300,G573,1)</f>
        <v>Mixing</v>
      </c>
      <c r="J573" s="0" t="str">
        <f aca="false">INDEX(Laporan!$A$1:$AZ$300,G573,2)</f>
        <v>330 ml</v>
      </c>
      <c r="K573" s="0" t="str">
        <f aca="false">INDEX(Laporan!$A$1:$AZ$300,G573,3)</f>
        <v>Shift 2</v>
      </c>
      <c r="L573" s="0" t="n">
        <f aca="false">INDEX(Laporan!$A$1:$AZ$300,G573,4)</f>
        <v>2</v>
      </c>
      <c r="M573" s="1" t="n">
        <f aca="false">DATE(Pemetaan!$B$1,VALUE(RIGHT(INDEX(Laporan!$A$1:$AZ$300,F573+1,H573),2)),VALUE(LEFT(INDEX(Laporan!$A$1:$AZ$300,F573+1,H573),2)))</f>
        <v>46112</v>
      </c>
      <c r="N573" s="0" t="n">
        <f aca="false">INDEX(Laporan!$A$1:$AZ$300,G573,H573)</f>
        <v>3246</v>
      </c>
      <c r="O573" s="0" t="n">
        <f aca="false">IF(N573="","",IFERROR(VALUE(SUBSTITUTE(SUBSTITUTE(N573," btl",""),".","")),""))</f>
        <v>3246</v>
      </c>
      <c r="P573" s="0" t="str">
        <f aca="false">IF(B573="PRODUKSI","produced","reject")</f>
        <v>produced</v>
      </c>
    </row>
    <row r="574" customFormat="false" ht="15" hidden="false" customHeight="false" outlineLevel="0" collapsed="false">
      <c r="A574" s="0" t="n">
        <v>573</v>
      </c>
      <c r="B574" s="0" t="str">
        <f aca="false">IF(A574&lt;=36*25,"PRODUKSI","REJECT")</f>
        <v>PRODUKSI</v>
      </c>
      <c r="C574" s="0" t="n">
        <f aca="false">MOD(A574-1,Pemetaan!$B$3*Pemetaan!$B$4)</f>
        <v>572</v>
      </c>
      <c r="D574" s="0" t="n">
        <f aca="false">INT(C574/Pemetaan!$B$4)</f>
        <v>22</v>
      </c>
      <c r="E574" s="0" t="n">
        <f aca="false">MOD(C574,Pemetaan!$B$4)</f>
        <v>22</v>
      </c>
      <c r="F574" s="0" t="n">
        <f aca="false">IF(B574="PRODUKSI",Pemetaan!$B$5,Pemetaan!$B$6)</f>
        <v>5</v>
      </c>
      <c r="G574" s="0" t="n">
        <f aca="false">F574+2+D574</f>
        <v>29</v>
      </c>
      <c r="H574" s="0" t="n">
        <f aca="false">Pemetaan!$B$2+E574</f>
        <v>27</v>
      </c>
      <c r="I574" s="0" t="str">
        <f aca="false">INDEX(Laporan!$A$1:$AZ$300,G574,1)</f>
        <v>Mixing</v>
      </c>
      <c r="J574" s="0" t="str">
        <f aca="false">INDEX(Laporan!$A$1:$AZ$300,G574,2)</f>
        <v>330 ml</v>
      </c>
      <c r="K574" s="0" t="str">
        <f aca="false">INDEX(Laporan!$A$1:$AZ$300,G574,3)</f>
        <v>Shift 2</v>
      </c>
      <c r="L574" s="0" t="n">
        <f aca="false">INDEX(Laporan!$A$1:$AZ$300,G574,4)</f>
        <v>2</v>
      </c>
      <c r="M574" s="1" t="n">
        <f aca="false">DATE(Pemetaan!$B$1,VALUE(RIGHT(INDEX(Laporan!$A$1:$AZ$300,F574+1,H574),2)),VALUE(LEFT(INDEX(Laporan!$A$1:$AZ$300,F574+1,H574),2)))</f>
        <v>46113</v>
      </c>
      <c r="N574" s="0" t="n">
        <f aca="false">INDEX(Laporan!$A$1:$AZ$300,G574,H574)</f>
        <v>2724</v>
      </c>
      <c r="O574" s="0" t="n">
        <f aca="false">IF(N574="","",IFERROR(VALUE(SUBSTITUTE(SUBSTITUTE(N574," btl",""),".","")),""))</f>
        <v>2724</v>
      </c>
      <c r="P574" s="0" t="str">
        <f aca="false">IF(B574="PRODUKSI","produced","reject")</f>
        <v>produced</v>
      </c>
    </row>
    <row r="575" customFormat="false" ht="15" hidden="false" customHeight="false" outlineLevel="0" collapsed="false">
      <c r="A575" s="0" t="n">
        <v>574</v>
      </c>
      <c r="B575" s="0" t="str">
        <f aca="false">IF(A575&lt;=36*25,"PRODUKSI","REJECT")</f>
        <v>PRODUKSI</v>
      </c>
      <c r="C575" s="0" t="n">
        <f aca="false">MOD(A575-1,Pemetaan!$B$3*Pemetaan!$B$4)</f>
        <v>573</v>
      </c>
      <c r="D575" s="0" t="n">
        <f aca="false">INT(C575/Pemetaan!$B$4)</f>
        <v>22</v>
      </c>
      <c r="E575" s="0" t="n">
        <f aca="false">MOD(C575,Pemetaan!$B$4)</f>
        <v>23</v>
      </c>
      <c r="F575" s="0" t="n">
        <f aca="false">IF(B575="PRODUKSI",Pemetaan!$B$5,Pemetaan!$B$6)</f>
        <v>5</v>
      </c>
      <c r="G575" s="0" t="n">
        <f aca="false">F575+2+D575</f>
        <v>29</v>
      </c>
      <c r="H575" s="0" t="n">
        <f aca="false">Pemetaan!$B$2+E575</f>
        <v>28</v>
      </c>
      <c r="I575" s="0" t="str">
        <f aca="false">INDEX(Laporan!$A$1:$AZ$300,G575,1)</f>
        <v>Mixing</v>
      </c>
      <c r="J575" s="0" t="str">
        <f aca="false">INDEX(Laporan!$A$1:$AZ$300,G575,2)</f>
        <v>330 ml</v>
      </c>
      <c r="K575" s="0" t="str">
        <f aca="false">INDEX(Laporan!$A$1:$AZ$300,G575,3)</f>
        <v>Shift 2</v>
      </c>
      <c r="L575" s="0" t="n">
        <f aca="false">INDEX(Laporan!$A$1:$AZ$300,G575,4)</f>
        <v>2</v>
      </c>
      <c r="M575" s="1" t="n">
        <f aca="false">DATE(Pemetaan!$B$1,VALUE(RIGHT(INDEX(Laporan!$A$1:$AZ$300,F575+1,H575),2)),VALUE(LEFT(INDEX(Laporan!$A$1:$AZ$300,F575+1,H575),2)))</f>
        <v>46114</v>
      </c>
      <c r="N575" s="0" t="n">
        <f aca="false">INDEX(Laporan!$A$1:$AZ$300,G575,H575)</f>
        <v>3425</v>
      </c>
      <c r="O575" s="0" t="n">
        <f aca="false">IF(N575="","",IFERROR(VALUE(SUBSTITUTE(SUBSTITUTE(N575," btl",""),".","")),""))</f>
        <v>3425</v>
      </c>
      <c r="P575" s="0" t="str">
        <f aca="false">IF(B575="PRODUKSI","produced","reject")</f>
        <v>produced</v>
      </c>
    </row>
    <row r="576" customFormat="false" ht="15" hidden="false" customHeight="false" outlineLevel="0" collapsed="false">
      <c r="A576" s="0" t="n">
        <v>575</v>
      </c>
      <c r="B576" s="0" t="str">
        <f aca="false">IF(A576&lt;=36*25,"PRODUKSI","REJECT")</f>
        <v>PRODUKSI</v>
      </c>
      <c r="C576" s="0" t="n">
        <f aca="false">MOD(A576-1,Pemetaan!$B$3*Pemetaan!$B$4)</f>
        <v>574</v>
      </c>
      <c r="D576" s="0" t="n">
        <f aca="false">INT(C576/Pemetaan!$B$4)</f>
        <v>22</v>
      </c>
      <c r="E576" s="0" t="n">
        <f aca="false">MOD(C576,Pemetaan!$B$4)</f>
        <v>24</v>
      </c>
      <c r="F576" s="0" t="n">
        <f aca="false">IF(B576="PRODUKSI",Pemetaan!$B$5,Pemetaan!$B$6)</f>
        <v>5</v>
      </c>
      <c r="G576" s="0" t="n">
        <f aca="false">F576+2+D576</f>
        <v>29</v>
      </c>
      <c r="H576" s="0" t="n">
        <f aca="false">Pemetaan!$B$2+E576</f>
        <v>29</v>
      </c>
      <c r="I576" s="0" t="str">
        <f aca="false">INDEX(Laporan!$A$1:$AZ$300,G576,1)</f>
        <v>Mixing</v>
      </c>
      <c r="J576" s="0" t="str">
        <f aca="false">INDEX(Laporan!$A$1:$AZ$300,G576,2)</f>
        <v>330 ml</v>
      </c>
      <c r="K576" s="0" t="str">
        <f aca="false">INDEX(Laporan!$A$1:$AZ$300,G576,3)</f>
        <v>Shift 2</v>
      </c>
      <c r="L576" s="0" t="n">
        <f aca="false">INDEX(Laporan!$A$1:$AZ$300,G576,4)</f>
        <v>2</v>
      </c>
      <c r="M576" s="1" t="n">
        <f aca="false">DATE(Pemetaan!$B$1,VALUE(RIGHT(INDEX(Laporan!$A$1:$AZ$300,F576+1,H576),2)),VALUE(LEFT(INDEX(Laporan!$A$1:$AZ$300,F576+1,H576),2)))</f>
        <v>46115</v>
      </c>
      <c r="N576" s="0" t="n">
        <f aca="false">INDEX(Laporan!$A$1:$AZ$300,G576,H576)</f>
        <v>3010</v>
      </c>
      <c r="O576" s="0" t="n">
        <f aca="false">IF(N576="","",IFERROR(VALUE(SUBSTITUTE(SUBSTITUTE(N576," btl",""),".","")),""))</f>
        <v>3010</v>
      </c>
      <c r="P576" s="0" t="str">
        <f aca="false">IF(B576="PRODUKSI","produced","reject")</f>
        <v>produced</v>
      </c>
    </row>
    <row r="577" customFormat="false" ht="15" hidden="false" customHeight="false" outlineLevel="0" collapsed="false">
      <c r="A577" s="0" t="n">
        <v>576</v>
      </c>
      <c r="B577" s="0" t="str">
        <f aca="false">IF(A577&lt;=36*25,"PRODUKSI","REJECT")</f>
        <v>PRODUKSI</v>
      </c>
      <c r="C577" s="0" t="n">
        <f aca="false">MOD(A577-1,Pemetaan!$B$3*Pemetaan!$B$4)</f>
        <v>575</v>
      </c>
      <c r="D577" s="0" t="n">
        <f aca="false">INT(C577/Pemetaan!$B$4)</f>
        <v>23</v>
      </c>
      <c r="E577" s="0" t="n">
        <f aca="false">MOD(C577,Pemetaan!$B$4)</f>
        <v>0</v>
      </c>
      <c r="F577" s="0" t="n">
        <f aca="false">IF(B577="PRODUKSI",Pemetaan!$B$5,Pemetaan!$B$6)</f>
        <v>5</v>
      </c>
      <c r="G577" s="0" t="n">
        <f aca="false">F577+2+D577</f>
        <v>30</v>
      </c>
      <c r="H577" s="0" t="n">
        <f aca="false">Pemetaan!$B$2+E577</f>
        <v>5</v>
      </c>
      <c r="I577" s="0" t="str">
        <f aca="false">INDEX(Laporan!$A$1:$AZ$300,G577,1)</f>
        <v>Mixing</v>
      </c>
      <c r="J577" s="0" t="str">
        <f aca="false">INDEX(Laporan!$A$1:$AZ$300,G577,2)</f>
        <v>330 ml</v>
      </c>
      <c r="K577" s="0" t="str">
        <f aca="false">INDEX(Laporan!$A$1:$AZ$300,G577,3)</f>
        <v>Shift 2</v>
      </c>
      <c r="L577" s="0" t="n">
        <f aca="false">INDEX(Laporan!$A$1:$AZ$300,G577,4)</f>
        <v>3</v>
      </c>
      <c r="M577" s="1" t="n">
        <f aca="false">DATE(Pemetaan!$B$1,VALUE(RIGHT(INDEX(Laporan!$A$1:$AZ$300,F577+1,H577),2)),VALUE(LEFT(INDEX(Laporan!$A$1:$AZ$300,F577+1,H577),2)))</f>
        <v>46083</v>
      </c>
      <c r="N577" s="0" t="n">
        <f aca="false">INDEX(Laporan!$A$1:$AZ$300,G577,H577)</f>
        <v>3569</v>
      </c>
      <c r="O577" s="0" t="n">
        <f aca="false">IF(N577="","",IFERROR(VALUE(SUBSTITUTE(SUBSTITUTE(N577," btl",""),".","")),""))</f>
        <v>3569</v>
      </c>
      <c r="P577" s="0" t="str">
        <f aca="false">IF(B577="PRODUKSI","produced","reject")</f>
        <v>produced</v>
      </c>
    </row>
    <row r="578" customFormat="false" ht="15" hidden="false" customHeight="false" outlineLevel="0" collapsed="false">
      <c r="A578" s="0" t="n">
        <v>577</v>
      </c>
      <c r="B578" s="0" t="str">
        <f aca="false">IF(A578&lt;=36*25,"PRODUKSI","REJECT")</f>
        <v>PRODUKSI</v>
      </c>
      <c r="C578" s="0" t="n">
        <f aca="false">MOD(A578-1,Pemetaan!$B$3*Pemetaan!$B$4)</f>
        <v>576</v>
      </c>
      <c r="D578" s="0" t="n">
        <f aca="false">INT(C578/Pemetaan!$B$4)</f>
        <v>23</v>
      </c>
      <c r="E578" s="0" t="n">
        <f aca="false">MOD(C578,Pemetaan!$B$4)</f>
        <v>1</v>
      </c>
      <c r="F578" s="0" t="n">
        <f aca="false">IF(B578="PRODUKSI",Pemetaan!$B$5,Pemetaan!$B$6)</f>
        <v>5</v>
      </c>
      <c r="G578" s="0" t="n">
        <f aca="false">F578+2+D578</f>
        <v>30</v>
      </c>
      <c r="H578" s="0" t="n">
        <f aca="false">Pemetaan!$B$2+E578</f>
        <v>6</v>
      </c>
      <c r="I578" s="0" t="str">
        <f aca="false">INDEX(Laporan!$A$1:$AZ$300,G578,1)</f>
        <v>Mixing</v>
      </c>
      <c r="J578" s="0" t="str">
        <f aca="false">INDEX(Laporan!$A$1:$AZ$300,G578,2)</f>
        <v>330 ml</v>
      </c>
      <c r="K578" s="0" t="str">
        <f aca="false">INDEX(Laporan!$A$1:$AZ$300,G578,3)</f>
        <v>Shift 2</v>
      </c>
      <c r="L578" s="0" t="n">
        <f aca="false">INDEX(Laporan!$A$1:$AZ$300,G578,4)</f>
        <v>3</v>
      </c>
      <c r="M578" s="1" t="n">
        <f aca="false">DATE(Pemetaan!$B$1,VALUE(RIGHT(INDEX(Laporan!$A$1:$AZ$300,F578+1,H578),2)),VALUE(LEFT(INDEX(Laporan!$A$1:$AZ$300,F578+1,H578),2)))</f>
        <v>46084</v>
      </c>
      <c r="N578" s="0" t="n">
        <f aca="false">INDEX(Laporan!$A$1:$AZ$300,G578,H578)</f>
        <v>3200</v>
      </c>
      <c r="O578" s="0" t="n">
        <f aca="false">IF(N578="","",IFERROR(VALUE(SUBSTITUTE(SUBSTITUTE(N578," btl",""),".","")),""))</f>
        <v>3200</v>
      </c>
      <c r="P578" s="0" t="str">
        <f aca="false">IF(B578="PRODUKSI","produced","reject")</f>
        <v>produced</v>
      </c>
    </row>
    <row r="579" customFormat="false" ht="15" hidden="false" customHeight="false" outlineLevel="0" collapsed="false">
      <c r="A579" s="0" t="n">
        <v>578</v>
      </c>
      <c r="B579" s="0" t="str">
        <f aca="false">IF(A579&lt;=36*25,"PRODUKSI","REJECT")</f>
        <v>PRODUKSI</v>
      </c>
      <c r="C579" s="0" t="n">
        <f aca="false">MOD(A579-1,Pemetaan!$B$3*Pemetaan!$B$4)</f>
        <v>577</v>
      </c>
      <c r="D579" s="0" t="n">
        <f aca="false">INT(C579/Pemetaan!$B$4)</f>
        <v>23</v>
      </c>
      <c r="E579" s="0" t="n">
        <f aca="false">MOD(C579,Pemetaan!$B$4)</f>
        <v>2</v>
      </c>
      <c r="F579" s="0" t="n">
        <f aca="false">IF(B579="PRODUKSI",Pemetaan!$B$5,Pemetaan!$B$6)</f>
        <v>5</v>
      </c>
      <c r="G579" s="0" t="n">
        <f aca="false">F579+2+D579</f>
        <v>30</v>
      </c>
      <c r="H579" s="0" t="n">
        <f aca="false">Pemetaan!$B$2+E579</f>
        <v>7</v>
      </c>
      <c r="I579" s="0" t="str">
        <f aca="false">INDEX(Laporan!$A$1:$AZ$300,G579,1)</f>
        <v>Mixing</v>
      </c>
      <c r="J579" s="0" t="str">
        <f aca="false">INDEX(Laporan!$A$1:$AZ$300,G579,2)</f>
        <v>330 ml</v>
      </c>
      <c r="K579" s="0" t="str">
        <f aca="false">INDEX(Laporan!$A$1:$AZ$300,G579,3)</f>
        <v>Shift 2</v>
      </c>
      <c r="L579" s="0" t="n">
        <f aca="false">INDEX(Laporan!$A$1:$AZ$300,G579,4)</f>
        <v>3</v>
      </c>
      <c r="M579" s="1" t="n">
        <f aca="false">DATE(Pemetaan!$B$1,VALUE(RIGHT(INDEX(Laporan!$A$1:$AZ$300,F579+1,H579),2)),VALUE(LEFT(INDEX(Laporan!$A$1:$AZ$300,F579+1,H579),2)))</f>
        <v>46085</v>
      </c>
      <c r="N579" s="0" t="n">
        <f aca="false">INDEX(Laporan!$A$1:$AZ$300,G579,H579)</f>
        <v>2842</v>
      </c>
      <c r="O579" s="0" t="n">
        <f aca="false">IF(N579="","",IFERROR(VALUE(SUBSTITUTE(SUBSTITUTE(N579," btl",""),".","")),""))</f>
        <v>2842</v>
      </c>
      <c r="P579" s="0" t="str">
        <f aca="false">IF(B579="PRODUKSI","produced","reject")</f>
        <v>produced</v>
      </c>
    </row>
    <row r="580" customFormat="false" ht="15" hidden="false" customHeight="false" outlineLevel="0" collapsed="false">
      <c r="A580" s="0" t="n">
        <v>579</v>
      </c>
      <c r="B580" s="0" t="str">
        <f aca="false">IF(A580&lt;=36*25,"PRODUKSI","REJECT")</f>
        <v>PRODUKSI</v>
      </c>
      <c r="C580" s="0" t="n">
        <f aca="false">MOD(A580-1,Pemetaan!$B$3*Pemetaan!$B$4)</f>
        <v>578</v>
      </c>
      <c r="D580" s="0" t="n">
        <f aca="false">INT(C580/Pemetaan!$B$4)</f>
        <v>23</v>
      </c>
      <c r="E580" s="0" t="n">
        <f aca="false">MOD(C580,Pemetaan!$B$4)</f>
        <v>3</v>
      </c>
      <c r="F580" s="0" t="n">
        <f aca="false">IF(B580="PRODUKSI",Pemetaan!$B$5,Pemetaan!$B$6)</f>
        <v>5</v>
      </c>
      <c r="G580" s="0" t="n">
        <f aca="false">F580+2+D580</f>
        <v>30</v>
      </c>
      <c r="H580" s="0" t="n">
        <f aca="false">Pemetaan!$B$2+E580</f>
        <v>8</v>
      </c>
      <c r="I580" s="0" t="str">
        <f aca="false">INDEX(Laporan!$A$1:$AZ$300,G580,1)</f>
        <v>Mixing</v>
      </c>
      <c r="J580" s="0" t="str">
        <f aca="false">INDEX(Laporan!$A$1:$AZ$300,G580,2)</f>
        <v>330 ml</v>
      </c>
      <c r="K580" s="0" t="str">
        <f aca="false">INDEX(Laporan!$A$1:$AZ$300,G580,3)</f>
        <v>Shift 2</v>
      </c>
      <c r="L580" s="0" t="n">
        <f aca="false">INDEX(Laporan!$A$1:$AZ$300,G580,4)</f>
        <v>3</v>
      </c>
      <c r="M580" s="1" t="n">
        <f aca="false">DATE(Pemetaan!$B$1,VALUE(RIGHT(INDEX(Laporan!$A$1:$AZ$300,F580+1,H580),2)),VALUE(LEFT(INDEX(Laporan!$A$1:$AZ$300,F580+1,H580),2)))</f>
        <v>46086</v>
      </c>
      <c r="N580" s="0" t="n">
        <f aca="false">INDEX(Laporan!$A$1:$AZ$300,G580,H580)</f>
        <v>3498</v>
      </c>
      <c r="O580" s="0" t="n">
        <f aca="false">IF(N580="","",IFERROR(VALUE(SUBSTITUTE(SUBSTITUTE(N580," btl",""),".","")),""))</f>
        <v>3498</v>
      </c>
      <c r="P580" s="0" t="str">
        <f aca="false">IF(B580="PRODUKSI","produced","reject")</f>
        <v>produced</v>
      </c>
    </row>
    <row r="581" customFormat="false" ht="15" hidden="false" customHeight="false" outlineLevel="0" collapsed="false">
      <c r="A581" s="0" t="n">
        <v>580</v>
      </c>
      <c r="B581" s="0" t="str">
        <f aca="false">IF(A581&lt;=36*25,"PRODUKSI","REJECT")</f>
        <v>PRODUKSI</v>
      </c>
      <c r="C581" s="0" t="n">
        <f aca="false">MOD(A581-1,Pemetaan!$B$3*Pemetaan!$B$4)</f>
        <v>579</v>
      </c>
      <c r="D581" s="0" t="n">
        <f aca="false">INT(C581/Pemetaan!$B$4)</f>
        <v>23</v>
      </c>
      <c r="E581" s="0" t="n">
        <f aca="false">MOD(C581,Pemetaan!$B$4)</f>
        <v>4</v>
      </c>
      <c r="F581" s="0" t="n">
        <f aca="false">IF(B581="PRODUKSI",Pemetaan!$B$5,Pemetaan!$B$6)</f>
        <v>5</v>
      </c>
      <c r="G581" s="0" t="n">
        <f aca="false">F581+2+D581</f>
        <v>30</v>
      </c>
      <c r="H581" s="0" t="n">
        <f aca="false">Pemetaan!$B$2+E581</f>
        <v>9</v>
      </c>
      <c r="I581" s="0" t="str">
        <f aca="false">INDEX(Laporan!$A$1:$AZ$300,G581,1)</f>
        <v>Mixing</v>
      </c>
      <c r="J581" s="0" t="str">
        <f aca="false">INDEX(Laporan!$A$1:$AZ$300,G581,2)</f>
        <v>330 ml</v>
      </c>
      <c r="K581" s="0" t="str">
        <f aca="false">INDEX(Laporan!$A$1:$AZ$300,G581,3)</f>
        <v>Shift 2</v>
      </c>
      <c r="L581" s="0" t="n">
        <f aca="false">INDEX(Laporan!$A$1:$AZ$300,G581,4)</f>
        <v>3</v>
      </c>
      <c r="M581" s="1" t="n">
        <f aca="false">DATE(Pemetaan!$B$1,VALUE(RIGHT(INDEX(Laporan!$A$1:$AZ$300,F581+1,H581),2)),VALUE(LEFT(INDEX(Laporan!$A$1:$AZ$300,F581+1,H581),2)))</f>
        <v>46087</v>
      </c>
      <c r="N581" s="0" t="n">
        <f aca="false">INDEX(Laporan!$A$1:$AZ$300,G581,H581)</f>
        <v>2885</v>
      </c>
      <c r="O581" s="0" t="n">
        <f aca="false">IF(N581="","",IFERROR(VALUE(SUBSTITUTE(SUBSTITUTE(N581," btl",""),".","")),""))</f>
        <v>2885</v>
      </c>
      <c r="P581" s="0" t="str">
        <f aca="false">IF(B581="PRODUKSI","produced","reject")</f>
        <v>produced</v>
      </c>
    </row>
    <row r="582" customFormat="false" ht="15" hidden="false" customHeight="false" outlineLevel="0" collapsed="false">
      <c r="A582" s="0" t="n">
        <v>581</v>
      </c>
      <c r="B582" s="0" t="str">
        <f aca="false">IF(A582&lt;=36*25,"PRODUKSI","REJECT")</f>
        <v>PRODUKSI</v>
      </c>
      <c r="C582" s="0" t="n">
        <f aca="false">MOD(A582-1,Pemetaan!$B$3*Pemetaan!$B$4)</f>
        <v>580</v>
      </c>
      <c r="D582" s="0" t="n">
        <f aca="false">INT(C582/Pemetaan!$B$4)</f>
        <v>23</v>
      </c>
      <c r="E582" s="0" t="n">
        <f aca="false">MOD(C582,Pemetaan!$B$4)</f>
        <v>5</v>
      </c>
      <c r="F582" s="0" t="n">
        <f aca="false">IF(B582="PRODUKSI",Pemetaan!$B$5,Pemetaan!$B$6)</f>
        <v>5</v>
      </c>
      <c r="G582" s="0" t="n">
        <f aca="false">F582+2+D582</f>
        <v>30</v>
      </c>
      <c r="H582" s="0" t="n">
        <f aca="false">Pemetaan!$B$2+E582</f>
        <v>10</v>
      </c>
      <c r="I582" s="0" t="str">
        <f aca="false">INDEX(Laporan!$A$1:$AZ$300,G582,1)</f>
        <v>Mixing</v>
      </c>
      <c r="J582" s="0" t="str">
        <f aca="false">INDEX(Laporan!$A$1:$AZ$300,G582,2)</f>
        <v>330 ml</v>
      </c>
      <c r="K582" s="0" t="str">
        <f aca="false">INDEX(Laporan!$A$1:$AZ$300,G582,3)</f>
        <v>Shift 2</v>
      </c>
      <c r="L582" s="0" t="n">
        <f aca="false">INDEX(Laporan!$A$1:$AZ$300,G582,4)</f>
        <v>3</v>
      </c>
      <c r="M582" s="1" t="n">
        <f aca="false">DATE(Pemetaan!$B$1,VALUE(RIGHT(INDEX(Laporan!$A$1:$AZ$300,F582+1,H582),2)),VALUE(LEFT(INDEX(Laporan!$A$1:$AZ$300,F582+1,H582),2)))</f>
        <v>46090</v>
      </c>
      <c r="N582" s="0" t="n">
        <f aca="false">INDEX(Laporan!$A$1:$AZ$300,G582,H582)</f>
        <v>3319</v>
      </c>
      <c r="O582" s="0" t="n">
        <f aca="false">IF(N582="","",IFERROR(VALUE(SUBSTITUTE(SUBSTITUTE(N582," btl",""),".","")),""))</f>
        <v>3319</v>
      </c>
      <c r="P582" s="0" t="str">
        <f aca="false">IF(B582="PRODUKSI","produced","reject")</f>
        <v>produced</v>
      </c>
    </row>
    <row r="583" customFormat="false" ht="15" hidden="false" customHeight="false" outlineLevel="0" collapsed="false">
      <c r="A583" s="0" t="n">
        <v>582</v>
      </c>
      <c r="B583" s="0" t="str">
        <f aca="false">IF(A583&lt;=36*25,"PRODUKSI","REJECT")</f>
        <v>PRODUKSI</v>
      </c>
      <c r="C583" s="0" t="n">
        <f aca="false">MOD(A583-1,Pemetaan!$B$3*Pemetaan!$B$4)</f>
        <v>581</v>
      </c>
      <c r="D583" s="0" t="n">
        <f aca="false">INT(C583/Pemetaan!$B$4)</f>
        <v>23</v>
      </c>
      <c r="E583" s="0" t="n">
        <f aca="false">MOD(C583,Pemetaan!$B$4)</f>
        <v>6</v>
      </c>
      <c r="F583" s="0" t="n">
        <f aca="false">IF(B583="PRODUKSI",Pemetaan!$B$5,Pemetaan!$B$6)</f>
        <v>5</v>
      </c>
      <c r="G583" s="0" t="n">
        <f aca="false">F583+2+D583</f>
        <v>30</v>
      </c>
      <c r="H583" s="0" t="n">
        <f aca="false">Pemetaan!$B$2+E583</f>
        <v>11</v>
      </c>
      <c r="I583" s="0" t="str">
        <f aca="false">INDEX(Laporan!$A$1:$AZ$300,G583,1)</f>
        <v>Mixing</v>
      </c>
      <c r="J583" s="0" t="str">
        <f aca="false">INDEX(Laporan!$A$1:$AZ$300,G583,2)</f>
        <v>330 ml</v>
      </c>
      <c r="K583" s="0" t="str">
        <f aca="false">INDEX(Laporan!$A$1:$AZ$300,G583,3)</f>
        <v>Shift 2</v>
      </c>
      <c r="L583" s="0" t="n">
        <f aca="false">INDEX(Laporan!$A$1:$AZ$300,G583,4)</f>
        <v>3</v>
      </c>
      <c r="M583" s="1" t="n">
        <f aca="false">DATE(Pemetaan!$B$1,VALUE(RIGHT(INDEX(Laporan!$A$1:$AZ$300,F583+1,H583),2)),VALUE(LEFT(INDEX(Laporan!$A$1:$AZ$300,F583+1,H583),2)))</f>
        <v>46091</v>
      </c>
      <c r="N583" s="0" t="n">
        <f aca="false">INDEX(Laporan!$A$1:$AZ$300,G583,H583)</f>
        <v>3292</v>
      </c>
      <c r="O583" s="0" t="n">
        <f aca="false">IF(N583="","",IFERROR(VALUE(SUBSTITUTE(SUBSTITUTE(N583," btl",""),".","")),""))</f>
        <v>3292</v>
      </c>
      <c r="P583" s="0" t="str">
        <f aca="false">IF(B583="PRODUKSI","produced","reject")</f>
        <v>produced</v>
      </c>
    </row>
    <row r="584" customFormat="false" ht="15" hidden="false" customHeight="false" outlineLevel="0" collapsed="false">
      <c r="A584" s="0" t="n">
        <v>583</v>
      </c>
      <c r="B584" s="0" t="str">
        <f aca="false">IF(A584&lt;=36*25,"PRODUKSI","REJECT")</f>
        <v>PRODUKSI</v>
      </c>
      <c r="C584" s="0" t="n">
        <f aca="false">MOD(A584-1,Pemetaan!$B$3*Pemetaan!$B$4)</f>
        <v>582</v>
      </c>
      <c r="D584" s="0" t="n">
        <f aca="false">INT(C584/Pemetaan!$B$4)</f>
        <v>23</v>
      </c>
      <c r="E584" s="0" t="n">
        <f aca="false">MOD(C584,Pemetaan!$B$4)</f>
        <v>7</v>
      </c>
      <c r="F584" s="0" t="n">
        <f aca="false">IF(B584="PRODUKSI",Pemetaan!$B$5,Pemetaan!$B$6)</f>
        <v>5</v>
      </c>
      <c r="G584" s="0" t="n">
        <f aca="false">F584+2+D584</f>
        <v>30</v>
      </c>
      <c r="H584" s="0" t="n">
        <f aca="false">Pemetaan!$B$2+E584</f>
        <v>12</v>
      </c>
      <c r="I584" s="0" t="str">
        <f aca="false">INDEX(Laporan!$A$1:$AZ$300,G584,1)</f>
        <v>Mixing</v>
      </c>
      <c r="J584" s="0" t="str">
        <f aca="false">INDEX(Laporan!$A$1:$AZ$300,G584,2)</f>
        <v>330 ml</v>
      </c>
      <c r="K584" s="0" t="str">
        <f aca="false">INDEX(Laporan!$A$1:$AZ$300,G584,3)</f>
        <v>Shift 2</v>
      </c>
      <c r="L584" s="0" t="n">
        <f aca="false">INDEX(Laporan!$A$1:$AZ$300,G584,4)</f>
        <v>3</v>
      </c>
      <c r="M584" s="1" t="n">
        <f aca="false">DATE(Pemetaan!$B$1,VALUE(RIGHT(INDEX(Laporan!$A$1:$AZ$300,F584+1,H584),2)),VALUE(LEFT(INDEX(Laporan!$A$1:$AZ$300,F584+1,H584),2)))</f>
        <v>46092</v>
      </c>
      <c r="N584" s="0" t="n">
        <f aca="false">INDEX(Laporan!$A$1:$AZ$300,G584,H584)</f>
        <v>3336</v>
      </c>
      <c r="O584" s="0" t="n">
        <f aca="false">IF(N584="","",IFERROR(VALUE(SUBSTITUTE(SUBSTITUTE(N584," btl",""),".","")),""))</f>
        <v>3336</v>
      </c>
      <c r="P584" s="0" t="str">
        <f aca="false">IF(B584="PRODUKSI","produced","reject")</f>
        <v>produced</v>
      </c>
    </row>
    <row r="585" customFormat="false" ht="15" hidden="false" customHeight="false" outlineLevel="0" collapsed="false">
      <c r="A585" s="0" t="n">
        <v>584</v>
      </c>
      <c r="B585" s="0" t="str">
        <f aca="false">IF(A585&lt;=36*25,"PRODUKSI","REJECT")</f>
        <v>PRODUKSI</v>
      </c>
      <c r="C585" s="0" t="n">
        <f aca="false">MOD(A585-1,Pemetaan!$B$3*Pemetaan!$B$4)</f>
        <v>583</v>
      </c>
      <c r="D585" s="0" t="n">
        <f aca="false">INT(C585/Pemetaan!$B$4)</f>
        <v>23</v>
      </c>
      <c r="E585" s="0" t="n">
        <f aca="false">MOD(C585,Pemetaan!$B$4)</f>
        <v>8</v>
      </c>
      <c r="F585" s="0" t="n">
        <f aca="false">IF(B585="PRODUKSI",Pemetaan!$B$5,Pemetaan!$B$6)</f>
        <v>5</v>
      </c>
      <c r="G585" s="0" t="n">
        <f aca="false">F585+2+D585</f>
        <v>30</v>
      </c>
      <c r="H585" s="0" t="n">
        <f aca="false">Pemetaan!$B$2+E585</f>
        <v>13</v>
      </c>
      <c r="I585" s="0" t="str">
        <f aca="false">INDEX(Laporan!$A$1:$AZ$300,G585,1)</f>
        <v>Mixing</v>
      </c>
      <c r="J585" s="0" t="str">
        <f aca="false">INDEX(Laporan!$A$1:$AZ$300,G585,2)</f>
        <v>330 ml</v>
      </c>
      <c r="K585" s="0" t="str">
        <f aca="false">INDEX(Laporan!$A$1:$AZ$300,G585,3)</f>
        <v>Shift 2</v>
      </c>
      <c r="L585" s="0" t="n">
        <f aca="false">INDEX(Laporan!$A$1:$AZ$300,G585,4)</f>
        <v>3</v>
      </c>
      <c r="M585" s="1" t="n">
        <f aca="false">DATE(Pemetaan!$B$1,VALUE(RIGHT(INDEX(Laporan!$A$1:$AZ$300,F585+1,H585),2)),VALUE(LEFT(INDEX(Laporan!$A$1:$AZ$300,F585+1,H585),2)))</f>
        <v>46093</v>
      </c>
      <c r="N585" s="0" t="n">
        <f aca="false">INDEX(Laporan!$A$1:$AZ$300,G585,H585)</f>
        <v>3328</v>
      </c>
      <c r="O585" s="0" t="n">
        <f aca="false">IF(N585="","",IFERROR(VALUE(SUBSTITUTE(SUBSTITUTE(N585," btl",""),".","")),""))</f>
        <v>3328</v>
      </c>
      <c r="P585" s="0" t="str">
        <f aca="false">IF(B585="PRODUKSI","produced","reject")</f>
        <v>produced</v>
      </c>
    </row>
    <row r="586" customFormat="false" ht="15" hidden="false" customHeight="false" outlineLevel="0" collapsed="false">
      <c r="A586" s="0" t="n">
        <v>585</v>
      </c>
      <c r="B586" s="0" t="str">
        <f aca="false">IF(A586&lt;=36*25,"PRODUKSI","REJECT")</f>
        <v>PRODUKSI</v>
      </c>
      <c r="C586" s="0" t="n">
        <f aca="false">MOD(A586-1,Pemetaan!$B$3*Pemetaan!$B$4)</f>
        <v>584</v>
      </c>
      <c r="D586" s="0" t="n">
        <f aca="false">INT(C586/Pemetaan!$B$4)</f>
        <v>23</v>
      </c>
      <c r="E586" s="0" t="n">
        <f aca="false">MOD(C586,Pemetaan!$B$4)</f>
        <v>9</v>
      </c>
      <c r="F586" s="0" t="n">
        <f aca="false">IF(B586="PRODUKSI",Pemetaan!$B$5,Pemetaan!$B$6)</f>
        <v>5</v>
      </c>
      <c r="G586" s="0" t="n">
        <f aca="false">F586+2+D586</f>
        <v>30</v>
      </c>
      <c r="H586" s="0" t="n">
        <f aca="false">Pemetaan!$B$2+E586</f>
        <v>14</v>
      </c>
      <c r="I586" s="0" t="str">
        <f aca="false">INDEX(Laporan!$A$1:$AZ$300,G586,1)</f>
        <v>Mixing</v>
      </c>
      <c r="J586" s="0" t="str">
        <f aca="false">INDEX(Laporan!$A$1:$AZ$300,G586,2)</f>
        <v>330 ml</v>
      </c>
      <c r="K586" s="0" t="str">
        <f aca="false">INDEX(Laporan!$A$1:$AZ$300,G586,3)</f>
        <v>Shift 2</v>
      </c>
      <c r="L586" s="0" t="n">
        <f aca="false">INDEX(Laporan!$A$1:$AZ$300,G586,4)</f>
        <v>3</v>
      </c>
      <c r="M586" s="1" t="n">
        <f aca="false">DATE(Pemetaan!$B$1,VALUE(RIGHT(INDEX(Laporan!$A$1:$AZ$300,F586+1,H586),2)),VALUE(LEFT(INDEX(Laporan!$A$1:$AZ$300,F586+1,H586),2)))</f>
        <v>46094</v>
      </c>
      <c r="N586" s="0" t="n">
        <f aca="false">INDEX(Laporan!$A$1:$AZ$300,G586,H586)</f>
        <v>3582</v>
      </c>
      <c r="O586" s="0" t="n">
        <f aca="false">IF(N586="","",IFERROR(VALUE(SUBSTITUTE(SUBSTITUTE(N586," btl",""),".","")),""))</f>
        <v>3582</v>
      </c>
      <c r="P586" s="0" t="str">
        <f aca="false">IF(B586="PRODUKSI","produced","reject")</f>
        <v>produced</v>
      </c>
    </row>
    <row r="587" customFormat="false" ht="15" hidden="false" customHeight="false" outlineLevel="0" collapsed="false">
      <c r="A587" s="0" t="n">
        <v>586</v>
      </c>
      <c r="B587" s="0" t="str">
        <f aca="false">IF(A587&lt;=36*25,"PRODUKSI","REJECT")</f>
        <v>PRODUKSI</v>
      </c>
      <c r="C587" s="0" t="n">
        <f aca="false">MOD(A587-1,Pemetaan!$B$3*Pemetaan!$B$4)</f>
        <v>585</v>
      </c>
      <c r="D587" s="0" t="n">
        <f aca="false">INT(C587/Pemetaan!$B$4)</f>
        <v>23</v>
      </c>
      <c r="E587" s="0" t="n">
        <f aca="false">MOD(C587,Pemetaan!$B$4)</f>
        <v>10</v>
      </c>
      <c r="F587" s="0" t="n">
        <f aca="false">IF(B587="PRODUKSI",Pemetaan!$B$5,Pemetaan!$B$6)</f>
        <v>5</v>
      </c>
      <c r="G587" s="0" t="n">
        <f aca="false">F587+2+D587</f>
        <v>30</v>
      </c>
      <c r="H587" s="0" t="n">
        <f aca="false">Pemetaan!$B$2+E587</f>
        <v>15</v>
      </c>
      <c r="I587" s="0" t="str">
        <f aca="false">INDEX(Laporan!$A$1:$AZ$300,G587,1)</f>
        <v>Mixing</v>
      </c>
      <c r="J587" s="0" t="str">
        <f aca="false">INDEX(Laporan!$A$1:$AZ$300,G587,2)</f>
        <v>330 ml</v>
      </c>
      <c r="K587" s="0" t="str">
        <f aca="false">INDEX(Laporan!$A$1:$AZ$300,G587,3)</f>
        <v>Shift 2</v>
      </c>
      <c r="L587" s="0" t="n">
        <f aca="false">INDEX(Laporan!$A$1:$AZ$300,G587,4)</f>
        <v>3</v>
      </c>
      <c r="M587" s="1" t="n">
        <f aca="false">DATE(Pemetaan!$B$1,VALUE(RIGHT(INDEX(Laporan!$A$1:$AZ$300,F587+1,H587),2)),VALUE(LEFT(INDEX(Laporan!$A$1:$AZ$300,F587+1,H587),2)))</f>
        <v>46097</v>
      </c>
      <c r="N587" s="0" t="n">
        <f aca="false">INDEX(Laporan!$A$1:$AZ$300,G587,H587)</f>
        <v>3126</v>
      </c>
      <c r="O587" s="0" t="n">
        <f aca="false">IF(N587="","",IFERROR(VALUE(SUBSTITUTE(SUBSTITUTE(N587," btl",""),".","")),""))</f>
        <v>3126</v>
      </c>
      <c r="P587" s="0" t="str">
        <f aca="false">IF(B587="PRODUKSI","produced","reject")</f>
        <v>produced</v>
      </c>
    </row>
    <row r="588" customFormat="false" ht="15" hidden="false" customHeight="false" outlineLevel="0" collapsed="false">
      <c r="A588" s="0" t="n">
        <v>587</v>
      </c>
      <c r="B588" s="0" t="str">
        <f aca="false">IF(A588&lt;=36*25,"PRODUKSI","REJECT")</f>
        <v>PRODUKSI</v>
      </c>
      <c r="C588" s="0" t="n">
        <f aca="false">MOD(A588-1,Pemetaan!$B$3*Pemetaan!$B$4)</f>
        <v>586</v>
      </c>
      <c r="D588" s="0" t="n">
        <f aca="false">INT(C588/Pemetaan!$B$4)</f>
        <v>23</v>
      </c>
      <c r="E588" s="0" t="n">
        <f aca="false">MOD(C588,Pemetaan!$B$4)</f>
        <v>11</v>
      </c>
      <c r="F588" s="0" t="n">
        <f aca="false">IF(B588="PRODUKSI",Pemetaan!$B$5,Pemetaan!$B$6)</f>
        <v>5</v>
      </c>
      <c r="G588" s="0" t="n">
        <f aca="false">F588+2+D588</f>
        <v>30</v>
      </c>
      <c r="H588" s="0" t="n">
        <f aca="false">Pemetaan!$B$2+E588</f>
        <v>16</v>
      </c>
      <c r="I588" s="0" t="str">
        <f aca="false">INDEX(Laporan!$A$1:$AZ$300,G588,1)</f>
        <v>Mixing</v>
      </c>
      <c r="J588" s="0" t="str">
        <f aca="false">INDEX(Laporan!$A$1:$AZ$300,G588,2)</f>
        <v>330 ml</v>
      </c>
      <c r="K588" s="0" t="str">
        <f aca="false">INDEX(Laporan!$A$1:$AZ$300,G588,3)</f>
        <v>Shift 2</v>
      </c>
      <c r="L588" s="0" t="n">
        <f aca="false">INDEX(Laporan!$A$1:$AZ$300,G588,4)</f>
        <v>3</v>
      </c>
      <c r="M588" s="1" t="n">
        <f aca="false">DATE(Pemetaan!$B$1,VALUE(RIGHT(INDEX(Laporan!$A$1:$AZ$300,F588+1,H588),2)),VALUE(LEFT(INDEX(Laporan!$A$1:$AZ$300,F588+1,H588),2)))</f>
        <v>46098</v>
      </c>
      <c r="N588" s="0" t="n">
        <f aca="false">INDEX(Laporan!$A$1:$AZ$300,G588,H588)</f>
        <v>2881</v>
      </c>
      <c r="O588" s="0" t="n">
        <f aca="false">IF(N588="","",IFERROR(VALUE(SUBSTITUTE(SUBSTITUTE(N588," btl",""),".","")),""))</f>
        <v>2881</v>
      </c>
      <c r="P588" s="0" t="str">
        <f aca="false">IF(B588="PRODUKSI","produced","reject")</f>
        <v>produced</v>
      </c>
    </row>
    <row r="589" customFormat="false" ht="15" hidden="false" customHeight="false" outlineLevel="0" collapsed="false">
      <c r="A589" s="0" t="n">
        <v>588</v>
      </c>
      <c r="B589" s="0" t="str">
        <f aca="false">IF(A589&lt;=36*25,"PRODUKSI","REJECT")</f>
        <v>PRODUKSI</v>
      </c>
      <c r="C589" s="0" t="n">
        <f aca="false">MOD(A589-1,Pemetaan!$B$3*Pemetaan!$B$4)</f>
        <v>587</v>
      </c>
      <c r="D589" s="0" t="n">
        <f aca="false">INT(C589/Pemetaan!$B$4)</f>
        <v>23</v>
      </c>
      <c r="E589" s="0" t="n">
        <f aca="false">MOD(C589,Pemetaan!$B$4)</f>
        <v>12</v>
      </c>
      <c r="F589" s="0" t="n">
        <f aca="false">IF(B589="PRODUKSI",Pemetaan!$B$5,Pemetaan!$B$6)</f>
        <v>5</v>
      </c>
      <c r="G589" s="0" t="n">
        <f aca="false">F589+2+D589</f>
        <v>30</v>
      </c>
      <c r="H589" s="0" t="n">
        <f aca="false">Pemetaan!$B$2+E589</f>
        <v>17</v>
      </c>
      <c r="I589" s="0" t="str">
        <f aca="false">INDEX(Laporan!$A$1:$AZ$300,G589,1)</f>
        <v>Mixing</v>
      </c>
      <c r="J589" s="0" t="str">
        <f aca="false">INDEX(Laporan!$A$1:$AZ$300,G589,2)</f>
        <v>330 ml</v>
      </c>
      <c r="K589" s="0" t="str">
        <f aca="false">INDEX(Laporan!$A$1:$AZ$300,G589,3)</f>
        <v>Shift 2</v>
      </c>
      <c r="L589" s="0" t="n">
        <f aca="false">INDEX(Laporan!$A$1:$AZ$300,G589,4)</f>
        <v>3</v>
      </c>
      <c r="M589" s="1" t="n">
        <f aca="false">DATE(Pemetaan!$B$1,VALUE(RIGHT(INDEX(Laporan!$A$1:$AZ$300,F589+1,H589),2)),VALUE(LEFT(INDEX(Laporan!$A$1:$AZ$300,F589+1,H589),2)))</f>
        <v>46099</v>
      </c>
      <c r="N589" s="0" t="str">
        <f aca="false">INDEX(Laporan!$A$1:$AZ$300,G589,H589)</f>
        <v>n/a</v>
      </c>
      <c r="O589" s="0" t="str">
        <f aca="false">IF(N589="","",IFERROR(VALUE(SUBSTITUTE(SUBSTITUTE(N589," btl",""),".","")),""))</f>
        <v/>
      </c>
      <c r="P589" s="0" t="str">
        <f aca="false">IF(B589="PRODUKSI","produced","reject")</f>
        <v>produced</v>
      </c>
    </row>
    <row r="590" customFormat="false" ht="15" hidden="false" customHeight="false" outlineLevel="0" collapsed="false">
      <c r="A590" s="0" t="n">
        <v>589</v>
      </c>
      <c r="B590" s="0" t="str">
        <f aca="false">IF(A590&lt;=36*25,"PRODUKSI","REJECT")</f>
        <v>PRODUKSI</v>
      </c>
      <c r="C590" s="0" t="n">
        <f aca="false">MOD(A590-1,Pemetaan!$B$3*Pemetaan!$B$4)</f>
        <v>588</v>
      </c>
      <c r="D590" s="0" t="n">
        <f aca="false">INT(C590/Pemetaan!$B$4)</f>
        <v>23</v>
      </c>
      <c r="E590" s="0" t="n">
        <f aca="false">MOD(C590,Pemetaan!$B$4)</f>
        <v>13</v>
      </c>
      <c r="F590" s="0" t="n">
        <f aca="false">IF(B590="PRODUKSI",Pemetaan!$B$5,Pemetaan!$B$6)</f>
        <v>5</v>
      </c>
      <c r="G590" s="0" t="n">
        <f aca="false">F590+2+D590</f>
        <v>30</v>
      </c>
      <c r="H590" s="0" t="n">
        <f aca="false">Pemetaan!$B$2+E590</f>
        <v>18</v>
      </c>
      <c r="I590" s="0" t="str">
        <f aca="false">INDEX(Laporan!$A$1:$AZ$300,G590,1)</f>
        <v>Mixing</v>
      </c>
      <c r="J590" s="0" t="str">
        <f aca="false">INDEX(Laporan!$A$1:$AZ$300,G590,2)</f>
        <v>330 ml</v>
      </c>
      <c r="K590" s="0" t="str">
        <f aca="false">INDEX(Laporan!$A$1:$AZ$300,G590,3)</f>
        <v>Shift 2</v>
      </c>
      <c r="L590" s="0" t="n">
        <f aca="false">INDEX(Laporan!$A$1:$AZ$300,G590,4)</f>
        <v>3</v>
      </c>
      <c r="M590" s="1" t="n">
        <f aca="false">DATE(Pemetaan!$B$1,VALUE(RIGHT(INDEX(Laporan!$A$1:$AZ$300,F590+1,H590),2)),VALUE(LEFT(INDEX(Laporan!$A$1:$AZ$300,F590+1,H590),2)))</f>
        <v>46100</v>
      </c>
      <c r="N590" s="0" t="n">
        <f aca="false">INDEX(Laporan!$A$1:$AZ$300,G590,H590)</f>
        <v>3168</v>
      </c>
      <c r="O590" s="0" t="n">
        <f aca="false">IF(N590="","",IFERROR(VALUE(SUBSTITUTE(SUBSTITUTE(N590," btl",""),".","")),""))</f>
        <v>3168</v>
      </c>
      <c r="P590" s="0" t="str">
        <f aca="false">IF(B590="PRODUKSI","produced","reject")</f>
        <v>produced</v>
      </c>
    </row>
    <row r="591" customFormat="false" ht="15" hidden="false" customHeight="false" outlineLevel="0" collapsed="false">
      <c r="A591" s="0" t="n">
        <v>590</v>
      </c>
      <c r="B591" s="0" t="str">
        <f aca="false">IF(A591&lt;=36*25,"PRODUKSI","REJECT")</f>
        <v>PRODUKSI</v>
      </c>
      <c r="C591" s="0" t="n">
        <f aca="false">MOD(A591-1,Pemetaan!$B$3*Pemetaan!$B$4)</f>
        <v>589</v>
      </c>
      <c r="D591" s="0" t="n">
        <f aca="false">INT(C591/Pemetaan!$B$4)</f>
        <v>23</v>
      </c>
      <c r="E591" s="0" t="n">
        <f aca="false">MOD(C591,Pemetaan!$B$4)</f>
        <v>14</v>
      </c>
      <c r="F591" s="0" t="n">
        <f aca="false">IF(B591="PRODUKSI",Pemetaan!$B$5,Pemetaan!$B$6)</f>
        <v>5</v>
      </c>
      <c r="G591" s="0" t="n">
        <f aca="false">F591+2+D591</f>
        <v>30</v>
      </c>
      <c r="H591" s="0" t="n">
        <f aca="false">Pemetaan!$B$2+E591</f>
        <v>19</v>
      </c>
      <c r="I591" s="0" t="str">
        <f aca="false">INDEX(Laporan!$A$1:$AZ$300,G591,1)</f>
        <v>Mixing</v>
      </c>
      <c r="J591" s="0" t="str">
        <f aca="false">INDEX(Laporan!$A$1:$AZ$300,G591,2)</f>
        <v>330 ml</v>
      </c>
      <c r="K591" s="0" t="str">
        <f aca="false">INDEX(Laporan!$A$1:$AZ$300,G591,3)</f>
        <v>Shift 2</v>
      </c>
      <c r="L591" s="0" t="n">
        <f aca="false">INDEX(Laporan!$A$1:$AZ$300,G591,4)</f>
        <v>3</v>
      </c>
      <c r="M591" s="1" t="n">
        <f aca="false">DATE(Pemetaan!$B$1,VALUE(RIGHT(INDEX(Laporan!$A$1:$AZ$300,F591+1,H591),2)),VALUE(LEFT(INDEX(Laporan!$A$1:$AZ$300,F591+1,H591),2)))</f>
        <v>46101</v>
      </c>
      <c r="N591" s="0" t="n">
        <f aca="false">INDEX(Laporan!$A$1:$AZ$300,G591,H591)</f>
        <v>3135</v>
      </c>
      <c r="O591" s="0" t="n">
        <f aca="false">IF(N591="","",IFERROR(VALUE(SUBSTITUTE(SUBSTITUTE(N591," btl",""),".","")),""))</f>
        <v>3135</v>
      </c>
      <c r="P591" s="0" t="str">
        <f aca="false">IF(B591="PRODUKSI","produced","reject")</f>
        <v>produced</v>
      </c>
    </row>
    <row r="592" customFormat="false" ht="15" hidden="false" customHeight="false" outlineLevel="0" collapsed="false">
      <c r="A592" s="0" t="n">
        <v>591</v>
      </c>
      <c r="B592" s="0" t="str">
        <f aca="false">IF(A592&lt;=36*25,"PRODUKSI","REJECT")</f>
        <v>PRODUKSI</v>
      </c>
      <c r="C592" s="0" t="n">
        <f aca="false">MOD(A592-1,Pemetaan!$B$3*Pemetaan!$B$4)</f>
        <v>590</v>
      </c>
      <c r="D592" s="0" t="n">
        <f aca="false">INT(C592/Pemetaan!$B$4)</f>
        <v>23</v>
      </c>
      <c r="E592" s="0" t="n">
        <f aca="false">MOD(C592,Pemetaan!$B$4)</f>
        <v>15</v>
      </c>
      <c r="F592" s="0" t="n">
        <f aca="false">IF(B592="PRODUKSI",Pemetaan!$B$5,Pemetaan!$B$6)</f>
        <v>5</v>
      </c>
      <c r="G592" s="0" t="n">
        <f aca="false">F592+2+D592</f>
        <v>30</v>
      </c>
      <c r="H592" s="0" t="n">
        <f aca="false">Pemetaan!$B$2+E592</f>
        <v>20</v>
      </c>
      <c r="I592" s="0" t="str">
        <f aca="false">INDEX(Laporan!$A$1:$AZ$300,G592,1)</f>
        <v>Mixing</v>
      </c>
      <c r="J592" s="0" t="str">
        <f aca="false">INDEX(Laporan!$A$1:$AZ$300,G592,2)</f>
        <v>330 ml</v>
      </c>
      <c r="K592" s="0" t="str">
        <f aca="false">INDEX(Laporan!$A$1:$AZ$300,G592,3)</f>
        <v>Shift 2</v>
      </c>
      <c r="L592" s="0" t="n">
        <f aca="false">INDEX(Laporan!$A$1:$AZ$300,G592,4)</f>
        <v>3</v>
      </c>
      <c r="M592" s="1" t="n">
        <f aca="false">DATE(Pemetaan!$B$1,VALUE(RIGHT(INDEX(Laporan!$A$1:$AZ$300,F592+1,H592),2)),VALUE(LEFT(INDEX(Laporan!$A$1:$AZ$300,F592+1,H592),2)))</f>
        <v>46104</v>
      </c>
      <c r="N592" s="0" t="n">
        <f aca="false">INDEX(Laporan!$A$1:$AZ$300,G592,H592)</f>
        <v>3058</v>
      </c>
      <c r="O592" s="0" t="n">
        <f aca="false">IF(N592="","",IFERROR(VALUE(SUBSTITUTE(SUBSTITUTE(N592," btl",""),".","")),""))</f>
        <v>3058</v>
      </c>
      <c r="P592" s="0" t="str">
        <f aca="false">IF(B592="PRODUKSI","produced","reject")</f>
        <v>produced</v>
      </c>
    </row>
    <row r="593" customFormat="false" ht="15" hidden="false" customHeight="false" outlineLevel="0" collapsed="false">
      <c r="A593" s="0" t="n">
        <v>592</v>
      </c>
      <c r="B593" s="0" t="str">
        <f aca="false">IF(A593&lt;=36*25,"PRODUKSI","REJECT")</f>
        <v>PRODUKSI</v>
      </c>
      <c r="C593" s="0" t="n">
        <f aca="false">MOD(A593-1,Pemetaan!$B$3*Pemetaan!$B$4)</f>
        <v>591</v>
      </c>
      <c r="D593" s="0" t="n">
        <f aca="false">INT(C593/Pemetaan!$B$4)</f>
        <v>23</v>
      </c>
      <c r="E593" s="0" t="n">
        <f aca="false">MOD(C593,Pemetaan!$B$4)</f>
        <v>16</v>
      </c>
      <c r="F593" s="0" t="n">
        <f aca="false">IF(B593="PRODUKSI",Pemetaan!$B$5,Pemetaan!$B$6)</f>
        <v>5</v>
      </c>
      <c r="G593" s="0" t="n">
        <f aca="false">F593+2+D593</f>
        <v>30</v>
      </c>
      <c r="H593" s="0" t="n">
        <f aca="false">Pemetaan!$B$2+E593</f>
        <v>21</v>
      </c>
      <c r="I593" s="0" t="str">
        <f aca="false">INDEX(Laporan!$A$1:$AZ$300,G593,1)</f>
        <v>Mixing</v>
      </c>
      <c r="J593" s="0" t="str">
        <f aca="false">INDEX(Laporan!$A$1:$AZ$300,G593,2)</f>
        <v>330 ml</v>
      </c>
      <c r="K593" s="0" t="str">
        <f aca="false">INDEX(Laporan!$A$1:$AZ$300,G593,3)</f>
        <v>Shift 2</v>
      </c>
      <c r="L593" s="0" t="n">
        <f aca="false">INDEX(Laporan!$A$1:$AZ$300,G593,4)</f>
        <v>3</v>
      </c>
      <c r="M593" s="1" t="n">
        <f aca="false">DATE(Pemetaan!$B$1,VALUE(RIGHT(INDEX(Laporan!$A$1:$AZ$300,F593+1,H593),2)),VALUE(LEFT(INDEX(Laporan!$A$1:$AZ$300,F593+1,H593),2)))</f>
        <v>46105</v>
      </c>
      <c r="N593" s="0" t="n">
        <f aca="false">INDEX(Laporan!$A$1:$AZ$300,G593,H593)</f>
        <v>3353</v>
      </c>
      <c r="O593" s="0" t="n">
        <f aca="false">IF(N593="","",IFERROR(VALUE(SUBSTITUTE(SUBSTITUTE(N593," btl",""),".","")),""))</f>
        <v>3353</v>
      </c>
      <c r="P593" s="0" t="str">
        <f aca="false">IF(B593="PRODUKSI","produced","reject")</f>
        <v>produced</v>
      </c>
    </row>
    <row r="594" customFormat="false" ht="15" hidden="false" customHeight="false" outlineLevel="0" collapsed="false">
      <c r="A594" s="0" t="n">
        <v>593</v>
      </c>
      <c r="B594" s="0" t="str">
        <f aca="false">IF(A594&lt;=36*25,"PRODUKSI","REJECT")</f>
        <v>PRODUKSI</v>
      </c>
      <c r="C594" s="0" t="n">
        <f aca="false">MOD(A594-1,Pemetaan!$B$3*Pemetaan!$B$4)</f>
        <v>592</v>
      </c>
      <c r="D594" s="0" t="n">
        <f aca="false">INT(C594/Pemetaan!$B$4)</f>
        <v>23</v>
      </c>
      <c r="E594" s="0" t="n">
        <f aca="false">MOD(C594,Pemetaan!$B$4)</f>
        <v>17</v>
      </c>
      <c r="F594" s="0" t="n">
        <f aca="false">IF(B594="PRODUKSI",Pemetaan!$B$5,Pemetaan!$B$6)</f>
        <v>5</v>
      </c>
      <c r="G594" s="0" t="n">
        <f aca="false">F594+2+D594</f>
        <v>30</v>
      </c>
      <c r="H594" s="0" t="n">
        <f aca="false">Pemetaan!$B$2+E594</f>
        <v>22</v>
      </c>
      <c r="I594" s="0" t="str">
        <f aca="false">INDEX(Laporan!$A$1:$AZ$300,G594,1)</f>
        <v>Mixing</v>
      </c>
      <c r="J594" s="0" t="str">
        <f aca="false">INDEX(Laporan!$A$1:$AZ$300,G594,2)</f>
        <v>330 ml</v>
      </c>
      <c r="K594" s="0" t="str">
        <f aca="false">INDEX(Laporan!$A$1:$AZ$300,G594,3)</f>
        <v>Shift 2</v>
      </c>
      <c r="L594" s="0" t="n">
        <f aca="false">INDEX(Laporan!$A$1:$AZ$300,G594,4)</f>
        <v>3</v>
      </c>
      <c r="M594" s="1" t="n">
        <f aca="false">DATE(Pemetaan!$B$1,VALUE(RIGHT(INDEX(Laporan!$A$1:$AZ$300,F594+1,H594),2)),VALUE(LEFT(INDEX(Laporan!$A$1:$AZ$300,F594+1,H594),2)))</f>
        <v>46106</v>
      </c>
      <c r="N594" s="0" t="n">
        <f aca="false">INDEX(Laporan!$A$1:$AZ$300,G594,H594)</f>
        <v>3374</v>
      </c>
      <c r="O594" s="0" t="n">
        <f aca="false">IF(N594="","",IFERROR(VALUE(SUBSTITUTE(SUBSTITUTE(N594," btl",""),".","")),""))</f>
        <v>3374</v>
      </c>
      <c r="P594" s="0" t="str">
        <f aca="false">IF(B594="PRODUKSI","produced","reject")</f>
        <v>produced</v>
      </c>
    </row>
    <row r="595" customFormat="false" ht="15" hidden="false" customHeight="false" outlineLevel="0" collapsed="false">
      <c r="A595" s="0" t="n">
        <v>594</v>
      </c>
      <c r="B595" s="0" t="str">
        <f aca="false">IF(A595&lt;=36*25,"PRODUKSI","REJECT")</f>
        <v>PRODUKSI</v>
      </c>
      <c r="C595" s="0" t="n">
        <f aca="false">MOD(A595-1,Pemetaan!$B$3*Pemetaan!$B$4)</f>
        <v>593</v>
      </c>
      <c r="D595" s="0" t="n">
        <f aca="false">INT(C595/Pemetaan!$B$4)</f>
        <v>23</v>
      </c>
      <c r="E595" s="0" t="n">
        <f aca="false">MOD(C595,Pemetaan!$B$4)</f>
        <v>18</v>
      </c>
      <c r="F595" s="0" t="n">
        <f aca="false">IF(B595="PRODUKSI",Pemetaan!$B$5,Pemetaan!$B$6)</f>
        <v>5</v>
      </c>
      <c r="G595" s="0" t="n">
        <f aca="false">F595+2+D595</f>
        <v>30</v>
      </c>
      <c r="H595" s="0" t="n">
        <f aca="false">Pemetaan!$B$2+E595</f>
        <v>23</v>
      </c>
      <c r="I595" s="0" t="str">
        <f aca="false">INDEX(Laporan!$A$1:$AZ$300,G595,1)</f>
        <v>Mixing</v>
      </c>
      <c r="J595" s="0" t="str">
        <f aca="false">INDEX(Laporan!$A$1:$AZ$300,G595,2)</f>
        <v>330 ml</v>
      </c>
      <c r="K595" s="0" t="str">
        <f aca="false">INDEX(Laporan!$A$1:$AZ$300,G595,3)</f>
        <v>Shift 2</v>
      </c>
      <c r="L595" s="0" t="n">
        <f aca="false">INDEX(Laporan!$A$1:$AZ$300,G595,4)</f>
        <v>3</v>
      </c>
      <c r="M595" s="1" t="n">
        <f aca="false">DATE(Pemetaan!$B$1,VALUE(RIGHT(INDEX(Laporan!$A$1:$AZ$300,F595+1,H595),2)),VALUE(LEFT(INDEX(Laporan!$A$1:$AZ$300,F595+1,H595),2)))</f>
        <v>46107</v>
      </c>
      <c r="N595" s="0" t="n">
        <f aca="false">INDEX(Laporan!$A$1:$AZ$300,G595,H595)</f>
        <v>3235</v>
      </c>
      <c r="O595" s="0" t="n">
        <f aca="false">IF(N595="","",IFERROR(VALUE(SUBSTITUTE(SUBSTITUTE(N595," btl",""),".","")),""))</f>
        <v>3235</v>
      </c>
      <c r="P595" s="0" t="str">
        <f aca="false">IF(B595="PRODUKSI","produced","reject")</f>
        <v>produced</v>
      </c>
    </row>
    <row r="596" customFormat="false" ht="15" hidden="false" customHeight="false" outlineLevel="0" collapsed="false">
      <c r="A596" s="0" t="n">
        <v>595</v>
      </c>
      <c r="B596" s="0" t="str">
        <f aca="false">IF(A596&lt;=36*25,"PRODUKSI","REJECT")</f>
        <v>PRODUKSI</v>
      </c>
      <c r="C596" s="0" t="n">
        <f aca="false">MOD(A596-1,Pemetaan!$B$3*Pemetaan!$B$4)</f>
        <v>594</v>
      </c>
      <c r="D596" s="0" t="n">
        <f aca="false">INT(C596/Pemetaan!$B$4)</f>
        <v>23</v>
      </c>
      <c r="E596" s="0" t="n">
        <f aca="false">MOD(C596,Pemetaan!$B$4)</f>
        <v>19</v>
      </c>
      <c r="F596" s="0" t="n">
        <f aca="false">IF(B596="PRODUKSI",Pemetaan!$B$5,Pemetaan!$B$6)</f>
        <v>5</v>
      </c>
      <c r="G596" s="0" t="n">
        <f aca="false">F596+2+D596</f>
        <v>30</v>
      </c>
      <c r="H596" s="0" t="n">
        <f aca="false">Pemetaan!$B$2+E596</f>
        <v>24</v>
      </c>
      <c r="I596" s="0" t="str">
        <f aca="false">INDEX(Laporan!$A$1:$AZ$300,G596,1)</f>
        <v>Mixing</v>
      </c>
      <c r="J596" s="0" t="str">
        <f aca="false">INDEX(Laporan!$A$1:$AZ$300,G596,2)</f>
        <v>330 ml</v>
      </c>
      <c r="K596" s="0" t="str">
        <f aca="false">INDEX(Laporan!$A$1:$AZ$300,G596,3)</f>
        <v>Shift 2</v>
      </c>
      <c r="L596" s="0" t="n">
        <f aca="false">INDEX(Laporan!$A$1:$AZ$300,G596,4)</f>
        <v>3</v>
      </c>
      <c r="M596" s="1" t="n">
        <f aca="false">DATE(Pemetaan!$B$1,VALUE(RIGHT(INDEX(Laporan!$A$1:$AZ$300,F596+1,H596),2)),VALUE(LEFT(INDEX(Laporan!$A$1:$AZ$300,F596+1,H596),2)))</f>
        <v>46108</v>
      </c>
      <c r="N596" s="0" t="n">
        <f aca="false">INDEX(Laporan!$A$1:$AZ$300,G596,H596)</f>
        <v>3481</v>
      </c>
      <c r="O596" s="0" t="n">
        <f aca="false">IF(N596="","",IFERROR(VALUE(SUBSTITUTE(SUBSTITUTE(N596," btl",""),".","")),""))</f>
        <v>3481</v>
      </c>
      <c r="P596" s="0" t="str">
        <f aca="false">IF(B596="PRODUKSI","produced","reject")</f>
        <v>produced</v>
      </c>
    </row>
    <row r="597" customFormat="false" ht="15" hidden="false" customHeight="false" outlineLevel="0" collapsed="false">
      <c r="A597" s="0" t="n">
        <v>596</v>
      </c>
      <c r="B597" s="0" t="str">
        <f aca="false">IF(A597&lt;=36*25,"PRODUKSI","REJECT")</f>
        <v>PRODUKSI</v>
      </c>
      <c r="C597" s="0" t="n">
        <f aca="false">MOD(A597-1,Pemetaan!$B$3*Pemetaan!$B$4)</f>
        <v>595</v>
      </c>
      <c r="D597" s="0" t="n">
        <f aca="false">INT(C597/Pemetaan!$B$4)</f>
        <v>23</v>
      </c>
      <c r="E597" s="0" t="n">
        <f aca="false">MOD(C597,Pemetaan!$B$4)</f>
        <v>20</v>
      </c>
      <c r="F597" s="0" t="n">
        <f aca="false">IF(B597="PRODUKSI",Pemetaan!$B$5,Pemetaan!$B$6)</f>
        <v>5</v>
      </c>
      <c r="G597" s="0" t="n">
        <f aca="false">F597+2+D597</f>
        <v>30</v>
      </c>
      <c r="H597" s="0" t="n">
        <f aca="false">Pemetaan!$B$2+E597</f>
        <v>25</v>
      </c>
      <c r="I597" s="0" t="str">
        <f aca="false">INDEX(Laporan!$A$1:$AZ$300,G597,1)</f>
        <v>Mixing</v>
      </c>
      <c r="J597" s="0" t="str">
        <f aca="false">INDEX(Laporan!$A$1:$AZ$300,G597,2)</f>
        <v>330 ml</v>
      </c>
      <c r="K597" s="0" t="str">
        <f aca="false">INDEX(Laporan!$A$1:$AZ$300,G597,3)</f>
        <v>Shift 2</v>
      </c>
      <c r="L597" s="0" t="n">
        <f aca="false">INDEX(Laporan!$A$1:$AZ$300,G597,4)</f>
        <v>3</v>
      </c>
      <c r="M597" s="1" t="n">
        <f aca="false">DATE(Pemetaan!$B$1,VALUE(RIGHT(INDEX(Laporan!$A$1:$AZ$300,F597+1,H597),2)),VALUE(LEFT(INDEX(Laporan!$A$1:$AZ$300,F597+1,H597),2)))</f>
        <v>46111</v>
      </c>
      <c r="N597" s="0" t="n">
        <f aca="false">INDEX(Laporan!$A$1:$AZ$300,G597,H597)</f>
        <v>3114</v>
      </c>
      <c r="O597" s="0" t="n">
        <f aca="false">IF(N597="","",IFERROR(VALUE(SUBSTITUTE(SUBSTITUTE(N597," btl",""),".","")),""))</f>
        <v>3114</v>
      </c>
      <c r="P597" s="0" t="str">
        <f aca="false">IF(B597="PRODUKSI","produced","reject")</f>
        <v>produced</v>
      </c>
    </row>
    <row r="598" customFormat="false" ht="15" hidden="false" customHeight="false" outlineLevel="0" collapsed="false">
      <c r="A598" s="0" t="n">
        <v>597</v>
      </c>
      <c r="B598" s="0" t="str">
        <f aca="false">IF(A598&lt;=36*25,"PRODUKSI","REJECT")</f>
        <v>PRODUKSI</v>
      </c>
      <c r="C598" s="0" t="n">
        <f aca="false">MOD(A598-1,Pemetaan!$B$3*Pemetaan!$B$4)</f>
        <v>596</v>
      </c>
      <c r="D598" s="0" t="n">
        <f aca="false">INT(C598/Pemetaan!$B$4)</f>
        <v>23</v>
      </c>
      <c r="E598" s="0" t="n">
        <f aca="false">MOD(C598,Pemetaan!$B$4)</f>
        <v>21</v>
      </c>
      <c r="F598" s="0" t="n">
        <f aca="false">IF(B598="PRODUKSI",Pemetaan!$B$5,Pemetaan!$B$6)</f>
        <v>5</v>
      </c>
      <c r="G598" s="0" t="n">
        <f aca="false">F598+2+D598</f>
        <v>30</v>
      </c>
      <c r="H598" s="0" t="n">
        <f aca="false">Pemetaan!$B$2+E598</f>
        <v>26</v>
      </c>
      <c r="I598" s="0" t="str">
        <f aca="false">INDEX(Laporan!$A$1:$AZ$300,G598,1)</f>
        <v>Mixing</v>
      </c>
      <c r="J598" s="0" t="str">
        <f aca="false">INDEX(Laporan!$A$1:$AZ$300,G598,2)</f>
        <v>330 ml</v>
      </c>
      <c r="K598" s="0" t="str">
        <f aca="false">INDEX(Laporan!$A$1:$AZ$300,G598,3)</f>
        <v>Shift 2</v>
      </c>
      <c r="L598" s="0" t="n">
        <f aca="false">INDEX(Laporan!$A$1:$AZ$300,G598,4)</f>
        <v>3</v>
      </c>
      <c r="M598" s="1" t="n">
        <f aca="false">DATE(Pemetaan!$B$1,VALUE(RIGHT(INDEX(Laporan!$A$1:$AZ$300,F598+1,H598),2)),VALUE(LEFT(INDEX(Laporan!$A$1:$AZ$300,F598+1,H598),2)))</f>
        <v>46112</v>
      </c>
      <c r="N598" s="0" t="n">
        <f aca="false">INDEX(Laporan!$A$1:$AZ$300,G598,H598)</f>
        <v>3183</v>
      </c>
      <c r="O598" s="0" t="n">
        <f aca="false">IF(N598="","",IFERROR(VALUE(SUBSTITUTE(SUBSTITUTE(N598," btl",""),".","")),""))</f>
        <v>3183</v>
      </c>
      <c r="P598" s="0" t="str">
        <f aca="false">IF(B598="PRODUKSI","produced","reject")</f>
        <v>produced</v>
      </c>
    </row>
    <row r="599" customFormat="false" ht="15" hidden="false" customHeight="false" outlineLevel="0" collapsed="false">
      <c r="A599" s="0" t="n">
        <v>598</v>
      </c>
      <c r="B599" s="0" t="str">
        <f aca="false">IF(A599&lt;=36*25,"PRODUKSI","REJECT")</f>
        <v>PRODUKSI</v>
      </c>
      <c r="C599" s="0" t="n">
        <f aca="false">MOD(A599-1,Pemetaan!$B$3*Pemetaan!$B$4)</f>
        <v>597</v>
      </c>
      <c r="D599" s="0" t="n">
        <f aca="false">INT(C599/Pemetaan!$B$4)</f>
        <v>23</v>
      </c>
      <c r="E599" s="0" t="n">
        <f aca="false">MOD(C599,Pemetaan!$B$4)</f>
        <v>22</v>
      </c>
      <c r="F599" s="0" t="n">
        <f aca="false">IF(B599="PRODUKSI",Pemetaan!$B$5,Pemetaan!$B$6)</f>
        <v>5</v>
      </c>
      <c r="G599" s="0" t="n">
        <f aca="false">F599+2+D599</f>
        <v>30</v>
      </c>
      <c r="H599" s="0" t="n">
        <f aca="false">Pemetaan!$B$2+E599</f>
        <v>27</v>
      </c>
      <c r="I599" s="0" t="str">
        <f aca="false">INDEX(Laporan!$A$1:$AZ$300,G599,1)</f>
        <v>Mixing</v>
      </c>
      <c r="J599" s="0" t="str">
        <f aca="false">INDEX(Laporan!$A$1:$AZ$300,G599,2)</f>
        <v>330 ml</v>
      </c>
      <c r="K599" s="0" t="str">
        <f aca="false">INDEX(Laporan!$A$1:$AZ$300,G599,3)</f>
        <v>Shift 2</v>
      </c>
      <c r="L599" s="0" t="n">
        <f aca="false">INDEX(Laporan!$A$1:$AZ$300,G599,4)</f>
        <v>3</v>
      </c>
      <c r="M599" s="1" t="n">
        <f aca="false">DATE(Pemetaan!$B$1,VALUE(RIGHT(INDEX(Laporan!$A$1:$AZ$300,F599+1,H599),2)),VALUE(LEFT(INDEX(Laporan!$A$1:$AZ$300,F599+1,H599),2)))</f>
        <v>46113</v>
      </c>
      <c r="N599" s="0" t="n">
        <f aca="false">INDEX(Laporan!$A$1:$AZ$300,G599,H599)</f>
        <v>2928</v>
      </c>
      <c r="O599" s="0" t="n">
        <f aca="false">IF(N599="","",IFERROR(VALUE(SUBSTITUTE(SUBSTITUTE(N599," btl",""),".","")),""))</f>
        <v>2928</v>
      </c>
      <c r="P599" s="0" t="str">
        <f aca="false">IF(B599="PRODUKSI","produced","reject")</f>
        <v>produced</v>
      </c>
    </row>
    <row r="600" customFormat="false" ht="15" hidden="false" customHeight="false" outlineLevel="0" collapsed="false">
      <c r="A600" s="0" t="n">
        <v>599</v>
      </c>
      <c r="B600" s="0" t="str">
        <f aca="false">IF(A600&lt;=36*25,"PRODUKSI","REJECT")</f>
        <v>PRODUKSI</v>
      </c>
      <c r="C600" s="0" t="n">
        <f aca="false">MOD(A600-1,Pemetaan!$B$3*Pemetaan!$B$4)</f>
        <v>598</v>
      </c>
      <c r="D600" s="0" t="n">
        <f aca="false">INT(C600/Pemetaan!$B$4)</f>
        <v>23</v>
      </c>
      <c r="E600" s="0" t="n">
        <f aca="false">MOD(C600,Pemetaan!$B$4)</f>
        <v>23</v>
      </c>
      <c r="F600" s="0" t="n">
        <f aca="false">IF(B600="PRODUKSI",Pemetaan!$B$5,Pemetaan!$B$6)</f>
        <v>5</v>
      </c>
      <c r="G600" s="0" t="n">
        <f aca="false">F600+2+D600</f>
        <v>30</v>
      </c>
      <c r="H600" s="0" t="n">
        <f aca="false">Pemetaan!$B$2+E600</f>
        <v>28</v>
      </c>
      <c r="I600" s="0" t="str">
        <f aca="false">INDEX(Laporan!$A$1:$AZ$300,G600,1)</f>
        <v>Mixing</v>
      </c>
      <c r="J600" s="0" t="str">
        <f aca="false">INDEX(Laporan!$A$1:$AZ$300,G600,2)</f>
        <v>330 ml</v>
      </c>
      <c r="K600" s="0" t="str">
        <f aca="false">INDEX(Laporan!$A$1:$AZ$300,G600,3)</f>
        <v>Shift 2</v>
      </c>
      <c r="L600" s="0" t="n">
        <f aca="false">INDEX(Laporan!$A$1:$AZ$300,G600,4)</f>
        <v>3</v>
      </c>
      <c r="M600" s="1" t="n">
        <f aca="false">DATE(Pemetaan!$B$1,VALUE(RIGHT(INDEX(Laporan!$A$1:$AZ$300,F600+1,H600),2)),VALUE(LEFT(INDEX(Laporan!$A$1:$AZ$300,F600+1,H600),2)))</f>
        <v>46114</v>
      </c>
      <c r="N600" s="0" t="n">
        <f aca="false">INDEX(Laporan!$A$1:$AZ$300,G600,H600)</f>
        <v>3151</v>
      </c>
      <c r="O600" s="0" t="n">
        <f aca="false">IF(N600="","",IFERROR(VALUE(SUBSTITUTE(SUBSTITUTE(N600," btl",""),".","")),""))</f>
        <v>3151</v>
      </c>
      <c r="P600" s="0" t="str">
        <f aca="false">IF(B600="PRODUKSI","produced","reject")</f>
        <v>produced</v>
      </c>
    </row>
    <row r="601" customFormat="false" ht="15" hidden="false" customHeight="false" outlineLevel="0" collapsed="false">
      <c r="A601" s="0" t="n">
        <v>600</v>
      </c>
      <c r="B601" s="0" t="str">
        <f aca="false">IF(A601&lt;=36*25,"PRODUKSI","REJECT")</f>
        <v>PRODUKSI</v>
      </c>
      <c r="C601" s="0" t="n">
        <f aca="false">MOD(A601-1,Pemetaan!$B$3*Pemetaan!$B$4)</f>
        <v>599</v>
      </c>
      <c r="D601" s="0" t="n">
        <f aca="false">INT(C601/Pemetaan!$B$4)</f>
        <v>23</v>
      </c>
      <c r="E601" s="0" t="n">
        <f aca="false">MOD(C601,Pemetaan!$B$4)</f>
        <v>24</v>
      </c>
      <c r="F601" s="0" t="n">
        <f aca="false">IF(B601="PRODUKSI",Pemetaan!$B$5,Pemetaan!$B$6)</f>
        <v>5</v>
      </c>
      <c r="G601" s="0" t="n">
        <f aca="false">F601+2+D601</f>
        <v>30</v>
      </c>
      <c r="H601" s="0" t="n">
        <f aca="false">Pemetaan!$B$2+E601</f>
        <v>29</v>
      </c>
      <c r="I601" s="0" t="str">
        <f aca="false">INDEX(Laporan!$A$1:$AZ$300,G601,1)</f>
        <v>Mixing</v>
      </c>
      <c r="J601" s="0" t="str">
        <f aca="false">INDEX(Laporan!$A$1:$AZ$300,G601,2)</f>
        <v>330 ml</v>
      </c>
      <c r="K601" s="0" t="str">
        <f aca="false">INDEX(Laporan!$A$1:$AZ$300,G601,3)</f>
        <v>Shift 2</v>
      </c>
      <c r="L601" s="0" t="n">
        <f aca="false">INDEX(Laporan!$A$1:$AZ$300,G601,4)</f>
        <v>3</v>
      </c>
      <c r="M601" s="1" t="n">
        <f aca="false">DATE(Pemetaan!$B$1,VALUE(RIGHT(INDEX(Laporan!$A$1:$AZ$300,F601+1,H601),2)),VALUE(LEFT(INDEX(Laporan!$A$1:$AZ$300,F601+1,H601),2)))</f>
        <v>46115</v>
      </c>
      <c r="N601" s="0" t="n">
        <f aca="false">INDEX(Laporan!$A$1:$AZ$300,G601,H601)</f>
        <v>3340</v>
      </c>
      <c r="O601" s="0" t="n">
        <f aca="false">IF(N601="","",IFERROR(VALUE(SUBSTITUTE(SUBSTITUTE(N601," btl",""),".","")),""))</f>
        <v>3340</v>
      </c>
      <c r="P601" s="0" t="str">
        <f aca="false">IF(B601="PRODUKSI","produced","reject")</f>
        <v>produced</v>
      </c>
    </row>
    <row r="602" customFormat="false" ht="15" hidden="false" customHeight="false" outlineLevel="0" collapsed="false">
      <c r="A602" s="0" t="n">
        <v>601</v>
      </c>
      <c r="B602" s="0" t="str">
        <f aca="false">IF(A602&lt;=36*25,"PRODUKSI","REJECT")</f>
        <v>PRODUKSI</v>
      </c>
      <c r="C602" s="0" t="n">
        <f aca="false">MOD(A602-1,Pemetaan!$B$3*Pemetaan!$B$4)</f>
        <v>600</v>
      </c>
      <c r="D602" s="0" t="n">
        <f aca="false">INT(C602/Pemetaan!$B$4)</f>
        <v>24</v>
      </c>
      <c r="E602" s="0" t="n">
        <f aca="false">MOD(C602,Pemetaan!$B$4)</f>
        <v>0</v>
      </c>
      <c r="F602" s="0" t="n">
        <f aca="false">IF(B602="PRODUKSI",Pemetaan!$B$5,Pemetaan!$B$6)</f>
        <v>5</v>
      </c>
      <c r="G602" s="0" t="n">
        <f aca="false">F602+2+D602</f>
        <v>31</v>
      </c>
      <c r="H602" s="0" t="n">
        <f aca="false">Pemetaan!$B$2+E602</f>
        <v>5</v>
      </c>
      <c r="I602" s="0" t="str">
        <f aca="false">INDEX(Laporan!$A$1:$AZ$300,G602,1)</f>
        <v>Mixing</v>
      </c>
      <c r="J602" s="0" t="str">
        <f aca="false">INDEX(Laporan!$A$1:$AZ$300,G602,2)</f>
        <v>600 ml</v>
      </c>
      <c r="K602" s="0" t="str">
        <f aca="false">INDEX(Laporan!$A$1:$AZ$300,G602,3)</f>
        <v>Shift 1</v>
      </c>
      <c r="L602" s="0" t="n">
        <f aca="false">INDEX(Laporan!$A$1:$AZ$300,G602,4)</f>
        <v>1</v>
      </c>
      <c r="M602" s="1" t="n">
        <f aca="false">DATE(Pemetaan!$B$1,VALUE(RIGHT(INDEX(Laporan!$A$1:$AZ$300,F602+1,H602),2)),VALUE(LEFT(INDEX(Laporan!$A$1:$AZ$300,F602+1,H602),2)))</f>
        <v>46083</v>
      </c>
      <c r="N602" s="0" t="n">
        <f aca="false">INDEX(Laporan!$A$1:$AZ$300,G602,H602)</f>
        <v>2913</v>
      </c>
      <c r="O602" s="0" t="n">
        <f aca="false">IF(N602="","",IFERROR(VALUE(SUBSTITUTE(SUBSTITUTE(N602," btl",""),".","")),""))</f>
        <v>2913</v>
      </c>
      <c r="P602" s="0" t="str">
        <f aca="false">IF(B602="PRODUKSI","produced","reject")</f>
        <v>produced</v>
      </c>
    </row>
    <row r="603" customFormat="false" ht="15" hidden="false" customHeight="false" outlineLevel="0" collapsed="false">
      <c r="A603" s="0" t="n">
        <v>602</v>
      </c>
      <c r="B603" s="0" t="str">
        <f aca="false">IF(A603&lt;=36*25,"PRODUKSI","REJECT")</f>
        <v>PRODUKSI</v>
      </c>
      <c r="C603" s="0" t="n">
        <f aca="false">MOD(A603-1,Pemetaan!$B$3*Pemetaan!$B$4)</f>
        <v>601</v>
      </c>
      <c r="D603" s="0" t="n">
        <f aca="false">INT(C603/Pemetaan!$B$4)</f>
        <v>24</v>
      </c>
      <c r="E603" s="0" t="n">
        <f aca="false">MOD(C603,Pemetaan!$B$4)</f>
        <v>1</v>
      </c>
      <c r="F603" s="0" t="n">
        <f aca="false">IF(B603="PRODUKSI",Pemetaan!$B$5,Pemetaan!$B$6)</f>
        <v>5</v>
      </c>
      <c r="G603" s="0" t="n">
        <f aca="false">F603+2+D603</f>
        <v>31</v>
      </c>
      <c r="H603" s="0" t="n">
        <f aca="false">Pemetaan!$B$2+E603</f>
        <v>6</v>
      </c>
      <c r="I603" s="0" t="str">
        <f aca="false">INDEX(Laporan!$A$1:$AZ$300,G603,1)</f>
        <v>Mixing</v>
      </c>
      <c r="J603" s="0" t="str">
        <f aca="false">INDEX(Laporan!$A$1:$AZ$300,G603,2)</f>
        <v>600 ml</v>
      </c>
      <c r="K603" s="0" t="str">
        <f aca="false">INDEX(Laporan!$A$1:$AZ$300,G603,3)</f>
        <v>Shift 1</v>
      </c>
      <c r="L603" s="0" t="n">
        <f aca="false">INDEX(Laporan!$A$1:$AZ$300,G603,4)</f>
        <v>1</v>
      </c>
      <c r="M603" s="1" t="n">
        <f aca="false">DATE(Pemetaan!$B$1,VALUE(RIGHT(INDEX(Laporan!$A$1:$AZ$300,F603+1,H603),2)),VALUE(LEFT(INDEX(Laporan!$A$1:$AZ$300,F603+1,H603),2)))</f>
        <v>46084</v>
      </c>
      <c r="N603" s="0" t="n">
        <f aca="false">INDEX(Laporan!$A$1:$AZ$300,G603,H603)</f>
        <v>2872</v>
      </c>
      <c r="O603" s="0" t="n">
        <f aca="false">IF(N603="","",IFERROR(VALUE(SUBSTITUTE(SUBSTITUTE(N603," btl",""),".","")),""))</f>
        <v>2872</v>
      </c>
      <c r="P603" s="0" t="str">
        <f aca="false">IF(B603="PRODUKSI","produced","reject")</f>
        <v>produced</v>
      </c>
    </row>
    <row r="604" customFormat="false" ht="15" hidden="false" customHeight="false" outlineLevel="0" collapsed="false">
      <c r="A604" s="0" t="n">
        <v>603</v>
      </c>
      <c r="B604" s="0" t="str">
        <f aca="false">IF(A604&lt;=36*25,"PRODUKSI","REJECT")</f>
        <v>PRODUKSI</v>
      </c>
      <c r="C604" s="0" t="n">
        <f aca="false">MOD(A604-1,Pemetaan!$B$3*Pemetaan!$B$4)</f>
        <v>602</v>
      </c>
      <c r="D604" s="0" t="n">
        <f aca="false">INT(C604/Pemetaan!$B$4)</f>
        <v>24</v>
      </c>
      <c r="E604" s="0" t="n">
        <f aca="false">MOD(C604,Pemetaan!$B$4)</f>
        <v>2</v>
      </c>
      <c r="F604" s="0" t="n">
        <f aca="false">IF(B604="PRODUKSI",Pemetaan!$B$5,Pemetaan!$B$6)</f>
        <v>5</v>
      </c>
      <c r="G604" s="0" t="n">
        <f aca="false">F604+2+D604</f>
        <v>31</v>
      </c>
      <c r="H604" s="0" t="n">
        <f aca="false">Pemetaan!$B$2+E604</f>
        <v>7</v>
      </c>
      <c r="I604" s="0" t="str">
        <f aca="false">INDEX(Laporan!$A$1:$AZ$300,G604,1)</f>
        <v>Mixing</v>
      </c>
      <c r="J604" s="0" t="str">
        <f aca="false">INDEX(Laporan!$A$1:$AZ$300,G604,2)</f>
        <v>600 ml</v>
      </c>
      <c r="K604" s="0" t="str">
        <f aca="false">INDEX(Laporan!$A$1:$AZ$300,G604,3)</f>
        <v>Shift 1</v>
      </c>
      <c r="L604" s="0" t="n">
        <f aca="false">INDEX(Laporan!$A$1:$AZ$300,G604,4)</f>
        <v>1</v>
      </c>
      <c r="M604" s="1" t="n">
        <f aca="false">DATE(Pemetaan!$B$1,VALUE(RIGHT(INDEX(Laporan!$A$1:$AZ$300,F604+1,H604),2)),VALUE(LEFT(INDEX(Laporan!$A$1:$AZ$300,F604+1,H604),2)))</f>
        <v>46085</v>
      </c>
      <c r="N604" s="0" t="n">
        <f aca="false">INDEX(Laporan!$A$1:$AZ$300,G604,H604)</f>
        <v>2638</v>
      </c>
      <c r="O604" s="0" t="n">
        <f aca="false">IF(N604="","",IFERROR(VALUE(SUBSTITUTE(SUBSTITUTE(N604," btl",""),".","")),""))</f>
        <v>2638</v>
      </c>
      <c r="P604" s="0" t="str">
        <f aca="false">IF(B604="PRODUKSI","produced","reject")</f>
        <v>produced</v>
      </c>
    </row>
    <row r="605" customFormat="false" ht="15" hidden="false" customHeight="false" outlineLevel="0" collapsed="false">
      <c r="A605" s="0" t="n">
        <v>604</v>
      </c>
      <c r="B605" s="0" t="str">
        <f aca="false">IF(A605&lt;=36*25,"PRODUKSI","REJECT")</f>
        <v>PRODUKSI</v>
      </c>
      <c r="C605" s="0" t="n">
        <f aca="false">MOD(A605-1,Pemetaan!$B$3*Pemetaan!$B$4)</f>
        <v>603</v>
      </c>
      <c r="D605" s="0" t="n">
        <f aca="false">INT(C605/Pemetaan!$B$4)</f>
        <v>24</v>
      </c>
      <c r="E605" s="0" t="n">
        <f aca="false">MOD(C605,Pemetaan!$B$4)</f>
        <v>3</v>
      </c>
      <c r="F605" s="0" t="n">
        <f aca="false">IF(B605="PRODUKSI",Pemetaan!$B$5,Pemetaan!$B$6)</f>
        <v>5</v>
      </c>
      <c r="G605" s="0" t="n">
        <f aca="false">F605+2+D605</f>
        <v>31</v>
      </c>
      <c r="H605" s="0" t="n">
        <f aca="false">Pemetaan!$B$2+E605</f>
        <v>8</v>
      </c>
      <c r="I605" s="0" t="str">
        <f aca="false">INDEX(Laporan!$A$1:$AZ$300,G605,1)</f>
        <v>Mixing</v>
      </c>
      <c r="J605" s="0" t="str">
        <f aca="false">INDEX(Laporan!$A$1:$AZ$300,G605,2)</f>
        <v>600 ml</v>
      </c>
      <c r="K605" s="0" t="str">
        <f aca="false">INDEX(Laporan!$A$1:$AZ$300,G605,3)</f>
        <v>Shift 1</v>
      </c>
      <c r="L605" s="0" t="n">
        <f aca="false">INDEX(Laporan!$A$1:$AZ$300,G605,4)</f>
        <v>1</v>
      </c>
      <c r="M605" s="1" t="n">
        <f aca="false">DATE(Pemetaan!$B$1,VALUE(RIGHT(INDEX(Laporan!$A$1:$AZ$300,F605+1,H605),2)),VALUE(LEFT(INDEX(Laporan!$A$1:$AZ$300,F605+1,H605),2)))</f>
        <v>46086</v>
      </c>
      <c r="N605" s="0" t="n">
        <f aca="false">INDEX(Laporan!$A$1:$AZ$300,G605,H605)</f>
        <v>3068</v>
      </c>
      <c r="O605" s="0" t="n">
        <f aca="false">IF(N605="","",IFERROR(VALUE(SUBSTITUTE(SUBSTITUTE(N605," btl",""),".","")),""))</f>
        <v>3068</v>
      </c>
      <c r="P605" s="0" t="str">
        <f aca="false">IF(B605="PRODUKSI","produced","reject")</f>
        <v>produced</v>
      </c>
    </row>
    <row r="606" customFormat="false" ht="15" hidden="false" customHeight="false" outlineLevel="0" collapsed="false">
      <c r="A606" s="0" t="n">
        <v>605</v>
      </c>
      <c r="B606" s="0" t="str">
        <f aca="false">IF(A606&lt;=36*25,"PRODUKSI","REJECT")</f>
        <v>PRODUKSI</v>
      </c>
      <c r="C606" s="0" t="n">
        <f aca="false">MOD(A606-1,Pemetaan!$B$3*Pemetaan!$B$4)</f>
        <v>604</v>
      </c>
      <c r="D606" s="0" t="n">
        <f aca="false">INT(C606/Pemetaan!$B$4)</f>
        <v>24</v>
      </c>
      <c r="E606" s="0" t="n">
        <f aca="false">MOD(C606,Pemetaan!$B$4)</f>
        <v>4</v>
      </c>
      <c r="F606" s="0" t="n">
        <f aca="false">IF(B606="PRODUKSI",Pemetaan!$B$5,Pemetaan!$B$6)</f>
        <v>5</v>
      </c>
      <c r="G606" s="0" t="n">
        <f aca="false">F606+2+D606</f>
        <v>31</v>
      </c>
      <c r="H606" s="0" t="n">
        <f aca="false">Pemetaan!$B$2+E606</f>
        <v>9</v>
      </c>
      <c r="I606" s="0" t="str">
        <f aca="false">INDEX(Laporan!$A$1:$AZ$300,G606,1)</f>
        <v>Mixing</v>
      </c>
      <c r="J606" s="0" t="str">
        <f aca="false">INDEX(Laporan!$A$1:$AZ$300,G606,2)</f>
        <v>600 ml</v>
      </c>
      <c r="K606" s="0" t="str">
        <f aca="false">INDEX(Laporan!$A$1:$AZ$300,G606,3)</f>
        <v>Shift 1</v>
      </c>
      <c r="L606" s="0" t="n">
        <f aca="false">INDEX(Laporan!$A$1:$AZ$300,G606,4)</f>
        <v>1</v>
      </c>
      <c r="M606" s="1" t="n">
        <f aca="false">DATE(Pemetaan!$B$1,VALUE(RIGHT(INDEX(Laporan!$A$1:$AZ$300,F606+1,H606),2)),VALUE(LEFT(INDEX(Laporan!$A$1:$AZ$300,F606+1,H606),2)))</f>
        <v>46087</v>
      </c>
      <c r="N606" s="0" t="n">
        <f aca="false">INDEX(Laporan!$A$1:$AZ$300,G606,H606)</f>
        <v>2967</v>
      </c>
      <c r="O606" s="0" t="n">
        <f aca="false">IF(N606="","",IFERROR(VALUE(SUBSTITUTE(SUBSTITUTE(N606," btl",""),".","")),""))</f>
        <v>2967</v>
      </c>
      <c r="P606" s="0" t="str">
        <f aca="false">IF(B606="PRODUKSI","produced","reject")</f>
        <v>produced</v>
      </c>
    </row>
    <row r="607" customFormat="false" ht="15" hidden="false" customHeight="false" outlineLevel="0" collapsed="false">
      <c r="A607" s="0" t="n">
        <v>606</v>
      </c>
      <c r="B607" s="0" t="str">
        <f aca="false">IF(A607&lt;=36*25,"PRODUKSI","REJECT")</f>
        <v>PRODUKSI</v>
      </c>
      <c r="C607" s="0" t="n">
        <f aca="false">MOD(A607-1,Pemetaan!$B$3*Pemetaan!$B$4)</f>
        <v>605</v>
      </c>
      <c r="D607" s="0" t="n">
        <f aca="false">INT(C607/Pemetaan!$B$4)</f>
        <v>24</v>
      </c>
      <c r="E607" s="0" t="n">
        <f aca="false">MOD(C607,Pemetaan!$B$4)</f>
        <v>5</v>
      </c>
      <c r="F607" s="0" t="n">
        <f aca="false">IF(B607="PRODUKSI",Pemetaan!$B$5,Pemetaan!$B$6)</f>
        <v>5</v>
      </c>
      <c r="G607" s="0" t="n">
        <f aca="false">F607+2+D607</f>
        <v>31</v>
      </c>
      <c r="H607" s="0" t="n">
        <f aca="false">Pemetaan!$B$2+E607</f>
        <v>10</v>
      </c>
      <c r="I607" s="0" t="str">
        <f aca="false">INDEX(Laporan!$A$1:$AZ$300,G607,1)</f>
        <v>Mixing</v>
      </c>
      <c r="J607" s="0" t="str">
        <f aca="false">INDEX(Laporan!$A$1:$AZ$300,G607,2)</f>
        <v>600 ml</v>
      </c>
      <c r="K607" s="0" t="str">
        <f aca="false">INDEX(Laporan!$A$1:$AZ$300,G607,3)</f>
        <v>Shift 1</v>
      </c>
      <c r="L607" s="0" t="n">
        <f aca="false">INDEX(Laporan!$A$1:$AZ$300,G607,4)</f>
        <v>1</v>
      </c>
      <c r="M607" s="1" t="n">
        <f aca="false">DATE(Pemetaan!$B$1,VALUE(RIGHT(INDEX(Laporan!$A$1:$AZ$300,F607+1,H607),2)),VALUE(LEFT(INDEX(Laporan!$A$1:$AZ$300,F607+1,H607),2)))</f>
        <v>46090</v>
      </c>
      <c r="N607" s="0" t="n">
        <f aca="false">INDEX(Laporan!$A$1:$AZ$300,G607,H607)</f>
        <v>2767</v>
      </c>
      <c r="O607" s="0" t="n">
        <f aca="false">IF(N607="","",IFERROR(VALUE(SUBSTITUTE(SUBSTITUTE(N607," btl",""),".","")),""))</f>
        <v>2767</v>
      </c>
      <c r="P607" s="0" t="str">
        <f aca="false">IF(B607="PRODUKSI","produced","reject")</f>
        <v>produced</v>
      </c>
    </row>
    <row r="608" customFormat="false" ht="15" hidden="false" customHeight="false" outlineLevel="0" collapsed="false">
      <c r="A608" s="0" t="n">
        <v>607</v>
      </c>
      <c r="B608" s="0" t="str">
        <f aca="false">IF(A608&lt;=36*25,"PRODUKSI","REJECT")</f>
        <v>PRODUKSI</v>
      </c>
      <c r="C608" s="0" t="n">
        <f aca="false">MOD(A608-1,Pemetaan!$B$3*Pemetaan!$B$4)</f>
        <v>606</v>
      </c>
      <c r="D608" s="0" t="n">
        <f aca="false">INT(C608/Pemetaan!$B$4)</f>
        <v>24</v>
      </c>
      <c r="E608" s="0" t="n">
        <f aca="false">MOD(C608,Pemetaan!$B$4)</f>
        <v>6</v>
      </c>
      <c r="F608" s="0" t="n">
        <f aca="false">IF(B608="PRODUKSI",Pemetaan!$B$5,Pemetaan!$B$6)</f>
        <v>5</v>
      </c>
      <c r="G608" s="0" t="n">
        <f aca="false">F608+2+D608</f>
        <v>31</v>
      </c>
      <c r="H608" s="0" t="n">
        <f aca="false">Pemetaan!$B$2+E608</f>
        <v>11</v>
      </c>
      <c r="I608" s="0" t="str">
        <f aca="false">INDEX(Laporan!$A$1:$AZ$300,G608,1)</f>
        <v>Mixing</v>
      </c>
      <c r="J608" s="0" t="str">
        <f aca="false">INDEX(Laporan!$A$1:$AZ$300,G608,2)</f>
        <v>600 ml</v>
      </c>
      <c r="K608" s="0" t="str">
        <f aca="false">INDEX(Laporan!$A$1:$AZ$300,G608,3)</f>
        <v>Shift 1</v>
      </c>
      <c r="L608" s="0" t="n">
        <f aca="false">INDEX(Laporan!$A$1:$AZ$300,G608,4)</f>
        <v>1</v>
      </c>
      <c r="M608" s="1" t="n">
        <f aca="false">DATE(Pemetaan!$B$1,VALUE(RIGHT(INDEX(Laporan!$A$1:$AZ$300,F608+1,H608),2)),VALUE(LEFT(INDEX(Laporan!$A$1:$AZ$300,F608+1,H608),2)))</f>
        <v>46091</v>
      </c>
      <c r="N608" s="0" t="n">
        <f aca="false">INDEX(Laporan!$A$1:$AZ$300,G608,H608)</f>
        <v>2809</v>
      </c>
      <c r="O608" s="0" t="n">
        <f aca="false">IF(N608="","",IFERROR(VALUE(SUBSTITUTE(SUBSTITUTE(N608," btl",""),".","")),""))</f>
        <v>2809</v>
      </c>
      <c r="P608" s="0" t="str">
        <f aca="false">IF(B608="PRODUKSI","produced","reject")</f>
        <v>produced</v>
      </c>
    </row>
    <row r="609" customFormat="false" ht="15" hidden="false" customHeight="false" outlineLevel="0" collapsed="false">
      <c r="A609" s="0" t="n">
        <v>608</v>
      </c>
      <c r="B609" s="0" t="str">
        <f aca="false">IF(A609&lt;=36*25,"PRODUKSI","REJECT")</f>
        <v>PRODUKSI</v>
      </c>
      <c r="C609" s="0" t="n">
        <f aca="false">MOD(A609-1,Pemetaan!$B$3*Pemetaan!$B$4)</f>
        <v>607</v>
      </c>
      <c r="D609" s="0" t="n">
        <f aca="false">INT(C609/Pemetaan!$B$4)</f>
        <v>24</v>
      </c>
      <c r="E609" s="0" t="n">
        <f aca="false">MOD(C609,Pemetaan!$B$4)</f>
        <v>7</v>
      </c>
      <c r="F609" s="0" t="n">
        <f aca="false">IF(B609="PRODUKSI",Pemetaan!$B$5,Pemetaan!$B$6)</f>
        <v>5</v>
      </c>
      <c r="G609" s="0" t="n">
        <f aca="false">F609+2+D609</f>
        <v>31</v>
      </c>
      <c r="H609" s="0" t="n">
        <f aca="false">Pemetaan!$B$2+E609</f>
        <v>12</v>
      </c>
      <c r="I609" s="0" t="str">
        <f aca="false">INDEX(Laporan!$A$1:$AZ$300,G609,1)</f>
        <v>Mixing</v>
      </c>
      <c r="J609" s="0" t="str">
        <f aca="false">INDEX(Laporan!$A$1:$AZ$300,G609,2)</f>
        <v>600 ml</v>
      </c>
      <c r="K609" s="0" t="str">
        <f aca="false">INDEX(Laporan!$A$1:$AZ$300,G609,3)</f>
        <v>Shift 1</v>
      </c>
      <c r="L609" s="0" t="n">
        <f aca="false">INDEX(Laporan!$A$1:$AZ$300,G609,4)</f>
        <v>1</v>
      </c>
      <c r="M609" s="1" t="n">
        <f aca="false">DATE(Pemetaan!$B$1,VALUE(RIGHT(INDEX(Laporan!$A$1:$AZ$300,F609+1,H609),2)),VALUE(LEFT(INDEX(Laporan!$A$1:$AZ$300,F609+1,H609),2)))</f>
        <v>46092</v>
      </c>
      <c r="N609" s="0" t="n">
        <f aca="false">INDEX(Laporan!$A$1:$AZ$300,G609,H609)</f>
        <v>2716</v>
      </c>
      <c r="O609" s="0" t="n">
        <f aca="false">IF(N609="","",IFERROR(VALUE(SUBSTITUTE(SUBSTITUTE(N609," btl",""),".","")),""))</f>
        <v>2716</v>
      </c>
      <c r="P609" s="0" t="str">
        <f aca="false">IF(B609="PRODUKSI","produced","reject")</f>
        <v>produced</v>
      </c>
    </row>
    <row r="610" customFormat="false" ht="15" hidden="false" customHeight="false" outlineLevel="0" collapsed="false">
      <c r="A610" s="0" t="n">
        <v>609</v>
      </c>
      <c r="B610" s="0" t="str">
        <f aca="false">IF(A610&lt;=36*25,"PRODUKSI","REJECT")</f>
        <v>PRODUKSI</v>
      </c>
      <c r="C610" s="0" t="n">
        <f aca="false">MOD(A610-1,Pemetaan!$B$3*Pemetaan!$B$4)</f>
        <v>608</v>
      </c>
      <c r="D610" s="0" t="n">
        <f aca="false">INT(C610/Pemetaan!$B$4)</f>
        <v>24</v>
      </c>
      <c r="E610" s="0" t="n">
        <f aca="false">MOD(C610,Pemetaan!$B$4)</f>
        <v>8</v>
      </c>
      <c r="F610" s="0" t="n">
        <f aca="false">IF(B610="PRODUKSI",Pemetaan!$B$5,Pemetaan!$B$6)</f>
        <v>5</v>
      </c>
      <c r="G610" s="0" t="n">
        <f aca="false">F610+2+D610</f>
        <v>31</v>
      </c>
      <c r="H610" s="0" t="n">
        <f aca="false">Pemetaan!$B$2+E610</f>
        <v>13</v>
      </c>
      <c r="I610" s="0" t="str">
        <f aca="false">INDEX(Laporan!$A$1:$AZ$300,G610,1)</f>
        <v>Mixing</v>
      </c>
      <c r="J610" s="0" t="str">
        <f aca="false">INDEX(Laporan!$A$1:$AZ$300,G610,2)</f>
        <v>600 ml</v>
      </c>
      <c r="K610" s="0" t="str">
        <f aca="false">INDEX(Laporan!$A$1:$AZ$300,G610,3)</f>
        <v>Shift 1</v>
      </c>
      <c r="L610" s="0" t="n">
        <f aca="false">INDEX(Laporan!$A$1:$AZ$300,G610,4)</f>
        <v>1</v>
      </c>
      <c r="M610" s="1" t="n">
        <f aca="false">DATE(Pemetaan!$B$1,VALUE(RIGHT(INDEX(Laporan!$A$1:$AZ$300,F610+1,H610),2)),VALUE(LEFT(INDEX(Laporan!$A$1:$AZ$300,F610+1,H610),2)))</f>
        <v>46093</v>
      </c>
      <c r="N610" s="0" t="n">
        <f aca="false">INDEX(Laporan!$A$1:$AZ$300,G610,H610)</f>
        <v>2844</v>
      </c>
      <c r="O610" s="0" t="n">
        <f aca="false">IF(N610="","",IFERROR(VALUE(SUBSTITUTE(SUBSTITUTE(N610," btl",""),".","")),""))</f>
        <v>2844</v>
      </c>
      <c r="P610" s="0" t="str">
        <f aca="false">IF(B610="PRODUKSI","produced","reject")</f>
        <v>produced</v>
      </c>
    </row>
    <row r="611" customFormat="false" ht="15" hidden="false" customHeight="false" outlineLevel="0" collapsed="false">
      <c r="A611" s="0" t="n">
        <v>610</v>
      </c>
      <c r="B611" s="0" t="str">
        <f aca="false">IF(A611&lt;=36*25,"PRODUKSI","REJECT")</f>
        <v>PRODUKSI</v>
      </c>
      <c r="C611" s="0" t="n">
        <f aca="false">MOD(A611-1,Pemetaan!$B$3*Pemetaan!$B$4)</f>
        <v>609</v>
      </c>
      <c r="D611" s="0" t="n">
        <f aca="false">INT(C611/Pemetaan!$B$4)</f>
        <v>24</v>
      </c>
      <c r="E611" s="0" t="n">
        <f aca="false">MOD(C611,Pemetaan!$B$4)</f>
        <v>9</v>
      </c>
      <c r="F611" s="0" t="n">
        <f aca="false">IF(B611="PRODUKSI",Pemetaan!$B$5,Pemetaan!$B$6)</f>
        <v>5</v>
      </c>
      <c r="G611" s="0" t="n">
        <f aca="false">F611+2+D611</f>
        <v>31</v>
      </c>
      <c r="H611" s="0" t="n">
        <f aca="false">Pemetaan!$B$2+E611</f>
        <v>14</v>
      </c>
      <c r="I611" s="0" t="str">
        <f aca="false">INDEX(Laporan!$A$1:$AZ$300,G611,1)</f>
        <v>Mixing</v>
      </c>
      <c r="J611" s="0" t="str">
        <f aca="false">INDEX(Laporan!$A$1:$AZ$300,G611,2)</f>
        <v>600 ml</v>
      </c>
      <c r="K611" s="0" t="str">
        <f aca="false">INDEX(Laporan!$A$1:$AZ$300,G611,3)</f>
        <v>Shift 1</v>
      </c>
      <c r="L611" s="0" t="n">
        <f aca="false">INDEX(Laporan!$A$1:$AZ$300,G611,4)</f>
        <v>1</v>
      </c>
      <c r="M611" s="1" t="n">
        <f aca="false">DATE(Pemetaan!$B$1,VALUE(RIGHT(INDEX(Laporan!$A$1:$AZ$300,F611+1,H611),2)),VALUE(LEFT(INDEX(Laporan!$A$1:$AZ$300,F611+1,H611),2)))</f>
        <v>46094</v>
      </c>
      <c r="N611" s="0" t="n">
        <f aca="false">INDEX(Laporan!$A$1:$AZ$300,G611,H611)</f>
        <v>2546</v>
      </c>
      <c r="O611" s="0" t="n">
        <f aca="false">IF(N611="","",IFERROR(VALUE(SUBSTITUTE(SUBSTITUTE(N611," btl",""),".","")),""))</f>
        <v>2546</v>
      </c>
      <c r="P611" s="0" t="str">
        <f aca="false">IF(B611="PRODUKSI","produced","reject")</f>
        <v>produced</v>
      </c>
    </row>
    <row r="612" customFormat="false" ht="15" hidden="false" customHeight="false" outlineLevel="0" collapsed="false">
      <c r="A612" s="0" t="n">
        <v>611</v>
      </c>
      <c r="B612" s="0" t="str">
        <f aca="false">IF(A612&lt;=36*25,"PRODUKSI","REJECT")</f>
        <v>PRODUKSI</v>
      </c>
      <c r="C612" s="0" t="n">
        <f aca="false">MOD(A612-1,Pemetaan!$B$3*Pemetaan!$B$4)</f>
        <v>610</v>
      </c>
      <c r="D612" s="0" t="n">
        <f aca="false">INT(C612/Pemetaan!$B$4)</f>
        <v>24</v>
      </c>
      <c r="E612" s="0" t="n">
        <f aca="false">MOD(C612,Pemetaan!$B$4)</f>
        <v>10</v>
      </c>
      <c r="F612" s="0" t="n">
        <f aca="false">IF(B612="PRODUKSI",Pemetaan!$B$5,Pemetaan!$B$6)</f>
        <v>5</v>
      </c>
      <c r="G612" s="0" t="n">
        <f aca="false">F612+2+D612</f>
        <v>31</v>
      </c>
      <c r="H612" s="0" t="n">
        <f aca="false">Pemetaan!$B$2+E612</f>
        <v>15</v>
      </c>
      <c r="I612" s="0" t="str">
        <f aca="false">INDEX(Laporan!$A$1:$AZ$300,G612,1)</f>
        <v>Mixing</v>
      </c>
      <c r="J612" s="0" t="str">
        <f aca="false">INDEX(Laporan!$A$1:$AZ$300,G612,2)</f>
        <v>600 ml</v>
      </c>
      <c r="K612" s="0" t="str">
        <f aca="false">INDEX(Laporan!$A$1:$AZ$300,G612,3)</f>
        <v>Shift 1</v>
      </c>
      <c r="L612" s="0" t="n">
        <f aca="false">INDEX(Laporan!$A$1:$AZ$300,G612,4)</f>
        <v>1</v>
      </c>
      <c r="M612" s="1" t="n">
        <f aca="false">DATE(Pemetaan!$B$1,VALUE(RIGHT(INDEX(Laporan!$A$1:$AZ$300,F612+1,H612),2)),VALUE(LEFT(INDEX(Laporan!$A$1:$AZ$300,F612+1,H612),2)))</f>
        <v>46097</v>
      </c>
      <c r="N612" s="0" t="n">
        <f aca="false">INDEX(Laporan!$A$1:$AZ$300,G612,H612)</f>
        <v>2745</v>
      </c>
      <c r="O612" s="0" t="n">
        <f aca="false">IF(N612="","",IFERROR(VALUE(SUBSTITUTE(SUBSTITUTE(N612," btl",""),".","")),""))</f>
        <v>2745</v>
      </c>
      <c r="P612" s="0" t="str">
        <f aca="false">IF(B612="PRODUKSI","produced","reject")</f>
        <v>produced</v>
      </c>
    </row>
    <row r="613" customFormat="false" ht="15" hidden="false" customHeight="false" outlineLevel="0" collapsed="false">
      <c r="A613" s="0" t="n">
        <v>612</v>
      </c>
      <c r="B613" s="0" t="str">
        <f aca="false">IF(A613&lt;=36*25,"PRODUKSI","REJECT")</f>
        <v>PRODUKSI</v>
      </c>
      <c r="C613" s="0" t="n">
        <f aca="false">MOD(A613-1,Pemetaan!$B$3*Pemetaan!$B$4)</f>
        <v>611</v>
      </c>
      <c r="D613" s="0" t="n">
        <f aca="false">INT(C613/Pemetaan!$B$4)</f>
        <v>24</v>
      </c>
      <c r="E613" s="0" t="n">
        <f aca="false">MOD(C613,Pemetaan!$B$4)</f>
        <v>11</v>
      </c>
      <c r="F613" s="0" t="n">
        <f aca="false">IF(B613="PRODUKSI",Pemetaan!$B$5,Pemetaan!$B$6)</f>
        <v>5</v>
      </c>
      <c r="G613" s="0" t="n">
        <f aca="false">F613+2+D613</f>
        <v>31</v>
      </c>
      <c r="H613" s="0" t="n">
        <f aca="false">Pemetaan!$B$2+E613</f>
        <v>16</v>
      </c>
      <c r="I613" s="0" t="str">
        <f aca="false">INDEX(Laporan!$A$1:$AZ$300,G613,1)</f>
        <v>Mixing</v>
      </c>
      <c r="J613" s="0" t="str">
        <f aca="false">INDEX(Laporan!$A$1:$AZ$300,G613,2)</f>
        <v>600 ml</v>
      </c>
      <c r="K613" s="0" t="str">
        <f aca="false">INDEX(Laporan!$A$1:$AZ$300,G613,3)</f>
        <v>Shift 1</v>
      </c>
      <c r="L613" s="0" t="n">
        <f aca="false">INDEX(Laporan!$A$1:$AZ$300,G613,4)</f>
        <v>1</v>
      </c>
      <c r="M613" s="1" t="n">
        <f aca="false">DATE(Pemetaan!$B$1,VALUE(RIGHT(INDEX(Laporan!$A$1:$AZ$300,F613+1,H613),2)),VALUE(LEFT(INDEX(Laporan!$A$1:$AZ$300,F613+1,H613),2)))</f>
        <v>46098</v>
      </c>
      <c r="N613" s="0" t="n">
        <f aca="false">INDEX(Laporan!$A$1:$AZ$300,G613,H613)</f>
        <v>2496</v>
      </c>
      <c r="O613" s="0" t="n">
        <f aca="false">IF(N613="","",IFERROR(VALUE(SUBSTITUTE(SUBSTITUTE(N613," btl",""),".","")),""))</f>
        <v>2496</v>
      </c>
      <c r="P613" s="0" t="str">
        <f aca="false">IF(B613="PRODUKSI","produced","reject")</f>
        <v>produced</v>
      </c>
    </row>
    <row r="614" customFormat="false" ht="15" hidden="false" customHeight="false" outlineLevel="0" collapsed="false">
      <c r="A614" s="0" t="n">
        <v>613</v>
      </c>
      <c r="B614" s="0" t="str">
        <f aca="false">IF(A614&lt;=36*25,"PRODUKSI","REJECT")</f>
        <v>PRODUKSI</v>
      </c>
      <c r="C614" s="0" t="n">
        <f aca="false">MOD(A614-1,Pemetaan!$B$3*Pemetaan!$B$4)</f>
        <v>612</v>
      </c>
      <c r="D614" s="0" t="n">
        <f aca="false">INT(C614/Pemetaan!$B$4)</f>
        <v>24</v>
      </c>
      <c r="E614" s="0" t="n">
        <f aca="false">MOD(C614,Pemetaan!$B$4)</f>
        <v>12</v>
      </c>
      <c r="F614" s="0" t="n">
        <f aca="false">IF(B614="PRODUKSI",Pemetaan!$B$5,Pemetaan!$B$6)</f>
        <v>5</v>
      </c>
      <c r="G614" s="0" t="n">
        <f aca="false">F614+2+D614</f>
        <v>31</v>
      </c>
      <c r="H614" s="0" t="n">
        <f aca="false">Pemetaan!$B$2+E614</f>
        <v>17</v>
      </c>
      <c r="I614" s="0" t="str">
        <f aca="false">INDEX(Laporan!$A$1:$AZ$300,G614,1)</f>
        <v>Mixing</v>
      </c>
      <c r="J614" s="0" t="str">
        <f aca="false">INDEX(Laporan!$A$1:$AZ$300,G614,2)</f>
        <v>600 ml</v>
      </c>
      <c r="K614" s="0" t="str">
        <f aca="false">INDEX(Laporan!$A$1:$AZ$300,G614,3)</f>
        <v>Shift 1</v>
      </c>
      <c r="L614" s="0" t="n">
        <f aca="false">INDEX(Laporan!$A$1:$AZ$300,G614,4)</f>
        <v>1</v>
      </c>
      <c r="M614" s="1" t="n">
        <f aca="false">DATE(Pemetaan!$B$1,VALUE(RIGHT(INDEX(Laporan!$A$1:$AZ$300,F614+1,H614),2)),VALUE(LEFT(INDEX(Laporan!$A$1:$AZ$300,F614+1,H614),2)))</f>
        <v>46099</v>
      </c>
      <c r="N614" s="0" t="n">
        <f aca="false">INDEX(Laporan!$A$1:$AZ$300,G614,H614)</f>
        <v>2658</v>
      </c>
      <c r="O614" s="0" t="n">
        <f aca="false">IF(N614="","",IFERROR(VALUE(SUBSTITUTE(SUBSTITUTE(N614," btl",""),".","")),""))</f>
        <v>2658</v>
      </c>
      <c r="P614" s="0" t="str">
        <f aca="false">IF(B614="PRODUKSI","produced","reject")</f>
        <v>produced</v>
      </c>
    </row>
    <row r="615" customFormat="false" ht="15" hidden="false" customHeight="false" outlineLevel="0" collapsed="false">
      <c r="A615" s="0" t="n">
        <v>614</v>
      </c>
      <c r="B615" s="0" t="str">
        <f aca="false">IF(A615&lt;=36*25,"PRODUKSI","REJECT")</f>
        <v>PRODUKSI</v>
      </c>
      <c r="C615" s="0" t="n">
        <f aca="false">MOD(A615-1,Pemetaan!$B$3*Pemetaan!$B$4)</f>
        <v>613</v>
      </c>
      <c r="D615" s="0" t="n">
        <f aca="false">INT(C615/Pemetaan!$B$4)</f>
        <v>24</v>
      </c>
      <c r="E615" s="0" t="n">
        <f aca="false">MOD(C615,Pemetaan!$B$4)</f>
        <v>13</v>
      </c>
      <c r="F615" s="0" t="n">
        <f aca="false">IF(B615="PRODUKSI",Pemetaan!$B$5,Pemetaan!$B$6)</f>
        <v>5</v>
      </c>
      <c r="G615" s="0" t="n">
        <f aca="false">F615+2+D615</f>
        <v>31</v>
      </c>
      <c r="H615" s="0" t="n">
        <f aca="false">Pemetaan!$B$2+E615</f>
        <v>18</v>
      </c>
      <c r="I615" s="0" t="str">
        <f aca="false">INDEX(Laporan!$A$1:$AZ$300,G615,1)</f>
        <v>Mixing</v>
      </c>
      <c r="J615" s="0" t="str">
        <f aca="false">INDEX(Laporan!$A$1:$AZ$300,G615,2)</f>
        <v>600 ml</v>
      </c>
      <c r="K615" s="0" t="str">
        <f aca="false">INDEX(Laporan!$A$1:$AZ$300,G615,3)</f>
        <v>Shift 1</v>
      </c>
      <c r="L615" s="0" t="n">
        <f aca="false">INDEX(Laporan!$A$1:$AZ$300,G615,4)</f>
        <v>1</v>
      </c>
      <c r="M615" s="1" t="n">
        <f aca="false">DATE(Pemetaan!$B$1,VALUE(RIGHT(INDEX(Laporan!$A$1:$AZ$300,F615+1,H615),2)),VALUE(LEFT(INDEX(Laporan!$A$1:$AZ$300,F615+1,H615),2)))</f>
        <v>46100</v>
      </c>
      <c r="N615" s="0" t="n">
        <f aca="false">INDEX(Laporan!$A$1:$AZ$300,G615,H615)</f>
        <v>2806</v>
      </c>
      <c r="O615" s="0" t="n">
        <f aca="false">IF(N615="","",IFERROR(VALUE(SUBSTITUTE(SUBSTITUTE(N615," btl",""),".","")),""))</f>
        <v>2806</v>
      </c>
      <c r="P615" s="0" t="str">
        <f aca="false">IF(B615="PRODUKSI","produced","reject")</f>
        <v>produced</v>
      </c>
    </row>
    <row r="616" customFormat="false" ht="15" hidden="false" customHeight="false" outlineLevel="0" collapsed="false">
      <c r="A616" s="0" t="n">
        <v>615</v>
      </c>
      <c r="B616" s="0" t="str">
        <f aca="false">IF(A616&lt;=36*25,"PRODUKSI","REJECT")</f>
        <v>PRODUKSI</v>
      </c>
      <c r="C616" s="0" t="n">
        <f aca="false">MOD(A616-1,Pemetaan!$B$3*Pemetaan!$B$4)</f>
        <v>614</v>
      </c>
      <c r="D616" s="0" t="n">
        <f aca="false">INT(C616/Pemetaan!$B$4)</f>
        <v>24</v>
      </c>
      <c r="E616" s="0" t="n">
        <f aca="false">MOD(C616,Pemetaan!$B$4)</f>
        <v>14</v>
      </c>
      <c r="F616" s="0" t="n">
        <f aca="false">IF(B616="PRODUKSI",Pemetaan!$B$5,Pemetaan!$B$6)</f>
        <v>5</v>
      </c>
      <c r="G616" s="0" t="n">
        <f aca="false">F616+2+D616</f>
        <v>31</v>
      </c>
      <c r="H616" s="0" t="n">
        <f aca="false">Pemetaan!$B$2+E616</f>
        <v>19</v>
      </c>
      <c r="I616" s="0" t="str">
        <f aca="false">INDEX(Laporan!$A$1:$AZ$300,G616,1)</f>
        <v>Mixing</v>
      </c>
      <c r="J616" s="0" t="str">
        <f aca="false">INDEX(Laporan!$A$1:$AZ$300,G616,2)</f>
        <v>600 ml</v>
      </c>
      <c r="K616" s="0" t="str">
        <f aca="false">INDEX(Laporan!$A$1:$AZ$300,G616,3)</f>
        <v>Shift 1</v>
      </c>
      <c r="L616" s="0" t="n">
        <f aca="false">INDEX(Laporan!$A$1:$AZ$300,G616,4)</f>
        <v>1</v>
      </c>
      <c r="M616" s="1" t="n">
        <f aca="false">DATE(Pemetaan!$B$1,VALUE(RIGHT(INDEX(Laporan!$A$1:$AZ$300,F616+1,H616),2)),VALUE(LEFT(INDEX(Laporan!$A$1:$AZ$300,F616+1,H616),2)))</f>
        <v>46101</v>
      </c>
      <c r="N616" s="0" t="n">
        <f aca="false">INDEX(Laporan!$A$1:$AZ$300,G616,H616)</f>
        <v>2724</v>
      </c>
      <c r="O616" s="0" t="n">
        <f aca="false">IF(N616="","",IFERROR(VALUE(SUBSTITUTE(SUBSTITUTE(N616," btl",""),".","")),""))</f>
        <v>2724</v>
      </c>
      <c r="P616" s="0" t="str">
        <f aca="false">IF(B616="PRODUKSI","produced","reject")</f>
        <v>produced</v>
      </c>
    </row>
    <row r="617" customFormat="false" ht="15" hidden="false" customHeight="false" outlineLevel="0" collapsed="false">
      <c r="A617" s="0" t="n">
        <v>616</v>
      </c>
      <c r="B617" s="0" t="str">
        <f aca="false">IF(A617&lt;=36*25,"PRODUKSI","REJECT")</f>
        <v>PRODUKSI</v>
      </c>
      <c r="C617" s="0" t="n">
        <f aca="false">MOD(A617-1,Pemetaan!$B$3*Pemetaan!$B$4)</f>
        <v>615</v>
      </c>
      <c r="D617" s="0" t="n">
        <f aca="false">INT(C617/Pemetaan!$B$4)</f>
        <v>24</v>
      </c>
      <c r="E617" s="0" t="n">
        <f aca="false">MOD(C617,Pemetaan!$B$4)</f>
        <v>15</v>
      </c>
      <c r="F617" s="0" t="n">
        <f aca="false">IF(B617="PRODUKSI",Pemetaan!$B$5,Pemetaan!$B$6)</f>
        <v>5</v>
      </c>
      <c r="G617" s="0" t="n">
        <f aca="false">F617+2+D617</f>
        <v>31</v>
      </c>
      <c r="H617" s="0" t="n">
        <f aca="false">Pemetaan!$B$2+E617</f>
        <v>20</v>
      </c>
      <c r="I617" s="0" t="str">
        <f aca="false">INDEX(Laporan!$A$1:$AZ$300,G617,1)</f>
        <v>Mixing</v>
      </c>
      <c r="J617" s="0" t="str">
        <f aca="false">INDEX(Laporan!$A$1:$AZ$300,G617,2)</f>
        <v>600 ml</v>
      </c>
      <c r="K617" s="0" t="str">
        <f aca="false">INDEX(Laporan!$A$1:$AZ$300,G617,3)</f>
        <v>Shift 1</v>
      </c>
      <c r="L617" s="0" t="n">
        <f aca="false">INDEX(Laporan!$A$1:$AZ$300,G617,4)</f>
        <v>1</v>
      </c>
      <c r="M617" s="1" t="n">
        <f aca="false">DATE(Pemetaan!$B$1,VALUE(RIGHT(INDEX(Laporan!$A$1:$AZ$300,F617+1,H617),2)),VALUE(LEFT(INDEX(Laporan!$A$1:$AZ$300,F617+1,H617),2)))</f>
        <v>46104</v>
      </c>
      <c r="N617" s="0" t="n">
        <f aca="false">INDEX(Laporan!$A$1:$AZ$300,G617,H617)</f>
        <v>2776</v>
      </c>
      <c r="O617" s="0" t="n">
        <f aca="false">IF(N617="","",IFERROR(VALUE(SUBSTITUTE(SUBSTITUTE(N617," btl",""),".","")),""))</f>
        <v>2776</v>
      </c>
      <c r="P617" s="0" t="str">
        <f aca="false">IF(B617="PRODUKSI","produced","reject")</f>
        <v>produced</v>
      </c>
    </row>
    <row r="618" customFormat="false" ht="15" hidden="false" customHeight="false" outlineLevel="0" collapsed="false">
      <c r="A618" s="0" t="n">
        <v>617</v>
      </c>
      <c r="B618" s="0" t="str">
        <f aca="false">IF(A618&lt;=36*25,"PRODUKSI","REJECT")</f>
        <v>PRODUKSI</v>
      </c>
      <c r="C618" s="0" t="n">
        <f aca="false">MOD(A618-1,Pemetaan!$B$3*Pemetaan!$B$4)</f>
        <v>616</v>
      </c>
      <c r="D618" s="0" t="n">
        <f aca="false">INT(C618/Pemetaan!$B$4)</f>
        <v>24</v>
      </c>
      <c r="E618" s="0" t="n">
        <f aca="false">MOD(C618,Pemetaan!$B$4)</f>
        <v>16</v>
      </c>
      <c r="F618" s="0" t="n">
        <f aca="false">IF(B618="PRODUKSI",Pemetaan!$B$5,Pemetaan!$B$6)</f>
        <v>5</v>
      </c>
      <c r="G618" s="0" t="n">
        <f aca="false">F618+2+D618</f>
        <v>31</v>
      </c>
      <c r="H618" s="0" t="n">
        <f aca="false">Pemetaan!$B$2+E618</f>
        <v>21</v>
      </c>
      <c r="I618" s="0" t="str">
        <f aca="false">INDEX(Laporan!$A$1:$AZ$300,G618,1)</f>
        <v>Mixing</v>
      </c>
      <c r="J618" s="0" t="str">
        <f aca="false">INDEX(Laporan!$A$1:$AZ$300,G618,2)</f>
        <v>600 ml</v>
      </c>
      <c r="K618" s="0" t="str">
        <f aca="false">INDEX(Laporan!$A$1:$AZ$300,G618,3)</f>
        <v>Shift 1</v>
      </c>
      <c r="L618" s="0" t="n">
        <f aca="false">INDEX(Laporan!$A$1:$AZ$300,G618,4)</f>
        <v>1</v>
      </c>
      <c r="M618" s="1" t="n">
        <f aca="false">DATE(Pemetaan!$B$1,VALUE(RIGHT(INDEX(Laporan!$A$1:$AZ$300,F618+1,H618),2)),VALUE(LEFT(INDEX(Laporan!$A$1:$AZ$300,F618+1,H618),2)))</f>
        <v>46105</v>
      </c>
      <c r="N618" s="0" t="n">
        <f aca="false">INDEX(Laporan!$A$1:$AZ$300,G618,H618)</f>
        <v>2671</v>
      </c>
      <c r="O618" s="0" t="n">
        <f aca="false">IF(N618="","",IFERROR(VALUE(SUBSTITUTE(SUBSTITUTE(N618," btl",""),".","")),""))</f>
        <v>2671</v>
      </c>
      <c r="P618" s="0" t="str">
        <f aca="false">IF(B618="PRODUKSI","produced","reject")</f>
        <v>produced</v>
      </c>
    </row>
    <row r="619" customFormat="false" ht="15" hidden="false" customHeight="false" outlineLevel="0" collapsed="false">
      <c r="A619" s="0" t="n">
        <v>618</v>
      </c>
      <c r="B619" s="0" t="str">
        <f aca="false">IF(A619&lt;=36*25,"PRODUKSI","REJECT")</f>
        <v>PRODUKSI</v>
      </c>
      <c r="C619" s="0" t="n">
        <f aca="false">MOD(A619-1,Pemetaan!$B$3*Pemetaan!$B$4)</f>
        <v>617</v>
      </c>
      <c r="D619" s="0" t="n">
        <f aca="false">INT(C619/Pemetaan!$B$4)</f>
        <v>24</v>
      </c>
      <c r="E619" s="0" t="n">
        <f aca="false">MOD(C619,Pemetaan!$B$4)</f>
        <v>17</v>
      </c>
      <c r="F619" s="0" t="n">
        <f aca="false">IF(B619="PRODUKSI",Pemetaan!$B$5,Pemetaan!$B$6)</f>
        <v>5</v>
      </c>
      <c r="G619" s="0" t="n">
        <f aca="false">F619+2+D619</f>
        <v>31</v>
      </c>
      <c r="H619" s="0" t="n">
        <f aca="false">Pemetaan!$B$2+E619</f>
        <v>22</v>
      </c>
      <c r="I619" s="0" t="str">
        <f aca="false">INDEX(Laporan!$A$1:$AZ$300,G619,1)</f>
        <v>Mixing</v>
      </c>
      <c r="J619" s="0" t="str">
        <f aca="false">INDEX(Laporan!$A$1:$AZ$300,G619,2)</f>
        <v>600 ml</v>
      </c>
      <c r="K619" s="0" t="str">
        <f aca="false">INDEX(Laporan!$A$1:$AZ$300,G619,3)</f>
        <v>Shift 1</v>
      </c>
      <c r="L619" s="0" t="n">
        <f aca="false">INDEX(Laporan!$A$1:$AZ$300,G619,4)</f>
        <v>1</v>
      </c>
      <c r="M619" s="1" t="n">
        <f aca="false">DATE(Pemetaan!$B$1,VALUE(RIGHT(INDEX(Laporan!$A$1:$AZ$300,F619+1,H619),2)),VALUE(LEFT(INDEX(Laporan!$A$1:$AZ$300,F619+1,H619),2)))</f>
        <v>46106</v>
      </c>
      <c r="N619" s="0" t="n">
        <f aca="false">INDEX(Laporan!$A$1:$AZ$300,G619,H619)</f>
        <v>2522</v>
      </c>
      <c r="O619" s="0" t="n">
        <f aca="false">IF(N619="","",IFERROR(VALUE(SUBSTITUTE(SUBSTITUTE(N619," btl",""),".","")),""))</f>
        <v>2522</v>
      </c>
      <c r="P619" s="0" t="str">
        <f aca="false">IF(B619="PRODUKSI","produced","reject")</f>
        <v>produced</v>
      </c>
    </row>
    <row r="620" customFormat="false" ht="15" hidden="false" customHeight="false" outlineLevel="0" collapsed="false">
      <c r="A620" s="0" t="n">
        <v>619</v>
      </c>
      <c r="B620" s="0" t="str">
        <f aca="false">IF(A620&lt;=36*25,"PRODUKSI","REJECT")</f>
        <v>PRODUKSI</v>
      </c>
      <c r="C620" s="0" t="n">
        <f aca="false">MOD(A620-1,Pemetaan!$B$3*Pemetaan!$B$4)</f>
        <v>618</v>
      </c>
      <c r="D620" s="0" t="n">
        <f aca="false">INT(C620/Pemetaan!$B$4)</f>
        <v>24</v>
      </c>
      <c r="E620" s="0" t="n">
        <f aca="false">MOD(C620,Pemetaan!$B$4)</f>
        <v>18</v>
      </c>
      <c r="F620" s="0" t="n">
        <f aca="false">IF(B620="PRODUKSI",Pemetaan!$B$5,Pemetaan!$B$6)</f>
        <v>5</v>
      </c>
      <c r="G620" s="0" t="n">
        <f aca="false">F620+2+D620</f>
        <v>31</v>
      </c>
      <c r="H620" s="0" t="n">
        <f aca="false">Pemetaan!$B$2+E620</f>
        <v>23</v>
      </c>
      <c r="I620" s="0" t="str">
        <f aca="false">INDEX(Laporan!$A$1:$AZ$300,G620,1)</f>
        <v>Mixing</v>
      </c>
      <c r="J620" s="0" t="str">
        <f aca="false">INDEX(Laporan!$A$1:$AZ$300,G620,2)</f>
        <v>600 ml</v>
      </c>
      <c r="K620" s="0" t="str">
        <f aca="false">INDEX(Laporan!$A$1:$AZ$300,G620,3)</f>
        <v>Shift 1</v>
      </c>
      <c r="L620" s="0" t="n">
        <f aca="false">INDEX(Laporan!$A$1:$AZ$300,G620,4)</f>
        <v>1</v>
      </c>
      <c r="M620" s="1" t="n">
        <f aca="false">DATE(Pemetaan!$B$1,VALUE(RIGHT(INDEX(Laporan!$A$1:$AZ$300,F620+1,H620),2)),VALUE(LEFT(INDEX(Laporan!$A$1:$AZ$300,F620+1,H620),2)))</f>
        <v>46107</v>
      </c>
      <c r="N620" s="0" t="n">
        <f aca="false">INDEX(Laporan!$A$1:$AZ$300,G620,H620)</f>
        <v>2781</v>
      </c>
      <c r="O620" s="0" t="n">
        <f aca="false">IF(N620="","",IFERROR(VALUE(SUBSTITUTE(SUBSTITUTE(N620," btl",""),".","")),""))</f>
        <v>2781</v>
      </c>
      <c r="P620" s="0" t="str">
        <f aca="false">IF(B620="PRODUKSI","produced","reject")</f>
        <v>produced</v>
      </c>
    </row>
    <row r="621" customFormat="false" ht="15" hidden="false" customHeight="false" outlineLevel="0" collapsed="false">
      <c r="A621" s="0" t="n">
        <v>620</v>
      </c>
      <c r="B621" s="0" t="str">
        <f aca="false">IF(A621&lt;=36*25,"PRODUKSI","REJECT")</f>
        <v>PRODUKSI</v>
      </c>
      <c r="C621" s="0" t="n">
        <f aca="false">MOD(A621-1,Pemetaan!$B$3*Pemetaan!$B$4)</f>
        <v>619</v>
      </c>
      <c r="D621" s="0" t="n">
        <f aca="false">INT(C621/Pemetaan!$B$4)</f>
        <v>24</v>
      </c>
      <c r="E621" s="0" t="n">
        <f aca="false">MOD(C621,Pemetaan!$B$4)</f>
        <v>19</v>
      </c>
      <c r="F621" s="0" t="n">
        <f aca="false">IF(B621="PRODUKSI",Pemetaan!$B$5,Pemetaan!$B$6)</f>
        <v>5</v>
      </c>
      <c r="G621" s="0" t="n">
        <f aca="false">F621+2+D621</f>
        <v>31</v>
      </c>
      <c r="H621" s="0" t="n">
        <f aca="false">Pemetaan!$B$2+E621</f>
        <v>24</v>
      </c>
      <c r="I621" s="0" t="str">
        <f aca="false">INDEX(Laporan!$A$1:$AZ$300,G621,1)</f>
        <v>Mixing</v>
      </c>
      <c r="J621" s="0" t="str">
        <f aca="false">INDEX(Laporan!$A$1:$AZ$300,G621,2)</f>
        <v>600 ml</v>
      </c>
      <c r="K621" s="0" t="str">
        <f aca="false">INDEX(Laporan!$A$1:$AZ$300,G621,3)</f>
        <v>Shift 1</v>
      </c>
      <c r="L621" s="0" t="n">
        <f aca="false">INDEX(Laporan!$A$1:$AZ$300,G621,4)</f>
        <v>1</v>
      </c>
      <c r="M621" s="1" t="n">
        <f aca="false">DATE(Pemetaan!$B$1,VALUE(RIGHT(INDEX(Laporan!$A$1:$AZ$300,F621+1,H621),2)),VALUE(LEFT(INDEX(Laporan!$A$1:$AZ$300,F621+1,H621),2)))</f>
        <v>46108</v>
      </c>
      <c r="N621" s="0" t="n">
        <f aca="false">INDEX(Laporan!$A$1:$AZ$300,G621,H621)</f>
        <v>3162</v>
      </c>
      <c r="O621" s="0" t="n">
        <f aca="false">IF(N621="","",IFERROR(VALUE(SUBSTITUTE(SUBSTITUTE(N621," btl",""),".","")),""))</f>
        <v>3162</v>
      </c>
      <c r="P621" s="0" t="str">
        <f aca="false">IF(B621="PRODUKSI","produced","reject")</f>
        <v>produced</v>
      </c>
    </row>
    <row r="622" customFormat="false" ht="15" hidden="false" customHeight="false" outlineLevel="0" collapsed="false">
      <c r="A622" s="0" t="n">
        <v>621</v>
      </c>
      <c r="B622" s="0" t="str">
        <f aca="false">IF(A622&lt;=36*25,"PRODUKSI","REJECT")</f>
        <v>PRODUKSI</v>
      </c>
      <c r="C622" s="0" t="n">
        <f aca="false">MOD(A622-1,Pemetaan!$B$3*Pemetaan!$B$4)</f>
        <v>620</v>
      </c>
      <c r="D622" s="0" t="n">
        <f aca="false">INT(C622/Pemetaan!$B$4)</f>
        <v>24</v>
      </c>
      <c r="E622" s="0" t="n">
        <f aca="false">MOD(C622,Pemetaan!$B$4)</f>
        <v>20</v>
      </c>
      <c r="F622" s="0" t="n">
        <f aca="false">IF(B622="PRODUKSI",Pemetaan!$B$5,Pemetaan!$B$6)</f>
        <v>5</v>
      </c>
      <c r="G622" s="0" t="n">
        <f aca="false">F622+2+D622</f>
        <v>31</v>
      </c>
      <c r="H622" s="0" t="n">
        <f aca="false">Pemetaan!$B$2+E622</f>
        <v>25</v>
      </c>
      <c r="I622" s="0" t="str">
        <f aca="false">INDEX(Laporan!$A$1:$AZ$300,G622,1)</f>
        <v>Mixing</v>
      </c>
      <c r="J622" s="0" t="str">
        <f aca="false">INDEX(Laporan!$A$1:$AZ$300,G622,2)</f>
        <v>600 ml</v>
      </c>
      <c r="K622" s="0" t="str">
        <f aca="false">INDEX(Laporan!$A$1:$AZ$300,G622,3)</f>
        <v>Shift 1</v>
      </c>
      <c r="L622" s="0" t="n">
        <f aca="false">INDEX(Laporan!$A$1:$AZ$300,G622,4)</f>
        <v>1</v>
      </c>
      <c r="M622" s="1" t="n">
        <f aca="false">DATE(Pemetaan!$B$1,VALUE(RIGHT(INDEX(Laporan!$A$1:$AZ$300,F622+1,H622),2)),VALUE(LEFT(INDEX(Laporan!$A$1:$AZ$300,F622+1,H622),2)))</f>
        <v>46111</v>
      </c>
      <c r="N622" s="0" t="n">
        <f aca="false">INDEX(Laporan!$A$1:$AZ$300,G622,H622)</f>
        <v>2948</v>
      </c>
      <c r="O622" s="0" t="n">
        <f aca="false">IF(N622="","",IFERROR(VALUE(SUBSTITUTE(SUBSTITUTE(N622," btl",""),".","")),""))</f>
        <v>2948</v>
      </c>
      <c r="P622" s="0" t="str">
        <f aca="false">IF(B622="PRODUKSI","produced","reject")</f>
        <v>produced</v>
      </c>
    </row>
    <row r="623" customFormat="false" ht="15" hidden="false" customHeight="false" outlineLevel="0" collapsed="false">
      <c r="A623" s="0" t="n">
        <v>622</v>
      </c>
      <c r="B623" s="0" t="str">
        <f aca="false">IF(A623&lt;=36*25,"PRODUKSI","REJECT")</f>
        <v>PRODUKSI</v>
      </c>
      <c r="C623" s="0" t="n">
        <f aca="false">MOD(A623-1,Pemetaan!$B$3*Pemetaan!$B$4)</f>
        <v>621</v>
      </c>
      <c r="D623" s="0" t="n">
        <f aca="false">INT(C623/Pemetaan!$B$4)</f>
        <v>24</v>
      </c>
      <c r="E623" s="0" t="n">
        <f aca="false">MOD(C623,Pemetaan!$B$4)</f>
        <v>21</v>
      </c>
      <c r="F623" s="0" t="n">
        <f aca="false">IF(B623="PRODUKSI",Pemetaan!$B$5,Pemetaan!$B$6)</f>
        <v>5</v>
      </c>
      <c r="G623" s="0" t="n">
        <f aca="false">F623+2+D623</f>
        <v>31</v>
      </c>
      <c r="H623" s="0" t="n">
        <f aca="false">Pemetaan!$B$2+E623</f>
        <v>26</v>
      </c>
      <c r="I623" s="0" t="str">
        <f aca="false">INDEX(Laporan!$A$1:$AZ$300,G623,1)</f>
        <v>Mixing</v>
      </c>
      <c r="J623" s="0" t="str">
        <f aca="false">INDEX(Laporan!$A$1:$AZ$300,G623,2)</f>
        <v>600 ml</v>
      </c>
      <c r="K623" s="0" t="str">
        <f aca="false">INDEX(Laporan!$A$1:$AZ$300,G623,3)</f>
        <v>Shift 1</v>
      </c>
      <c r="L623" s="0" t="n">
        <f aca="false">INDEX(Laporan!$A$1:$AZ$300,G623,4)</f>
        <v>1</v>
      </c>
      <c r="M623" s="1" t="n">
        <f aca="false">DATE(Pemetaan!$B$1,VALUE(RIGHT(INDEX(Laporan!$A$1:$AZ$300,F623+1,H623),2)),VALUE(LEFT(INDEX(Laporan!$A$1:$AZ$300,F623+1,H623),2)))</f>
        <v>46112</v>
      </c>
      <c r="N623" s="0" t="n">
        <f aca="false">INDEX(Laporan!$A$1:$AZ$300,G623,H623)</f>
        <v>2886</v>
      </c>
      <c r="O623" s="0" t="n">
        <f aca="false">IF(N623="","",IFERROR(VALUE(SUBSTITUTE(SUBSTITUTE(N623," btl",""),".","")),""))</f>
        <v>2886</v>
      </c>
      <c r="P623" s="0" t="str">
        <f aca="false">IF(B623="PRODUKSI","produced","reject")</f>
        <v>produced</v>
      </c>
    </row>
    <row r="624" customFormat="false" ht="15" hidden="false" customHeight="false" outlineLevel="0" collapsed="false">
      <c r="A624" s="0" t="n">
        <v>623</v>
      </c>
      <c r="B624" s="0" t="str">
        <f aca="false">IF(A624&lt;=36*25,"PRODUKSI","REJECT")</f>
        <v>PRODUKSI</v>
      </c>
      <c r="C624" s="0" t="n">
        <f aca="false">MOD(A624-1,Pemetaan!$B$3*Pemetaan!$B$4)</f>
        <v>622</v>
      </c>
      <c r="D624" s="0" t="n">
        <f aca="false">INT(C624/Pemetaan!$B$4)</f>
        <v>24</v>
      </c>
      <c r="E624" s="0" t="n">
        <f aca="false">MOD(C624,Pemetaan!$B$4)</f>
        <v>22</v>
      </c>
      <c r="F624" s="0" t="n">
        <f aca="false">IF(B624="PRODUKSI",Pemetaan!$B$5,Pemetaan!$B$6)</f>
        <v>5</v>
      </c>
      <c r="G624" s="0" t="n">
        <f aca="false">F624+2+D624</f>
        <v>31</v>
      </c>
      <c r="H624" s="0" t="n">
        <f aca="false">Pemetaan!$B$2+E624</f>
        <v>27</v>
      </c>
      <c r="I624" s="0" t="str">
        <f aca="false">INDEX(Laporan!$A$1:$AZ$300,G624,1)</f>
        <v>Mixing</v>
      </c>
      <c r="J624" s="0" t="str">
        <f aca="false">INDEX(Laporan!$A$1:$AZ$300,G624,2)</f>
        <v>600 ml</v>
      </c>
      <c r="K624" s="0" t="str">
        <f aca="false">INDEX(Laporan!$A$1:$AZ$300,G624,3)</f>
        <v>Shift 1</v>
      </c>
      <c r="L624" s="0" t="n">
        <f aca="false">INDEX(Laporan!$A$1:$AZ$300,G624,4)</f>
        <v>1</v>
      </c>
      <c r="M624" s="1" t="n">
        <f aca="false">DATE(Pemetaan!$B$1,VALUE(RIGHT(INDEX(Laporan!$A$1:$AZ$300,F624+1,H624),2)),VALUE(LEFT(INDEX(Laporan!$A$1:$AZ$300,F624+1,H624),2)))</f>
        <v>46113</v>
      </c>
      <c r="N624" s="0" t="n">
        <f aca="false">INDEX(Laporan!$A$1:$AZ$300,G624,H624)</f>
        <v>3114</v>
      </c>
      <c r="O624" s="0" t="n">
        <f aca="false">IF(N624="","",IFERROR(VALUE(SUBSTITUTE(SUBSTITUTE(N624," btl",""),".","")),""))</f>
        <v>3114</v>
      </c>
      <c r="P624" s="0" t="str">
        <f aca="false">IF(B624="PRODUKSI","produced","reject")</f>
        <v>produced</v>
      </c>
    </row>
    <row r="625" customFormat="false" ht="15" hidden="false" customHeight="false" outlineLevel="0" collapsed="false">
      <c r="A625" s="0" t="n">
        <v>624</v>
      </c>
      <c r="B625" s="0" t="str">
        <f aca="false">IF(A625&lt;=36*25,"PRODUKSI","REJECT")</f>
        <v>PRODUKSI</v>
      </c>
      <c r="C625" s="0" t="n">
        <f aca="false">MOD(A625-1,Pemetaan!$B$3*Pemetaan!$B$4)</f>
        <v>623</v>
      </c>
      <c r="D625" s="0" t="n">
        <f aca="false">INT(C625/Pemetaan!$B$4)</f>
        <v>24</v>
      </c>
      <c r="E625" s="0" t="n">
        <f aca="false">MOD(C625,Pemetaan!$B$4)</f>
        <v>23</v>
      </c>
      <c r="F625" s="0" t="n">
        <f aca="false">IF(B625="PRODUKSI",Pemetaan!$B$5,Pemetaan!$B$6)</f>
        <v>5</v>
      </c>
      <c r="G625" s="0" t="n">
        <f aca="false">F625+2+D625</f>
        <v>31</v>
      </c>
      <c r="H625" s="0" t="n">
        <f aca="false">Pemetaan!$B$2+E625</f>
        <v>28</v>
      </c>
      <c r="I625" s="0" t="str">
        <f aca="false">INDEX(Laporan!$A$1:$AZ$300,G625,1)</f>
        <v>Mixing</v>
      </c>
      <c r="J625" s="0" t="str">
        <f aca="false">INDEX(Laporan!$A$1:$AZ$300,G625,2)</f>
        <v>600 ml</v>
      </c>
      <c r="K625" s="0" t="str">
        <f aca="false">INDEX(Laporan!$A$1:$AZ$300,G625,3)</f>
        <v>Shift 1</v>
      </c>
      <c r="L625" s="0" t="n">
        <f aca="false">INDEX(Laporan!$A$1:$AZ$300,G625,4)</f>
        <v>1</v>
      </c>
      <c r="M625" s="1" t="n">
        <f aca="false">DATE(Pemetaan!$B$1,VALUE(RIGHT(INDEX(Laporan!$A$1:$AZ$300,F625+1,H625),2)),VALUE(LEFT(INDEX(Laporan!$A$1:$AZ$300,F625+1,H625),2)))</f>
        <v>46114</v>
      </c>
      <c r="N625" s="0" t="n">
        <f aca="false">INDEX(Laporan!$A$1:$AZ$300,G625,H625)</f>
        <v>2455</v>
      </c>
      <c r="O625" s="0" t="n">
        <f aca="false">IF(N625="","",IFERROR(VALUE(SUBSTITUTE(SUBSTITUTE(N625," btl",""),".","")),""))</f>
        <v>2455</v>
      </c>
      <c r="P625" s="0" t="str">
        <f aca="false">IF(B625="PRODUKSI","produced","reject")</f>
        <v>produced</v>
      </c>
    </row>
    <row r="626" customFormat="false" ht="15" hidden="false" customHeight="false" outlineLevel="0" collapsed="false">
      <c r="A626" s="0" t="n">
        <v>625</v>
      </c>
      <c r="B626" s="0" t="str">
        <f aca="false">IF(A626&lt;=36*25,"PRODUKSI","REJECT")</f>
        <v>PRODUKSI</v>
      </c>
      <c r="C626" s="0" t="n">
        <f aca="false">MOD(A626-1,Pemetaan!$B$3*Pemetaan!$B$4)</f>
        <v>624</v>
      </c>
      <c r="D626" s="0" t="n">
        <f aca="false">INT(C626/Pemetaan!$B$4)</f>
        <v>24</v>
      </c>
      <c r="E626" s="0" t="n">
        <f aca="false">MOD(C626,Pemetaan!$B$4)</f>
        <v>24</v>
      </c>
      <c r="F626" s="0" t="n">
        <f aca="false">IF(B626="PRODUKSI",Pemetaan!$B$5,Pemetaan!$B$6)</f>
        <v>5</v>
      </c>
      <c r="G626" s="0" t="n">
        <f aca="false">F626+2+D626</f>
        <v>31</v>
      </c>
      <c r="H626" s="0" t="n">
        <f aca="false">Pemetaan!$B$2+E626</f>
        <v>29</v>
      </c>
      <c r="I626" s="0" t="str">
        <f aca="false">INDEX(Laporan!$A$1:$AZ$300,G626,1)</f>
        <v>Mixing</v>
      </c>
      <c r="J626" s="0" t="str">
        <f aca="false">INDEX(Laporan!$A$1:$AZ$300,G626,2)</f>
        <v>600 ml</v>
      </c>
      <c r="K626" s="0" t="str">
        <f aca="false">INDEX(Laporan!$A$1:$AZ$300,G626,3)</f>
        <v>Shift 1</v>
      </c>
      <c r="L626" s="0" t="n">
        <f aca="false">INDEX(Laporan!$A$1:$AZ$300,G626,4)</f>
        <v>1</v>
      </c>
      <c r="M626" s="1" t="n">
        <f aca="false">DATE(Pemetaan!$B$1,VALUE(RIGHT(INDEX(Laporan!$A$1:$AZ$300,F626+1,H626),2)),VALUE(LEFT(INDEX(Laporan!$A$1:$AZ$300,F626+1,H626),2)))</f>
        <v>46115</v>
      </c>
      <c r="N626" s="0" t="n">
        <f aca="false">INDEX(Laporan!$A$1:$AZ$300,G626,H626)</f>
        <v>2503</v>
      </c>
      <c r="O626" s="0" t="n">
        <f aca="false">IF(N626="","",IFERROR(VALUE(SUBSTITUTE(SUBSTITUTE(N626," btl",""),".","")),""))</f>
        <v>2503</v>
      </c>
      <c r="P626" s="0" t="str">
        <f aca="false">IF(B626="PRODUKSI","produced","reject")</f>
        <v>produced</v>
      </c>
    </row>
    <row r="627" customFormat="false" ht="15" hidden="false" customHeight="false" outlineLevel="0" collapsed="false">
      <c r="A627" s="0" t="n">
        <v>626</v>
      </c>
      <c r="B627" s="0" t="str">
        <f aca="false">IF(A627&lt;=36*25,"PRODUKSI","REJECT")</f>
        <v>PRODUKSI</v>
      </c>
      <c r="C627" s="0" t="n">
        <f aca="false">MOD(A627-1,Pemetaan!$B$3*Pemetaan!$B$4)</f>
        <v>625</v>
      </c>
      <c r="D627" s="0" t="n">
        <f aca="false">INT(C627/Pemetaan!$B$4)</f>
        <v>25</v>
      </c>
      <c r="E627" s="0" t="n">
        <f aca="false">MOD(C627,Pemetaan!$B$4)</f>
        <v>0</v>
      </c>
      <c r="F627" s="0" t="n">
        <f aca="false">IF(B627="PRODUKSI",Pemetaan!$B$5,Pemetaan!$B$6)</f>
        <v>5</v>
      </c>
      <c r="G627" s="0" t="n">
        <f aca="false">F627+2+D627</f>
        <v>32</v>
      </c>
      <c r="H627" s="0" t="n">
        <f aca="false">Pemetaan!$B$2+E627</f>
        <v>5</v>
      </c>
      <c r="I627" s="0" t="str">
        <f aca="false">INDEX(Laporan!$A$1:$AZ$300,G627,1)</f>
        <v>Mixing</v>
      </c>
      <c r="J627" s="0" t="str">
        <f aca="false">INDEX(Laporan!$A$1:$AZ$300,G627,2)</f>
        <v>600 ml</v>
      </c>
      <c r="K627" s="0" t="str">
        <f aca="false">INDEX(Laporan!$A$1:$AZ$300,G627,3)</f>
        <v>Shift 1</v>
      </c>
      <c r="L627" s="0" t="n">
        <f aca="false">INDEX(Laporan!$A$1:$AZ$300,G627,4)</f>
        <v>2</v>
      </c>
      <c r="M627" s="1" t="n">
        <f aca="false">DATE(Pemetaan!$B$1,VALUE(RIGHT(INDEX(Laporan!$A$1:$AZ$300,F627+1,H627),2)),VALUE(LEFT(INDEX(Laporan!$A$1:$AZ$300,F627+1,H627),2)))</f>
        <v>46083</v>
      </c>
      <c r="N627" s="0" t="n">
        <f aca="false">INDEX(Laporan!$A$1:$AZ$300,G627,H627)</f>
        <v>2911</v>
      </c>
      <c r="O627" s="0" t="n">
        <f aca="false">IF(N627="","",IFERROR(VALUE(SUBSTITUTE(SUBSTITUTE(N627," btl",""),".","")),""))</f>
        <v>2911</v>
      </c>
      <c r="P627" s="0" t="str">
        <f aca="false">IF(B627="PRODUKSI","produced","reject")</f>
        <v>produced</v>
      </c>
    </row>
    <row r="628" customFormat="false" ht="15" hidden="false" customHeight="false" outlineLevel="0" collapsed="false">
      <c r="A628" s="0" t="n">
        <v>627</v>
      </c>
      <c r="B628" s="0" t="str">
        <f aca="false">IF(A628&lt;=36*25,"PRODUKSI","REJECT")</f>
        <v>PRODUKSI</v>
      </c>
      <c r="C628" s="0" t="n">
        <f aca="false">MOD(A628-1,Pemetaan!$B$3*Pemetaan!$B$4)</f>
        <v>626</v>
      </c>
      <c r="D628" s="0" t="n">
        <f aca="false">INT(C628/Pemetaan!$B$4)</f>
        <v>25</v>
      </c>
      <c r="E628" s="0" t="n">
        <f aca="false">MOD(C628,Pemetaan!$B$4)</f>
        <v>1</v>
      </c>
      <c r="F628" s="0" t="n">
        <f aca="false">IF(B628="PRODUKSI",Pemetaan!$B$5,Pemetaan!$B$6)</f>
        <v>5</v>
      </c>
      <c r="G628" s="0" t="n">
        <f aca="false">F628+2+D628</f>
        <v>32</v>
      </c>
      <c r="H628" s="0" t="n">
        <f aca="false">Pemetaan!$B$2+E628</f>
        <v>6</v>
      </c>
      <c r="I628" s="0" t="str">
        <f aca="false">INDEX(Laporan!$A$1:$AZ$300,G628,1)</f>
        <v>Mixing</v>
      </c>
      <c r="J628" s="0" t="str">
        <f aca="false">INDEX(Laporan!$A$1:$AZ$300,G628,2)</f>
        <v>600 ml</v>
      </c>
      <c r="K628" s="0" t="str">
        <f aca="false">INDEX(Laporan!$A$1:$AZ$300,G628,3)</f>
        <v>Shift 1</v>
      </c>
      <c r="L628" s="0" t="n">
        <f aca="false">INDEX(Laporan!$A$1:$AZ$300,G628,4)</f>
        <v>2</v>
      </c>
      <c r="M628" s="1" t="n">
        <f aca="false">DATE(Pemetaan!$B$1,VALUE(RIGHT(INDEX(Laporan!$A$1:$AZ$300,F628+1,H628),2)),VALUE(LEFT(INDEX(Laporan!$A$1:$AZ$300,F628+1,H628),2)))</f>
        <v>46084</v>
      </c>
      <c r="N628" s="0" t="n">
        <f aca="false">INDEX(Laporan!$A$1:$AZ$300,G628,H628)</f>
        <v>3060</v>
      </c>
      <c r="O628" s="0" t="n">
        <f aca="false">IF(N628="","",IFERROR(VALUE(SUBSTITUTE(SUBSTITUTE(N628," btl",""),".","")),""))</f>
        <v>3060</v>
      </c>
      <c r="P628" s="0" t="str">
        <f aca="false">IF(B628="PRODUKSI","produced","reject")</f>
        <v>produced</v>
      </c>
    </row>
    <row r="629" customFormat="false" ht="15" hidden="false" customHeight="false" outlineLevel="0" collapsed="false">
      <c r="A629" s="0" t="n">
        <v>628</v>
      </c>
      <c r="B629" s="0" t="str">
        <f aca="false">IF(A629&lt;=36*25,"PRODUKSI","REJECT")</f>
        <v>PRODUKSI</v>
      </c>
      <c r="C629" s="0" t="n">
        <f aca="false">MOD(A629-1,Pemetaan!$B$3*Pemetaan!$B$4)</f>
        <v>627</v>
      </c>
      <c r="D629" s="0" t="n">
        <f aca="false">INT(C629/Pemetaan!$B$4)</f>
        <v>25</v>
      </c>
      <c r="E629" s="0" t="n">
        <f aca="false">MOD(C629,Pemetaan!$B$4)</f>
        <v>2</v>
      </c>
      <c r="F629" s="0" t="n">
        <f aca="false">IF(B629="PRODUKSI",Pemetaan!$B$5,Pemetaan!$B$6)</f>
        <v>5</v>
      </c>
      <c r="G629" s="0" t="n">
        <f aca="false">F629+2+D629</f>
        <v>32</v>
      </c>
      <c r="H629" s="0" t="n">
        <f aca="false">Pemetaan!$B$2+E629</f>
        <v>7</v>
      </c>
      <c r="I629" s="0" t="str">
        <f aca="false">INDEX(Laporan!$A$1:$AZ$300,G629,1)</f>
        <v>Mixing</v>
      </c>
      <c r="J629" s="0" t="str">
        <f aca="false">INDEX(Laporan!$A$1:$AZ$300,G629,2)</f>
        <v>600 ml</v>
      </c>
      <c r="K629" s="0" t="str">
        <f aca="false">INDEX(Laporan!$A$1:$AZ$300,G629,3)</f>
        <v>Shift 1</v>
      </c>
      <c r="L629" s="0" t="n">
        <f aca="false">INDEX(Laporan!$A$1:$AZ$300,G629,4)</f>
        <v>2</v>
      </c>
      <c r="M629" s="1" t="n">
        <f aca="false">DATE(Pemetaan!$B$1,VALUE(RIGHT(INDEX(Laporan!$A$1:$AZ$300,F629+1,H629),2)),VALUE(LEFT(INDEX(Laporan!$A$1:$AZ$300,F629+1,H629),2)))</f>
        <v>46085</v>
      </c>
      <c r="N629" s="0" t="n">
        <f aca="false">INDEX(Laporan!$A$1:$AZ$300,G629,H629)</f>
        <v>2799</v>
      </c>
      <c r="O629" s="0" t="n">
        <f aca="false">IF(N629="","",IFERROR(VALUE(SUBSTITUTE(SUBSTITUTE(N629," btl",""),".","")),""))</f>
        <v>2799</v>
      </c>
      <c r="P629" s="0" t="str">
        <f aca="false">IF(B629="PRODUKSI","produced","reject")</f>
        <v>produced</v>
      </c>
    </row>
    <row r="630" customFormat="false" ht="15" hidden="false" customHeight="false" outlineLevel="0" collapsed="false">
      <c r="A630" s="0" t="n">
        <v>629</v>
      </c>
      <c r="B630" s="0" t="str">
        <f aca="false">IF(A630&lt;=36*25,"PRODUKSI","REJECT")</f>
        <v>PRODUKSI</v>
      </c>
      <c r="C630" s="0" t="n">
        <f aca="false">MOD(A630-1,Pemetaan!$B$3*Pemetaan!$B$4)</f>
        <v>628</v>
      </c>
      <c r="D630" s="0" t="n">
        <f aca="false">INT(C630/Pemetaan!$B$4)</f>
        <v>25</v>
      </c>
      <c r="E630" s="0" t="n">
        <f aca="false">MOD(C630,Pemetaan!$B$4)</f>
        <v>3</v>
      </c>
      <c r="F630" s="0" t="n">
        <f aca="false">IF(B630="PRODUKSI",Pemetaan!$B$5,Pemetaan!$B$6)</f>
        <v>5</v>
      </c>
      <c r="G630" s="0" t="n">
        <f aca="false">F630+2+D630</f>
        <v>32</v>
      </c>
      <c r="H630" s="0" t="n">
        <f aca="false">Pemetaan!$B$2+E630</f>
        <v>8</v>
      </c>
      <c r="I630" s="0" t="str">
        <f aca="false">INDEX(Laporan!$A$1:$AZ$300,G630,1)</f>
        <v>Mixing</v>
      </c>
      <c r="J630" s="0" t="str">
        <f aca="false">INDEX(Laporan!$A$1:$AZ$300,G630,2)</f>
        <v>600 ml</v>
      </c>
      <c r="K630" s="0" t="str">
        <f aca="false">INDEX(Laporan!$A$1:$AZ$300,G630,3)</f>
        <v>Shift 1</v>
      </c>
      <c r="L630" s="0" t="n">
        <f aca="false">INDEX(Laporan!$A$1:$AZ$300,G630,4)</f>
        <v>2</v>
      </c>
      <c r="M630" s="1" t="n">
        <f aca="false">DATE(Pemetaan!$B$1,VALUE(RIGHT(INDEX(Laporan!$A$1:$AZ$300,F630+1,H630),2)),VALUE(LEFT(INDEX(Laporan!$A$1:$AZ$300,F630+1,H630),2)))</f>
        <v>46086</v>
      </c>
      <c r="N630" s="0" t="n">
        <f aca="false">INDEX(Laporan!$A$1:$AZ$300,G630,H630)</f>
        <v>2989</v>
      </c>
      <c r="O630" s="0" t="n">
        <f aca="false">IF(N630="","",IFERROR(VALUE(SUBSTITUTE(SUBSTITUTE(N630," btl",""),".","")),""))</f>
        <v>2989</v>
      </c>
      <c r="P630" s="0" t="str">
        <f aca="false">IF(B630="PRODUKSI","produced","reject")</f>
        <v>produced</v>
      </c>
    </row>
    <row r="631" customFormat="false" ht="15" hidden="false" customHeight="false" outlineLevel="0" collapsed="false">
      <c r="A631" s="0" t="n">
        <v>630</v>
      </c>
      <c r="B631" s="0" t="str">
        <f aca="false">IF(A631&lt;=36*25,"PRODUKSI","REJECT")</f>
        <v>PRODUKSI</v>
      </c>
      <c r="C631" s="0" t="n">
        <f aca="false">MOD(A631-1,Pemetaan!$B$3*Pemetaan!$B$4)</f>
        <v>629</v>
      </c>
      <c r="D631" s="0" t="n">
        <f aca="false">INT(C631/Pemetaan!$B$4)</f>
        <v>25</v>
      </c>
      <c r="E631" s="0" t="n">
        <f aca="false">MOD(C631,Pemetaan!$B$4)</f>
        <v>4</v>
      </c>
      <c r="F631" s="0" t="n">
        <f aca="false">IF(B631="PRODUKSI",Pemetaan!$B$5,Pemetaan!$B$6)</f>
        <v>5</v>
      </c>
      <c r="G631" s="0" t="n">
        <f aca="false">F631+2+D631</f>
        <v>32</v>
      </c>
      <c r="H631" s="0" t="n">
        <f aca="false">Pemetaan!$B$2+E631</f>
        <v>9</v>
      </c>
      <c r="I631" s="0" t="str">
        <f aca="false">INDEX(Laporan!$A$1:$AZ$300,G631,1)</f>
        <v>Mixing</v>
      </c>
      <c r="J631" s="0" t="str">
        <f aca="false">INDEX(Laporan!$A$1:$AZ$300,G631,2)</f>
        <v>600 ml</v>
      </c>
      <c r="K631" s="0" t="str">
        <f aca="false">INDEX(Laporan!$A$1:$AZ$300,G631,3)</f>
        <v>Shift 1</v>
      </c>
      <c r="L631" s="0" t="n">
        <f aca="false">INDEX(Laporan!$A$1:$AZ$300,G631,4)</f>
        <v>2</v>
      </c>
      <c r="M631" s="1" t="n">
        <f aca="false">DATE(Pemetaan!$B$1,VALUE(RIGHT(INDEX(Laporan!$A$1:$AZ$300,F631+1,H631),2)),VALUE(LEFT(INDEX(Laporan!$A$1:$AZ$300,F631+1,H631),2)))</f>
        <v>46087</v>
      </c>
      <c r="N631" s="0" t="n">
        <f aca="false">INDEX(Laporan!$A$1:$AZ$300,G631,H631)</f>
        <v>2789</v>
      </c>
      <c r="O631" s="0" t="n">
        <f aca="false">IF(N631="","",IFERROR(VALUE(SUBSTITUTE(SUBSTITUTE(N631," btl",""),".","")),""))</f>
        <v>2789</v>
      </c>
      <c r="P631" s="0" t="str">
        <f aca="false">IF(B631="PRODUKSI","produced","reject")</f>
        <v>produced</v>
      </c>
    </row>
    <row r="632" customFormat="false" ht="15" hidden="false" customHeight="false" outlineLevel="0" collapsed="false">
      <c r="A632" s="0" t="n">
        <v>631</v>
      </c>
      <c r="B632" s="0" t="str">
        <f aca="false">IF(A632&lt;=36*25,"PRODUKSI","REJECT")</f>
        <v>PRODUKSI</v>
      </c>
      <c r="C632" s="0" t="n">
        <f aca="false">MOD(A632-1,Pemetaan!$B$3*Pemetaan!$B$4)</f>
        <v>630</v>
      </c>
      <c r="D632" s="0" t="n">
        <f aca="false">INT(C632/Pemetaan!$B$4)</f>
        <v>25</v>
      </c>
      <c r="E632" s="0" t="n">
        <f aca="false">MOD(C632,Pemetaan!$B$4)</f>
        <v>5</v>
      </c>
      <c r="F632" s="0" t="n">
        <f aca="false">IF(B632="PRODUKSI",Pemetaan!$B$5,Pemetaan!$B$6)</f>
        <v>5</v>
      </c>
      <c r="G632" s="0" t="n">
        <f aca="false">F632+2+D632</f>
        <v>32</v>
      </c>
      <c r="H632" s="0" t="n">
        <f aca="false">Pemetaan!$B$2+E632</f>
        <v>10</v>
      </c>
      <c r="I632" s="0" t="str">
        <f aca="false">INDEX(Laporan!$A$1:$AZ$300,G632,1)</f>
        <v>Mixing</v>
      </c>
      <c r="J632" s="0" t="str">
        <f aca="false">INDEX(Laporan!$A$1:$AZ$300,G632,2)</f>
        <v>600 ml</v>
      </c>
      <c r="K632" s="0" t="str">
        <f aca="false">INDEX(Laporan!$A$1:$AZ$300,G632,3)</f>
        <v>Shift 1</v>
      </c>
      <c r="L632" s="0" t="n">
        <f aca="false">INDEX(Laporan!$A$1:$AZ$300,G632,4)</f>
        <v>2</v>
      </c>
      <c r="M632" s="1" t="n">
        <f aca="false">DATE(Pemetaan!$B$1,VALUE(RIGHT(INDEX(Laporan!$A$1:$AZ$300,F632+1,H632),2)),VALUE(LEFT(INDEX(Laporan!$A$1:$AZ$300,F632+1,H632),2)))</f>
        <v>46090</v>
      </c>
      <c r="N632" s="0" t="n">
        <f aca="false">INDEX(Laporan!$A$1:$AZ$300,G632,H632)</f>
        <v>3444</v>
      </c>
      <c r="O632" s="0" t="n">
        <f aca="false">IF(N632="","",IFERROR(VALUE(SUBSTITUTE(SUBSTITUTE(N632," btl",""),".","")),""))</f>
        <v>3444</v>
      </c>
      <c r="P632" s="0" t="str">
        <f aca="false">IF(B632="PRODUKSI","produced","reject")</f>
        <v>produced</v>
      </c>
    </row>
    <row r="633" customFormat="false" ht="15" hidden="false" customHeight="false" outlineLevel="0" collapsed="false">
      <c r="A633" s="0" t="n">
        <v>632</v>
      </c>
      <c r="B633" s="0" t="str">
        <f aca="false">IF(A633&lt;=36*25,"PRODUKSI","REJECT")</f>
        <v>PRODUKSI</v>
      </c>
      <c r="C633" s="0" t="n">
        <f aca="false">MOD(A633-1,Pemetaan!$B$3*Pemetaan!$B$4)</f>
        <v>631</v>
      </c>
      <c r="D633" s="0" t="n">
        <f aca="false">INT(C633/Pemetaan!$B$4)</f>
        <v>25</v>
      </c>
      <c r="E633" s="0" t="n">
        <f aca="false">MOD(C633,Pemetaan!$B$4)</f>
        <v>6</v>
      </c>
      <c r="F633" s="0" t="n">
        <f aca="false">IF(B633="PRODUKSI",Pemetaan!$B$5,Pemetaan!$B$6)</f>
        <v>5</v>
      </c>
      <c r="G633" s="0" t="n">
        <f aca="false">F633+2+D633</f>
        <v>32</v>
      </c>
      <c r="H633" s="0" t="n">
        <f aca="false">Pemetaan!$B$2+E633</f>
        <v>11</v>
      </c>
      <c r="I633" s="0" t="str">
        <f aca="false">INDEX(Laporan!$A$1:$AZ$300,G633,1)</f>
        <v>Mixing</v>
      </c>
      <c r="J633" s="0" t="str">
        <f aca="false">INDEX(Laporan!$A$1:$AZ$300,G633,2)</f>
        <v>600 ml</v>
      </c>
      <c r="K633" s="0" t="str">
        <f aca="false">INDEX(Laporan!$A$1:$AZ$300,G633,3)</f>
        <v>Shift 1</v>
      </c>
      <c r="L633" s="0" t="n">
        <f aca="false">INDEX(Laporan!$A$1:$AZ$300,G633,4)</f>
        <v>2</v>
      </c>
      <c r="M633" s="1" t="n">
        <f aca="false">DATE(Pemetaan!$B$1,VALUE(RIGHT(INDEX(Laporan!$A$1:$AZ$300,F633+1,H633),2)),VALUE(LEFT(INDEX(Laporan!$A$1:$AZ$300,F633+1,H633),2)))</f>
        <v>46091</v>
      </c>
      <c r="N633" s="0" t="n">
        <f aca="false">INDEX(Laporan!$A$1:$AZ$300,G633,H633)</f>
        <v>2832</v>
      </c>
      <c r="O633" s="0" t="n">
        <f aca="false">IF(N633="","",IFERROR(VALUE(SUBSTITUTE(SUBSTITUTE(N633," btl",""),".","")),""))</f>
        <v>2832</v>
      </c>
      <c r="P633" s="0" t="str">
        <f aca="false">IF(B633="PRODUKSI","produced","reject")</f>
        <v>produced</v>
      </c>
    </row>
    <row r="634" customFormat="false" ht="15" hidden="false" customHeight="false" outlineLevel="0" collapsed="false">
      <c r="A634" s="0" t="n">
        <v>633</v>
      </c>
      <c r="B634" s="0" t="str">
        <f aca="false">IF(A634&lt;=36*25,"PRODUKSI","REJECT")</f>
        <v>PRODUKSI</v>
      </c>
      <c r="C634" s="0" t="n">
        <f aca="false">MOD(A634-1,Pemetaan!$B$3*Pemetaan!$B$4)</f>
        <v>632</v>
      </c>
      <c r="D634" s="0" t="n">
        <f aca="false">INT(C634/Pemetaan!$B$4)</f>
        <v>25</v>
      </c>
      <c r="E634" s="0" t="n">
        <f aca="false">MOD(C634,Pemetaan!$B$4)</f>
        <v>7</v>
      </c>
      <c r="F634" s="0" t="n">
        <f aca="false">IF(B634="PRODUKSI",Pemetaan!$B$5,Pemetaan!$B$6)</f>
        <v>5</v>
      </c>
      <c r="G634" s="0" t="n">
        <f aca="false">F634+2+D634</f>
        <v>32</v>
      </c>
      <c r="H634" s="0" t="n">
        <f aca="false">Pemetaan!$B$2+E634</f>
        <v>12</v>
      </c>
      <c r="I634" s="0" t="str">
        <f aca="false">INDEX(Laporan!$A$1:$AZ$300,G634,1)</f>
        <v>Mixing</v>
      </c>
      <c r="J634" s="0" t="str">
        <f aca="false">INDEX(Laporan!$A$1:$AZ$300,G634,2)</f>
        <v>600 ml</v>
      </c>
      <c r="K634" s="0" t="str">
        <f aca="false">INDEX(Laporan!$A$1:$AZ$300,G634,3)</f>
        <v>Shift 1</v>
      </c>
      <c r="L634" s="0" t="n">
        <f aca="false">INDEX(Laporan!$A$1:$AZ$300,G634,4)</f>
        <v>2</v>
      </c>
      <c r="M634" s="1" t="n">
        <f aca="false">DATE(Pemetaan!$B$1,VALUE(RIGHT(INDEX(Laporan!$A$1:$AZ$300,F634+1,H634),2)),VALUE(LEFT(INDEX(Laporan!$A$1:$AZ$300,F634+1,H634),2)))</f>
        <v>46092</v>
      </c>
      <c r="N634" s="0" t="str">
        <f aca="false">INDEX(Laporan!$A$1:$AZ$300,G634,H634)</f>
        <v>n/a</v>
      </c>
      <c r="O634" s="0" t="str">
        <f aca="false">IF(N634="","",IFERROR(VALUE(SUBSTITUTE(SUBSTITUTE(N634," btl",""),".","")),""))</f>
        <v/>
      </c>
      <c r="P634" s="0" t="str">
        <f aca="false">IF(B634="PRODUKSI","produced","reject")</f>
        <v>produced</v>
      </c>
    </row>
    <row r="635" customFormat="false" ht="15" hidden="false" customHeight="false" outlineLevel="0" collapsed="false">
      <c r="A635" s="0" t="n">
        <v>634</v>
      </c>
      <c r="B635" s="0" t="str">
        <f aca="false">IF(A635&lt;=36*25,"PRODUKSI","REJECT")</f>
        <v>PRODUKSI</v>
      </c>
      <c r="C635" s="0" t="n">
        <f aca="false">MOD(A635-1,Pemetaan!$B$3*Pemetaan!$B$4)</f>
        <v>633</v>
      </c>
      <c r="D635" s="0" t="n">
        <f aca="false">INT(C635/Pemetaan!$B$4)</f>
        <v>25</v>
      </c>
      <c r="E635" s="0" t="n">
        <f aca="false">MOD(C635,Pemetaan!$B$4)</f>
        <v>8</v>
      </c>
      <c r="F635" s="0" t="n">
        <f aca="false">IF(B635="PRODUKSI",Pemetaan!$B$5,Pemetaan!$B$6)</f>
        <v>5</v>
      </c>
      <c r="G635" s="0" t="n">
        <f aca="false">F635+2+D635</f>
        <v>32</v>
      </c>
      <c r="H635" s="0" t="n">
        <f aca="false">Pemetaan!$B$2+E635</f>
        <v>13</v>
      </c>
      <c r="I635" s="0" t="str">
        <f aca="false">INDEX(Laporan!$A$1:$AZ$300,G635,1)</f>
        <v>Mixing</v>
      </c>
      <c r="J635" s="0" t="str">
        <f aca="false">INDEX(Laporan!$A$1:$AZ$300,G635,2)</f>
        <v>600 ml</v>
      </c>
      <c r="K635" s="0" t="str">
        <f aca="false">INDEX(Laporan!$A$1:$AZ$300,G635,3)</f>
        <v>Shift 1</v>
      </c>
      <c r="L635" s="0" t="n">
        <f aca="false">INDEX(Laporan!$A$1:$AZ$300,G635,4)</f>
        <v>2</v>
      </c>
      <c r="M635" s="1" t="n">
        <f aca="false">DATE(Pemetaan!$B$1,VALUE(RIGHT(INDEX(Laporan!$A$1:$AZ$300,F635+1,H635),2)),VALUE(LEFT(INDEX(Laporan!$A$1:$AZ$300,F635+1,H635),2)))</f>
        <v>46093</v>
      </c>
      <c r="N635" s="0" t="n">
        <f aca="false">INDEX(Laporan!$A$1:$AZ$300,G635,H635)</f>
        <v>2838</v>
      </c>
      <c r="O635" s="0" t="n">
        <f aca="false">IF(N635="","",IFERROR(VALUE(SUBSTITUTE(SUBSTITUTE(N635," btl",""),".","")),""))</f>
        <v>2838</v>
      </c>
      <c r="P635" s="0" t="str">
        <f aca="false">IF(B635="PRODUKSI","produced","reject")</f>
        <v>produced</v>
      </c>
    </row>
    <row r="636" customFormat="false" ht="15" hidden="false" customHeight="false" outlineLevel="0" collapsed="false">
      <c r="A636" s="0" t="n">
        <v>635</v>
      </c>
      <c r="B636" s="0" t="str">
        <f aca="false">IF(A636&lt;=36*25,"PRODUKSI","REJECT")</f>
        <v>PRODUKSI</v>
      </c>
      <c r="C636" s="0" t="n">
        <f aca="false">MOD(A636-1,Pemetaan!$B$3*Pemetaan!$B$4)</f>
        <v>634</v>
      </c>
      <c r="D636" s="0" t="n">
        <f aca="false">INT(C636/Pemetaan!$B$4)</f>
        <v>25</v>
      </c>
      <c r="E636" s="0" t="n">
        <f aca="false">MOD(C636,Pemetaan!$B$4)</f>
        <v>9</v>
      </c>
      <c r="F636" s="0" t="n">
        <f aca="false">IF(B636="PRODUKSI",Pemetaan!$B$5,Pemetaan!$B$6)</f>
        <v>5</v>
      </c>
      <c r="G636" s="0" t="n">
        <f aca="false">F636+2+D636</f>
        <v>32</v>
      </c>
      <c r="H636" s="0" t="n">
        <f aca="false">Pemetaan!$B$2+E636</f>
        <v>14</v>
      </c>
      <c r="I636" s="0" t="str">
        <f aca="false">INDEX(Laporan!$A$1:$AZ$300,G636,1)</f>
        <v>Mixing</v>
      </c>
      <c r="J636" s="0" t="str">
        <f aca="false">INDEX(Laporan!$A$1:$AZ$300,G636,2)</f>
        <v>600 ml</v>
      </c>
      <c r="K636" s="0" t="str">
        <f aca="false">INDEX(Laporan!$A$1:$AZ$300,G636,3)</f>
        <v>Shift 1</v>
      </c>
      <c r="L636" s="0" t="n">
        <f aca="false">INDEX(Laporan!$A$1:$AZ$300,G636,4)</f>
        <v>2</v>
      </c>
      <c r="M636" s="1" t="n">
        <f aca="false">DATE(Pemetaan!$B$1,VALUE(RIGHT(INDEX(Laporan!$A$1:$AZ$300,F636+1,H636),2)),VALUE(LEFT(INDEX(Laporan!$A$1:$AZ$300,F636+1,H636),2)))</f>
        <v>46094</v>
      </c>
      <c r="N636" s="0" t="n">
        <f aca="false">INDEX(Laporan!$A$1:$AZ$300,G636,H636)</f>
        <v>3073</v>
      </c>
      <c r="O636" s="0" t="n">
        <f aca="false">IF(N636="","",IFERROR(VALUE(SUBSTITUTE(SUBSTITUTE(N636," btl",""),".","")),""))</f>
        <v>3073</v>
      </c>
      <c r="P636" s="0" t="str">
        <f aca="false">IF(B636="PRODUKSI","produced","reject")</f>
        <v>produced</v>
      </c>
    </row>
    <row r="637" customFormat="false" ht="15" hidden="false" customHeight="false" outlineLevel="0" collapsed="false">
      <c r="A637" s="0" t="n">
        <v>636</v>
      </c>
      <c r="B637" s="0" t="str">
        <f aca="false">IF(A637&lt;=36*25,"PRODUKSI","REJECT")</f>
        <v>PRODUKSI</v>
      </c>
      <c r="C637" s="0" t="n">
        <f aca="false">MOD(A637-1,Pemetaan!$B$3*Pemetaan!$B$4)</f>
        <v>635</v>
      </c>
      <c r="D637" s="0" t="n">
        <f aca="false">INT(C637/Pemetaan!$B$4)</f>
        <v>25</v>
      </c>
      <c r="E637" s="0" t="n">
        <f aca="false">MOD(C637,Pemetaan!$B$4)</f>
        <v>10</v>
      </c>
      <c r="F637" s="0" t="n">
        <f aca="false">IF(B637="PRODUKSI",Pemetaan!$B$5,Pemetaan!$B$6)</f>
        <v>5</v>
      </c>
      <c r="G637" s="0" t="n">
        <f aca="false">F637+2+D637</f>
        <v>32</v>
      </c>
      <c r="H637" s="0" t="n">
        <f aca="false">Pemetaan!$B$2+E637</f>
        <v>15</v>
      </c>
      <c r="I637" s="0" t="str">
        <f aca="false">INDEX(Laporan!$A$1:$AZ$300,G637,1)</f>
        <v>Mixing</v>
      </c>
      <c r="J637" s="0" t="str">
        <f aca="false">INDEX(Laporan!$A$1:$AZ$300,G637,2)</f>
        <v>600 ml</v>
      </c>
      <c r="K637" s="0" t="str">
        <f aca="false">INDEX(Laporan!$A$1:$AZ$300,G637,3)</f>
        <v>Shift 1</v>
      </c>
      <c r="L637" s="0" t="n">
        <f aca="false">INDEX(Laporan!$A$1:$AZ$300,G637,4)</f>
        <v>2</v>
      </c>
      <c r="M637" s="1" t="n">
        <f aca="false">DATE(Pemetaan!$B$1,VALUE(RIGHT(INDEX(Laporan!$A$1:$AZ$300,F637+1,H637),2)),VALUE(LEFT(INDEX(Laporan!$A$1:$AZ$300,F637+1,H637),2)))</f>
        <v>46097</v>
      </c>
      <c r="N637" s="0" t="n">
        <f aca="false">INDEX(Laporan!$A$1:$AZ$300,G637,H637)</f>
        <v>2747</v>
      </c>
      <c r="O637" s="0" t="n">
        <f aca="false">IF(N637="","",IFERROR(VALUE(SUBSTITUTE(SUBSTITUTE(N637," btl",""),".","")),""))</f>
        <v>2747</v>
      </c>
      <c r="P637" s="0" t="str">
        <f aca="false">IF(B637="PRODUKSI","produced","reject")</f>
        <v>produced</v>
      </c>
    </row>
    <row r="638" customFormat="false" ht="15" hidden="false" customHeight="false" outlineLevel="0" collapsed="false">
      <c r="A638" s="0" t="n">
        <v>637</v>
      </c>
      <c r="B638" s="0" t="str">
        <f aca="false">IF(A638&lt;=36*25,"PRODUKSI","REJECT")</f>
        <v>PRODUKSI</v>
      </c>
      <c r="C638" s="0" t="n">
        <f aca="false">MOD(A638-1,Pemetaan!$B$3*Pemetaan!$B$4)</f>
        <v>636</v>
      </c>
      <c r="D638" s="0" t="n">
        <f aca="false">INT(C638/Pemetaan!$B$4)</f>
        <v>25</v>
      </c>
      <c r="E638" s="0" t="n">
        <f aca="false">MOD(C638,Pemetaan!$B$4)</f>
        <v>11</v>
      </c>
      <c r="F638" s="0" t="n">
        <f aca="false">IF(B638="PRODUKSI",Pemetaan!$B$5,Pemetaan!$B$6)</f>
        <v>5</v>
      </c>
      <c r="G638" s="0" t="n">
        <f aca="false">F638+2+D638</f>
        <v>32</v>
      </c>
      <c r="H638" s="0" t="n">
        <f aca="false">Pemetaan!$B$2+E638</f>
        <v>16</v>
      </c>
      <c r="I638" s="0" t="str">
        <f aca="false">INDEX(Laporan!$A$1:$AZ$300,G638,1)</f>
        <v>Mixing</v>
      </c>
      <c r="J638" s="0" t="str">
        <f aca="false">INDEX(Laporan!$A$1:$AZ$300,G638,2)</f>
        <v>600 ml</v>
      </c>
      <c r="K638" s="0" t="str">
        <f aca="false">INDEX(Laporan!$A$1:$AZ$300,G638,3)</f>
        <v>Shift 1</v>
      </c>
      <c r="L638" s="0" t="n">
        <f aca="false">INDEX(Laporan!$A$1:$AZ$300,G638,4)</f>
        <v>2</v>
      </c>
      <c r="M638" s="1" t="n">
        <f aca="false">DATE(Pemetaan!$B$1,VALUE(RIGHT(INDEX(Laporan!$A$1:$AZ$300,F638+1,H638),2)),VALUE(LEFT(INDEX(Laporan!$A$1:$AZ$300,F638+1,H638),2)))</f>
        <v>46098</v>
      </c>
      <c r="N638" s="0" t="n">
        <f aca="false">INDEX(Laporan!$A$1:$AZ$300,G638,H638)</f>
        <v>2680</v>
      </c>
      <c r="O638" s="0" t="n">
        <f aca="false">IF(N638="","",IFERROR(VALUE(SUBSTITUTE(SUBSTITUTE(N638," btl",""),".","")),""))</f>
        <v>2680</v>
      </c>
      <c r="P638" s="0" t="str">
        <f aca="false">IF(B638="PRODUKSI","produced","reject")</f>
        <v>produced</v>
      </c>
    </row>
    <row r="639" customFormat="false" ht="15" hidden="false" customHeight="false" outlineLevel="0" collapsed="false">
      <c r="A639" s="0" t="n">
        <v>638</v>
      </c>
      <c r="B639" s="0" t="str">
        <f aca="false">IF(A639&lt;=36*25,"PRODUKSI","REJECT")</f>
        <v>PRODUKSI</v>
      </c>
      <c r="C639" s="0" t="n">
        <f aca="false">MOD(A639-1,Pemetaan!$B$3*Pemetaan!$B$4)</f>
        <v>637</v>
      </c>
      <c r="D639" s="0" t="n">
        <f aca="false">INT(C639/Pemetaan!$B$4)</f>
        <v>25</v>
      </c>
      <c r="E639" s="0" t="n">
        <f aca="false">MOD(C639,Pemetaan!$B$4)</f>
        <v>12</v>
      </c>
      <c r="F639" s="0" t="n">
        <f aca="false">IF(B639="PRODUKSI",Pemetaan!$B$5,Pemetaan!$B$6)</f>
        <v>5</v>
      </c>
      <c r="G639" s="0" t="n">
        <f aca="false">F639+2+D639</f>
        <v>32</v>
      </c>
      <c r="H639" s="0" t="n">
        <f aca="false">Pemetaan!$B$2+E639</f>
        <v>17</v>
      </c>
      <c r="I639" s="0" t="str">
        <f aca="false">INDEX(Laporan!$A$1:$AZ$300,G639,1)</f>
        <v>Mixing</v>
      </c>
      <c r="J639" s="0" t="str">
        <f aca="false">INDEX(Laporan!$A$1:$AZ$300,G639,2)</f>
        <v>600 ml</v>
      </c>
      <c r="K639" s="0" t="str">
        <f aca="false">INDEX(Laporan!$A$1:$AZ$300,G639,3)</f>
        <v>Shift 1</v>
      </c>
      <c r="L639" s="0" t="n">
        <f aca="false">INDEX(Laporan!$A$1:$AZ$300,G639,4)</f>
        <v>2</v>
      </c>
      <c r="M639" s="1" t="n">
        <f aca="false">DATE(Pemetaan!$B$1,VALUE(RIGHT(INDEX(Laporan!$A$1:$AZ$300,F639+1,H639),2)),VALUE(LEFT(INDEX(Laporan!$A$1:$AZ$300,F639+1,H639),2)))</f>
        <v>46099</v>
      </c>
      <c r="N639" s="0" t="n">
        <f aca="false">INDEX(Laporan!$A$1:$AZ$300,G639,H639)</f>
        <v>3182</v>
      </c>
      <c r="O639" s="0" t="n">
        <f aca="false">IF(N639="","",IFERROR(VALUE(SUBSTITUTE(SUBSTITUTE(N639," btl",""),".","")),""))</f>
        <v>3182</v>
      </c>
      <c r="P639" s="0" t="str">
        <f aca="false">IF(B639="PRODUKSI","produced","reject")</f>
        <v>produced</v>
      </c>
    </row>
    <row r="640" customFormat="false" ht="15" hidden="false" customHeight="false" outlineLevel="0" collapsed="false">
      <c r="A640" s="0" t="n">
        <v>639</v>
      </c>
      <c r="B640" s="0" t="str">
        <f aca="false">IF(A640&lt;=36*25,"PRODUKSI","REJECT")</f>
        <v>PRODUKSI</v>
      </c>
      <c r="C640" s="0" t="n">
        <f aca="false">MOD(A640-1,Pemetaan!$B$3*Pemetaan!$B$4)</f>
        <v>638</v>
      </c>
      <c r="D640" s="0" t="n">
        <f aca="false">INT(C640/Pemetaan!$B$4)</f>
        <v>25</v>
      </c>
      <c r="E640" s="0" t="n">
        <f aca="false">MOD(C640,Pemetaan!$B$4)</f>
        <v>13</v>
      </c>
      <c r="F640" s="0" t="n">
        <f aca="false">IF(B640="PRODUKSI",Pemetaan!$B$5,Pemetaan!$B$6)</f>
        <v>5</v>
      </c>
      <c r="G640" s="0" t="n">
        <f aca="false">F640+2+D640</f>
        <v>32</v>
      </c>
      <c r="H640" s="0" t="n">
        <f aca="false">Pemetaan!$B$2+E640</f>
        <v>18</v>
      </c>
      <c r="I640" s="0" t="str">
        <f aca="false">INDEX(Laporan!$A$1:$AZ$300,G640,1)</f>
        <v>Mixing</v>
      </c>
      <c r="J640" s="0" t="str">
        <f aca="false">INDEX(Laporan!$A$1:$AZ$300,G640,2)</f>
        <v>600 ml</v>
      </c>
      <c r="K640" s="0" t="str">
        <f aca="false">INDEX(Laporan!$A$1:$AZ$300,G640,3)</f>
        <v>Shift 1</v>
      </c>
      <c r="L640" s="0" t="n">
        <f aca="false">INDEX(Laporan!$A$1:$AZ$300,G640,4)</f>
        <v>2</v>
      </c>
      <c r="M640" s="1" t="n">
        <f aca="false">DATE(Pemetaan!$B$1,VALUE(RIGHT(INDEX(Laporan!$A$1:$AZ$300,F640+1,H640),2)),VALUE(LEFT(INDEX(Laporan!$A$1:$AZ$300,F640+1,H640),2)))</f>
        <v>46100</v>
      </c>
      <c r="N640" s="0" t="n">
        <f aca="false">INDEX(Laporan!$A$1:$AZ$300,G640,H640)</f>
        <v>2575</v>
      </c>
      <c r="O640" s="0" t="n">
        <f aca="false">IF(N640="","",IFERROR(VALUE(SUBSTITUTE(SUBSTITUTE(N640," btl",""),".","")),""))</f>
        <v>2575</v>
      </c>
      <c r="P640" s="0" t="str">
        <f aca="false">IF(B640="PRODUKSI","produced","reject")</f>
        <v>produced</v>
      </c>
    </row>
    <row r="641" customFormat="false" ht="15" hidden="false" customHeight="false" outlineLevel="0" collapsed="false">
      <c r="A641" s="0" t="n">
        <v>640</v>
      </c>
      <c r="B641" s="0" t="str">
        <f aca="false">IF(A641&lt;=36*25,"PRODUKSI","REJECT")</f>
        <v>PRODUKSI</v>
      </c>
      <c r="C641" s="0" t="n">
        <f aca="false">MOD(A641-1,Pemetaan!$B$3*Pemetaan!$B$4)</f>
        <v>639</v>
      </c>
      <c r="D641" s="0" t="n">
        <f aca="false">INT(C641/Pemetaan!$B$4)</f>
        <v>25</v>
      </c>
      <c r="E641" s="0" t="n">
        <f aca="false">MOD(C641,Pemetaan!$B$4)</f>
        <v>14</v>
      </c>
      <c r="F641" s="0" t="n">
        <f aca="false">IF(B641="PRODUKSI",Pemetaan!$B$5,Pemetaan!$B$6)</f>
        <v>5</v>
      </c>
      <c r="G641" s="0" t="n">
        <f aca="false">F641+2+D641</f>
        <v>32</v>
      </c>
      <c r="H641" s="0" t="n">
        <f aca="false">Pemetaan!$B$2+E641</f>
        <v>19</v>
      </c>
      <c r="I641" s="0" t="str">
        <f aca="false">INDEX(Laporan!$A$1:$AZ$300,G641,1)</f>
        <v>Mixing</v>
      </c>
      <c r="J641" s="0" t="str">
        <f aca="false">INDEX(Laporan!$A$1:$AZ$300,G641,2)</f>
        <v>600 ml</v>
      </c>
      <c r="K641" s="0" t="str">
        <f aca="false">INDEX(Laporan!$A$1:$AZ$300,G641,3)</f>
        <v>Shift 1</v>
      </c>
      <c r="L641" s="0" t="n">
        <f aca="false">INDEX(Laporan!$A$1:$AZ$300,G641,4)</f>
        <v>2</v>
      </c>
      <c r="M641" s="1" t="n">
        <f aca="false">DATE(Pemetaan!$B$1,VALUE(RIGHT(INDEX(Laporan!$A$1:$AZ$300,F641+1,H641),2)),VALUE(LEFT(INDEX(Laporan!$A$1:$AZ$300,F641+1,H641),2)))</f>
        <v>46101</v>
      </c>
      <c r="N641" s="0" t="n">
        <f aca="false">INDEX(Laporan!$A$1:$AZ$300,G641,H641)</f>
        <v>2953</v>
      </c>
      <c r="O641" s="0" t="n">
        <f aca="false">IF(N641="","",IFERROR(VALUE(SUBSTITUTE(SUBSTITUTE(N641," btl",""),".","")),""))</f>
        <v>2953</v>
      </c>
      <c r="P641" s="0" t="str">
        <f aca="false">IF(B641="PRODUKSI","produced","reject")</f>
        <v>produced</v>
      </c>
    </row>
    <row r="642" customFormat="false" ht="15" hidden="false" customHeight="false" outlineLevel="0" collapsed="false">
      <c r="A642" s="0" t="n">
        <v>641</v>
      </c>
      <c r="B642" s="0" t="str">
        <f aca="false">IF(A642&lt;=36*25,"PRODUKSI","REJECT")</f>
        <v>PRODUKSI</v>
      </c>
      <c r="C642" s="0" t="n">
        <f aca="false">MOD(A642-1,Pemetaan!$B$3*Pemetaan!$B$4)</f>
        <v>640</v>
      </c>
      <c r="D642" s="0" t="n">
        <f aca="false">INT(C642/Pemetaan!$B$4)</f>
        <v>25</v>
      </c>
      <c r="E642" s="0" t="n">
        <f aca="false">MOD(C642,Pemetaan!$B$4)</f>
        <v>15</v>
      </c>
      <c r="F642" s="0" t="n">
        <f aca="false">IF(B642="PRODUKSI",Pemetaan!$B$5,Pemetaan!$B$6)</f>
        <v>5</v>
      </c>
      <c r="G642" s="0" t="n">
        <f aca="false">F642+2+D642</f>
        <v>32</v>
      </c>
      <c r="H642" s="0" t="n">
        <f aca="false">Pemetaan!$B$2+E642</f>
        <v>20</v>
      </c>
      <c r="I642" s="0" t="str">
        <f aca="false">INDEX(Laporan!$A$1:$AZ$300,G642,1)</f>
        <v>Mixing</v>
      </c>
      <c r="J642" s="0" t="str">
        <f aca="false">INDEX(Laporan!$A$1:$AZ$300,G642,2)</f>
        <v>600 ml</v>
      </c>
      <c r="K642" s="0" t="str">
        <f aca="false">INDEX(Laporan!$A$1:$AZ$300,G642,3)</f>
        <v>Shift 1</v>
      </c>
      <c r="L642" s="0" t="n">
        <f aca="false">INDEX(Laporan!$A$1:$AZ$300,G642,4)</f>
        <v>2</v>
      </c>
      <c r="M642" s="1" t="n">
        <f aca="false">DATE(Pemetaan!$B$1,VALUE(RIGHT(INDEX(Laporan!$A$1:$AZ$300,F642+1,H642),2)),VALUE(LEFT(INDEX(Laporan!$A$1:$AZ$300,F642+1,H642),2)))</f>
        <v>46104</v>
      </c>
      <c r="N642" s="0" t="n">
        <f aca="false">INDEX(Laporan!$A$1:$AZ$300,G642,H642)</f>
        <v>2932</v>
      </c>
      <c r="O642" s="0" t="n">
        <f aca="false">IF(N642="","",IFERROR(VALUE(SUBSTITUTE(SUBSTITUTE(N642," btl",""),".","")),""))</f>
        <v>2932</v>
      </c>
      <c r="P642" s="0" t="str">
        <f aca="false">IF(B642="PRODUKSI","produced","reject")</f>
        <v>produced</v>
      </c>
    </row>
    <row r="643" customFormat="false" ht="15" hidden="false" customHeight="false" outlineLevel="0" collapsed="false">
      <c r="A643" s="0" t="n">
        <v>642</v>
      </c>
      <c r="B643" s="0" t="str">
        <f aca="false">IF(A643&lt;=36*25,"PRODUKSI","REJECT")</f>
        <v>PRODUKSI</v>
      </c>
      <c r="C643" s="0" t="n">
        <f aca="false">MOD(A643-1,Pemetaan!$B$3*Pemetaan!$B$4)</f>
        <v>641</v>
      </c>
      <c r="D643" s="0" t="n">
        <f aca="false">INT(C643/Pemetaan!$B$4)</f>
        <v>25</v>
      </c>
      <c r="E643" s="0" t="n">
        <f aca="false">MOD(C643,Pemetaan!$B$4)</f>
        <v>16</v>
      </c>
      <c r="F643" s="0" t="n">
        <f aca="false">IF(B643="PRODUKSI",Pemetaan!$B$5,Pemetaan!$B$6)</f>
        <v>5</v>
      </c>
      <c r="G643" s="0" t="n">
        <f aca="false">F643+2+D643</f>
        <v>32</v>
      </c>
      <c r="H643" s="0" t="n">
        <f aca="false">Pemetaan!$B$2+E643</f>
        <v>21</v>
      </c>
      <c r="I643" s="0" t="str">
        <f aca="false">INDEX(Laporan!$A$1:$AZ$300,G643,1)</f>
        <v>Mixing</v>
      </c>
      <c r="J643" s="0" t="str">
        <f aca="false">INDEX(Laporan!$A$1:$AZ$300,G643,2)</f>
        <v>600 ml</v>
      </c>
      <c r="K643" s="0" t="str">
        <f aca="false">INDEX(Laporan!$A$1:$AZ$300,G643,3)</f>
        <v>Shift 1</v>
      </c>
      <c r="L643" s="0" t="n">
        <f aca="false">INDEX(Laporan!$A$1:$AZ$300,G643,4)</f>
        <v>2</v>
      </c>
      <c r="M643" s="1" t="n">
        <f aca="false">DATE(Pemetaan!$B$1,VALUE(RIGHT(INDEX(Laporan!$A$1:$AZ$300,F643+1,H643),2)),VALUE(LEFT(INDEX(Laporan!$A$1:$AZ$300,F643+1,H643),2)))</f>
        <v>46105</v>
      </c>
      <c r="N643" s="0" t="n">
        <f aca="false">INDEX(Laporan!$A$1:$AZ$300,G643,H643)</f>
        <v>2766</v>
      </c>
      <c r="O643" s="0" t="n">
        <f aca="false">IF(N643="","",IFERROR(VALUE(SUBSTITUTE(SUBSTITUTE(N643," btl",""),".","")),""))</f>
        <v>2766</v>
      </c>
      <c r="P643" s="0" t="str">
        <f aca="false">IF(B643="PRODUKSI","produced","reject")</f>
        <v>produced</v>
      </c>
    </row>
    <row r="644" customFormat="false" ht="15" hidden="false" customHeight="false" outlineLevel="0" collapsed="false">
      <c r="A644" s="0" t="n">
        <v>643</v>
      </c>
      <c r="B644" s="0" t="str">
        <f aca="false">IF(A644&lt;=36*25,"PRODUKSI","REJECT")</f>
        <v>PRODUKSI</v>
      </c>
      <c r="C644" s="0" t="n">
        <f aca="false">MOD(A644-1,Pemetaan!$B$3*Pemetaan!$B$4)</f>
        <v>642</v>
      </c>
      <c r="D644" s="0" t="n">
        <f aca="false">INT(C644/Pemetaan!$B$4)</f>
        <v>25</v>
      </c>
      <c r="E644" s="0" t="n">
        <f aca="false">MOD(C644,Pemetaan!$B$4)</f>
        <v>17</v>
      </c>
      <c r="F644" s="0" t="n">
        <f aca="false">IF(B644="PRODUKSI",Pemetaan!$B$5,Pemetaan!$B$6)</f>
        <v>5</v>
      </c>
      <c r="G644" s="0" t="n">
        <f aca="false">F644+2+D644</f>
        <v>32</v>
      </c>
      <c r="H644" s="0" t="n">
        <f aca="false">Pemetaan!$B$2+E644</f>
        <v>22</v>
      </c>
      <c r="I644" s="0" t="str">
        <f aca="false">INDEX(Laporan!$A$1:$AZ$300,G644,1)</f>
        <v>Mixing</v>
      </c>
      <c r="J644" s="0" t="str">
        <f aca="false">INDEX(Laporan!$A$1:$AZ$300,G644,2)</f>
        <v>600 ml</v>
      </c>
      <c r="K644" s="0" t="str">
        <f aca="false">INDEX(Laporan!$A$1:$AZ$300,G644,3)</f>
        <v>Shift 1</v>
      </c>
      <c r="L644" s="0" t="n">
        <f aca="false">INDEX(Laporan!$A$1:$AZ$300,G644,4)</f>
        <v>2</v>
      </c>
      <c r="M644" s="1" t="n">
        <f aca="false">DATE(Pemetaan!$B$1,VALUE(RIGHT(INDEX(Laporan!$A$1:$AZ$300,F644+1,H644),2)),VALUE(LEFT(INDEX(Laporan!$A$1:$AZ$300,F644+1,H644),2)))</f>
        <v>46106</v>
      </c>
      <c r="N644" s="0" t="n">
        <f aca="false">INDEX(Laporan!$A$1:$AZ$300,G644,H644)</f>
        <v>2882</v>
      </c>
      <c r="O644" s="0" t="n">
        <f aca="false">IF(N644="","",IFERROR(VALUE(SUBSTITUTE(SUBSTITUTE(N644," btl",""),".","")),""))</f>
        <v>2882</v>
      </c>
      <c r="P644" s="0" t="str">
        <f aca="false">IF(B644="PRODUKSI","produced","reject")</f>
        <v>produced</v>
      </c>
    </row>
    <row r="645" customFormat="false" ht="15" hidden="false" customHeight="false" outlineLevel="0" collapsed="false">
      <c r="A645" s="0" t="n">
        <v>644</v>
      </c>
      <c r="B645" s="0" t="str">
        <f aca="false">IF(A645&lt;=36*25,"PRODUKSI","REJECT")</f>
        <v>PRODUKSI</v>
      </c>
      <c r="C645" s="0" t="n">
        <f aca="false">MOD(A645-1,Pemetaan!$B$3*Pemetaan!$B$4)</f>
        <v>643</v>
      </c>
      <c r="D645" s="0" t="n">
        <f aca="false">INT(C645/Pemetaan!$B$4)</f>
        <v>25</v>
      </c>
      <c r="E645" s="0" t="n">
        <f aca="false">MOD(C645,Pemetaan!$B$4)</f>
        <v>18</v>
      </c>
      <c r="F645" s="0" t="n">
        <f aca="false">IF(B645="PRODUKSI",Pemetaan!$B$5,Pemetaan!$B$6)</f>
        <v>5</v>
      </c>
      <c r="G645" s="0" t="n">
        <f aca="false">F645+2+D645</f>
        <v>32</v>
      </c>
      <c r="H645" s="0" t="n">
        <f aca="false">Pemetaan!$B$2+E645</f>
        <v>23</v>
      </c>
      <c r="I645" s="0" t="str">
        <f aca="false">INDEX(Laporan!$A$1:$AZ$300,G645,1)</f>
        <v>Mixing</v>
      </c>
      <c r="J645" s="0" t="str">
        <f aca="false">INDEX(Laporan!$A$1:$AZ$300,G645,2)</f>
        <v>600 ml</v>
      </c>
      <c r="K645" s="0" t="str">
        <f aca="false">INDEX(Laporan!$A$1:$AZ$300,G645,3)</f>
        <v>Shift 1</v>
      </c>
      <c r="L645" s="0" t="n">
        <f aca="false">INDEX(Laporan!$A$1:$AZ$300,G645,4)</f>
        <v>2</v>
      </c>
      <c r="M645" s="1" t="n">
        <f aca="false">DATE(Pemetaan!$B$1,VALUE(RIGHT(INDEX(Laporan!$A$1:$AZ$300,F645+1,H645),2)),VALUE(LEFT(INDEX(Laporan!$A$1:$AZ$300,F645+1,H645),2)))</f>
        <v>46107</v>
      </c>
      <c r="N645" s="0" t="n">
        <f aca="false">INDEX(Laporan!$A$1:$AZ$300,G645,H645)</f>
        <v>2847</v>
      </c>
      <c r="O645" s="0" t="n">
        <f aca="false">IF(N645="","",IFERROR(VALUE(SUBSTITUTE(SUBSTITUTE(N645," btl",""),".","")),""))</f>
        <v>2847</v>
      </c>
      <c r="P645" s="0" t="str">
        <f aca="false">IF(B645="PRODUKSI","produced","reject")</f>
        <v>produced</v>
      </c>
    </row>
    <row r="646" customFormat="false" ht="15" hidden="false" customHeight="false" outlineLevel="0" collapsed="false">
      <c r="A646" s="0" t="n">
        <v>645</v>
      </c>
      <c r="B646" s="0" t="str">
        <f aca="false">IF(A646&lt;=36*25,"PRODUKSI","REJECT")</f>
        <v>PRODUKSI</v>
      </c>
      <c r="C646" s="0" t="n">
        <f aca="false">MOD(A646-1,Pemetaan!$B$3*Pemetaan!$B$4)</f>
        <v>644</v>
      </c>
      <c r="D646" s="0" t="n">
        <f aca="false">INT(C646/Pemetaan!$B$4)</f>
        <v>25</v>
      </c>
      <c r="E646" s="0" t="n">
        <f aca="false">MOD(C646,Pemetaan!$B$4)</f>
        <v>19</v>
      </c>
      <c r="F646" s="0" t="n">
        <f aca="false">IF(B646="PRODUKSI",Pemetaan!$B$5,Pemetaan!$B$6)</f>
        <v>5</v>
      </c>
      <c r="G646" s="0" t="n">
        <f aca="false">F646+2+D646</f>
        <v>32</v>
      </c>
      <c r="H646" s="0" t="n">
        <f aca="false">Pemetaan!$B$2+E646</f>
        <v>24</v>
      </c>
      <c r="I646" s="0" t="str">
        <f aca="false">INDEX(Laporan!$A$1:$AZ$300,G646,1)</f>
        <v>Mixing</v>
      </c>
      <c r="J646" s="0" t="str">
        <f aca="false">INDEX(Laporan!$A$1:$AZ$300,G646,2)</f>
        <v>600 ml</v>
      </c>
      <c r="K646" s="0" t="str">
        <f aca="false">INDEX(Laporan!$A$1:$AZ$300,G646,3)</f>
        <v>Shift 1</v>
      </c>
      <c r="L646" s="0" t="n">
        <f aca="false">INDEX(Laporan!$A$1:$AZ$300,G646,4)</f>
        <v>2</v>
      </c>
      <c r="M646" s="1" t="n">
        <f aca="false">DATE(Pemetaan!$B$1,VALUE(RIGHT(INDEX(Laporan!$A$1:$AZ$300,F646+1,H646),2)),VALUE(LEFT(INDEX(Laporan!$A$1:$AZ$300,F646+1,H646),2)))</f>
        <v>46108</v>
      </c>
      <c r="N646" s="0" t="n">
        <f aca="false">INDEX(Laporan!$A$1:$AZ$300,G646,H646)</f>
        <v>2765</v>
      </c>
      <c r="O646" s="0" t="n">
        <f aca="false">IF(N646="","",IFERROR(VALUE(SUBSTITUTE(SUBSTITUTE(N646," btl",""),".","")),""))</f>
        <v>2765</v>
      </c>
      <c r="P646" s="0" t="str">
        <f aca="false">IF(B646="PRODUKSI","produced","reject")</f>
        <v>produced</v>
      </c>
    </row>
    <row r="647" customFormat="false" ht="15" hidden="false" customHeight="false" outlineLevel="0" collapsed="false">
      <c r="A647" s="0" t="n">
        <v>646</v>
      </c>
      <c r="B647" s="0" t="str">
        <f aca="false">IF(A647&lt;=36*25,"PRODUKSI","REJECT")</f>
        <v>PRODUKSI</v>
      </c>
      <c r="C647" s="0" t="n">
        <f aca="false">MOD(A647-1,Pemetaan!$B$3*Pemetaan!$B$4)</f>
        <v>645</v>
      </c>
      <c r="D647" s="0" t="n">
        <f aca="false">INT(C647/Pemetaan!$B$4)</f>
        <v>25</v>
      </c>
      <c r="E647" s="0" t="n">
        <f aca="false">MOD(C647,Pemetaan!$B$4)</f>
        <v>20</v>
      </c>
      <c r="F647" s="0" t="n">
        <f aca="false">IF(B647="PRODUKSI",Pemetaan!$B$5,Pemetaan!$B$6)</f>
        <v>5</v>
      </c>
      <c r="G647" s="0" t="n">
        <f aca="false">F647+2+D647</f>
        <v>32</v>
      </c>
      <c r="H647" s="0" t="n">
        <f aca="false">Pemetaan!$B$2+E647</f>
        <v>25</v>
      </c>
      <c r="I647" s="0" t="str">
        <f aca="false">INDEX(Laporan!$A$1:$AZ$300,G647,1)</f>
        <v>Mixing</v>
      </c>
      <c r="J647" s="0" t="str">
        <f aca="false">INDEX(Laporan!$A$1:$AZ$300,G647,2)</f>
        <v>600 ml</v>
      </c>
      <c r="K647" s="0" t="str">
        <f aca="false">INDEX(Laporan!$A$1:$AZ$300,G647,3)</f>
        <v>Shift 1</v>
      </c>
      <c r="L647" s="0" t="n">
        <f aca="false">INDEX(Laporan!$A$1:$AZ$300,G647,4)</f>
        <v>2</v>
      </c>
      <c r="M647" s="1" t="n">
        <f aca="false">DATE(Pemetaan!$B$1,VALUE(RIGHT(INDEX(Laporan!$A$1:$AZ$300,F647+1,H647),2)),VALUE(LEFT(INDEX(Laporan!$A$1:$AZ$300,F647+1,H647),2)))</f>
        <v>46111</v>
      </c>
      <c r="N647" s="0" t="n">
        <f aca="false">INDEX(Laporan!$A$1:$AZ$300,G647,H647)</f>
        <v>2754</v>
      </c>
      <c r="O647" s="0" t="n">
        <f aca="false">IF(N647="","",IFERROR(VALUE(SUBSTITUTE(SUBSTITUTE(N647," btl",""),".","")),""))</f>
        <v>2754</v>
      </c>
      <c r="P647" s="0" t="str">
        <f aca="false">IF(B647="PRODUKSI","produced","reject")</f>
        <v>produced</v>
      </c>
    </row>
    <row r="648" customFormat="false" ht="15" hidden="false" customHeight="false" outlineLevel="0" collapsed="false">
      <c r="A648" s="0" t="n">
        <v>647</v>
      </c>
      <c r="B648" s="0" t="str">
        <f aca="false">IF(A648&lt;=36*25,"PRODUKSI","REJECT")</f>
        <v>PRODUKSI</v>
      </c>
      <c r="C648" s="0" t="n">
        <f aca="false">MOD(A648-1,Pemetaan!$B$3*Pemetaan!$B$4)</f>
        <v>646</v>
      </c>
      <c r="D648" s="0" t="n">
        <f aca="false">INT(C648/Pemetaan!$B$4)</f>
        <v>25</v>
      </c>
      <c r="E648" s="0" t="n">
        <f aca="false">MOD(C648,Pemetaan!$B$4)</f>
        <v>21</v>
      </c>
      <c r="F648" s="0" t="n">
        <f aca="false">IF(B648="PRODUKSI",Pemetaan!$B$5,Pemetaan!$B$6)</f>
        <v>5</v>
      </c>
      <c r="G648" s="0" t="n">
        <f aca="false">F648+2+D648</f>
        <v>32</v>
      </c>
      <c r="H648" s="0" t="n">
        <f aca="false">Pemetaan!$B$2+E648</f>
        <v>26</v>
      </c>
      <c r="I648" s="0" t="str">
        <f aca="false">INDEX(Laporan!$A$1:$AZ$300,G648,1)</f>
        <v>Mixing</v>
      </c>
      <c r="J648" s="0" t="str">
        <f aca="false">INDEX(Laporan!$A$1:$AZ$300,G648,2)</f>
        <v>600 ml</v>
      </c>
      <c r="K648" s="0" t="str">
        <f aca="false">INDEX(Laporan!$A$1:$AZ$300,G648,3)</f>
        <v>Shift 1</v>
      </c>
      <c r="L648" s="0" t="n">
        <f aca="false">INDEX(Laporan!$A$1:$AZ$300,G648,4)</f>
        <v>2</v>
      </c>
      <c r="M648" s="1" t="n">
        <f aca="false">DATE(Pemetaan!$B$1,VALUE(RIGHT(INDEX(Laporan!$A$1:$AZ$300,F648+1,H648),2)),VALUE(LEFT(INDEX(Laporan!$A$1:$AZ$300,F648+1,H648),2)))</f>
        <v>46112</v>
      </c>
      <c r="N648" s="0" t="n">
        <f aca="false">INDEX(Laporan!$A$1:$AZ$300,G648,H648)</f>
        <v>2772</v>
      </c>
      <c r="O648" s="0" t="n">
        <f aca="false">IF(N648="","",IFERROR(VALUE(SUBSTITUTE(SUBSTITUTE(N648," btl",""),".","")),""))</f>
        <v>2772</v>
      </c>
      <c r="P648" s="0" t="str">
        <f aca="false">IF(B648="PRODUKSI","produced","reject")</f>
        <v>produced</v>
      </c>
    </row>
    <row r="649" customFormat="false" ht="15" hidden="false" customHeight="false" outlineLevel="0" collapsed="false">
      <c r="A649" s="0" t="n">
        <v>648</v>
      </c>
      <c r="B649" s="0" t="str">
        <f aca="false">IF(A649&lt;=36*25,"PRODUKSI","REJECT")</f>
        <v>PRODUKSI</v>
      </c>
      <c r="C649" s="0" t="n">
        <f aca="false">MOD(A649-1,Pemetaan!$B$3*Pemetaan!$B$4)</f>
        <v>647</v>
      </c>
      <c r="D649" s="0" t="n">
        <f aca="false">INT(C649/Pemetaan!$B$4)</f>
        <v>25</v>
      </c>
      <c r="E649" s="0" t="n">
        <f aca="false">MOD(C649,Pemetaan!$B$4)</f>
        <v>22</v>
      </c>
      <c r="F649" s="0" t="n">
        <f aca="false">IF(B649="PRODUKSI",Pemetaan!$B$5,Pemetaan!$B$6)</f>
        <v>5</v>
      </c>
      <c r="G649" s="0" t="n">
        <f aca="false">F649+2+D649</f>
        <v>32</v>
      </c>
      <c r="H649" s="0" t="n">
        <f aca="false">Pemetaan!$B$2+E649</f>
        <v>27</v>
      </c>
      <c r="I649" s="0" t="str">
        <f aca="false">INDEX(Laporan!$A$1:$AZ$300,G649,1)</f>
        <v>Mixing</v>
      </c>
      <c r="J649" s="0" t="str">
        <f aca="false">INDEX(Laporan!$A$1:$AZ$300,G649,2)</f>
        <v>600 ml</v>
      </c>
      <c r="K649" s="0" t="str">
        <f aca="false">INDEX(Laporan!$A$1:$AZ$300,G649,3)</f>
        <v>Shift 1</v>
      </c>
      <c r="L649" s="0" t="n">
        <f aca="false">INDEX(Laporan!$A$1:$AZ$300,G649,4)</f>
        <v>2</v>
      </c>
      <c r="M649" s="1" t="n">
        <f aca="false">DATE(Pemetaan!$B$1,VALUE(RIGHT(INDEX(Laporan!$A$1:$AZ$300,F649+1,H649),2)),VALUE(LEFT(INDEX(Laporan!$A$1:$AZ$300,F649+1,H649),2)))</f>
        <v>46113</v>
      </c>
      <c r="N649" s="0" t="n">
        <f aca="false">INDEX(Laporan!$A$1:$AZ$300,G649,H649)</f>
        <v>2956</v>
      </c>
      <c r="O649" s="0" t="n">
        <f aca="false">IF(N649="","",IFERROR(VALUE(SUBSTITUTE(SUBSTITUTE(N649," btl",""),".","")),""))</f>
        <v>2956</v>
      </c>
      <c r="P649" s="0" t="str">
        <f aca="false">IF(B649="PRODUKSI","produced","reject")</f>
        <v>produced</v>
      </c>
    </row>
    <row r="650" customFormat="false" ht="15" hidden="false" customHeight="false" outlineLevel="0" collapsed="false">
      <c r="A650" s="0" t="n">
        <v>649</v>
      </c>
      <c r="B650" s="0" t="str">
        <f aca="false">IF(A650&lt;=36*25,"PRODUKSI","REJECT")</f>
        <v>PRODUKSI</v>
      </c>
      <c r="C650" s="0" t="n">
        <f aca="false">MOD(A650-1,Pemetaan!$B$3*Pemetaan!$B$4)</f>
        <v>648</v>
      </c>
      <c r="D650" s="0" t="n">
        <f aca="false">INT(C650/Pemetaan!$B$4)</f>
        <v>25</v>
      </c>
      <c r="E650" s="0" t="n">
        <f aca="false">MOD(C650,Pemetaan!$B$4)</f>
        <v>23</v>
      </c>
      <c r="F650" s="0" t="n">
        <f aca="false">IF(B650="PRODUKSI",Pemetaan!$B$5,Pemetaan!$B$6)</f>
        <v>5</v>
      </c>
      <c r="G650" s="0" t="n">
        <f aca="false">F650+2+D650</f>
        <v>32</v>
      </c>
      <c r="H650" s="0" t="n">
        <f aca="false">Pemetaan!$B$2+E650</f>
        <v>28</v>
      </c>
      <c r="I650" s="0" t="str">
        <f aca="false">INDEX(Laporan!$A$1:$AZ$300,G650,1)</f>
        <v>Mixing</v>
      </c>
      <c r="J650" s="0" t="str">
        <f aca="false">INDEX(Laporan!$A$1:$AZ$300,G650,2)</f>
        <v>600 ml</v>
      </c>
      <c r="K650" s="0" t="str">
        <f aca="false">INDEX(Laporan!$A$1:$AZ$300,G650,3)</f>
        <v>Shift 1</v>
      </c>
      <c r="L650" s="0" t="n">
        <f aca="false">INDEX(Laporan!$A$1:$AZ$300,G650,4)</f>
        <v>2</v>
      </c>
      <c r="M650" s="1" t="n">
        <f aca="false">DATE(Pemetaan!$B$1,VALUE(RIGHT(INDEX(Laporan!$A$1:$AZ$300,F650+1,H650),2)),VALUE(LEFT(INDEX(Laporan!$A$1:$AZ$300,F650+1,H650),2)))</f>
        <v>46114</v>
      </c>
      <c r="N650" s="0" t="n">
        <f aca="false">INDEX(Laporan!$A$1:$AZ$300,G650,H650)</f>
        <v>2715</v>
      </c>
      <c r="O650" s="0" t="n">
        <f aca="false">IF(N650="","",IFERROR(VALUE(SUBSTITUTE(SUBSTITUTE(N650," btl",""),".","")),""))</f>
        <v>2715</v>
      </c>
      <c r="P650" s="0" t="str">
        <f aca="false">IF(B650="PRODUKSI","produced","reject")</f>
        <v>produced</v>
      </c>
    </row>
    <row r="651" customFormat="false" ht="15" hidden="false" customHeight="false" outlineLevel="0" collapsed="false">
      <c r="A651" s="0" t="n">
        <v>650</v>
      </c>
      <c r="B651" s="0" t="str">
        <f aca="false">IF(A651&lt;=36*25,"PRODUKSI","REJECT")</f>
        <v>PRODUKSI</v>
      </c>
      <c r="C651" s="0" t="n">
        <f aca="false">MOD(A651-1,Pemetaan!$B$3*Pemetaan!$B$4)</f>
        <v>649</v>
      </c>
      <c r="D651" s="0" t="n">
        <f aca="false">INT(C651/Pemetaan!$B$4)</f>
        <v>25</v>
      </c>
      <c r="E651" s="0" t="n">
        <f aca="false">MOD(C651,Pemetaan!$B$4)</f>
        <v>24</v>
      </c>
      <c r="F651" s="0" t="n">
        <f aca="false">IF(B651="PRODUKSI",Pemetaan!$B$5,Pemetaan!$B$6)</f>
        <v>5</v>
      </c>
      <c r="G651" s="0" t="n">
        <f aca="false">F651+2+D651</f>
        <v>32</v>
      </c>
      <c r="H651" s="0" t="n">
        <f aca="false">Pemetaan!$B$2+E651</f>
        <v>29</v>
      </c>
      <c r="I651" s="0" t="str">
        <f aca="false">INDEX(Laporan!$A$1:$AZ$300,G651,1)</f>
        <v>Mixing</v>
      </c>
      <c r="J651" s="0" t="str">
        <f aca="false">INDEX(Laporan!$A$1:$AZ$300,G651,2)</f>
        <v>600 ml</v>
      </c>
      <c r="K651" s="0" t="str">
        <f aca="false">INDEX(Laporan!$A$1:$AZ$300,G651,3)</f>
        <v>Shift 1</v>
      </c>
      <c r="L651" s="0" t="n">
        <f aca="false">INDEX(Laporan!$A$1:$AZ$300,G651,4)</f>
        <v>2</v>
      </c>
      <c r="M651" s="1" t="n">
        <f aca="false">DATE(Pemetaan!$B$1,VALUE(RIGHT(INDEX(Laporan!$A$1:$AZ$300,F651+1,H651),2)),VALUE(LEFT(INDEX(Laporan!$A$1:$AZ$300,F651+1,H651),2)))</f>
        <v>46115</v>
      </c>
      <c r="N651" s="0" t="n">
        <f aca="false">INDEX(Laporan!$A$1:$AZ$300,G651,H651)</f>
        <v>3191</v>
      </c>
      <c r="O651" s="0" t="n">
        <f aca="false">IF(N651="","",IFERROR(VALUE(SUBSTITUTE(SUBSTITUTE(N651," btl",""),".","")),""))</f>
        <v>3191</v>
      </c>
      <c r="P651" s="0" t="str">
        <f aca="false">IF(B651="PRODUKSI","produced","reject")</f>
        <v>produced</v>
      </c>
    </row>
    <row r="652" customFormat="false" ht="15" hidden="false" customHeight="false" outlineLevel="0" collapsed="false">
      <c r="A652" s="0" t="n">
        <v>651</v>
      </c>
      <c r="B652" s="0" t="str">
        <f aca="false">IF(A652&lt;=36*25,"PRODUKSI","REJECT")</f>
        <v>PRODUKSI</v>
      </c>
      <c r="C652" s="0" t="n">
        <f aca="false">MOD(A652-1,Pemetaan!$B$3*Pemetaan!$B$4)</f>
        <v>650</v>
      </c>
      <c r="D652" s="0" t="n">
        <f aca="false">INT(C652/Pemetaan!$B$4)</f>
        <v>26</v>
      </c>
      <c r="E652" s="0" t="n">
        <f aca="false">MOD(C652,Pemetaan!$B$4)</f>
        <v>0</v>
      </c>
      <c r="F652" s="0" t="n">
        <f aca="false">IF(B652="PRODUKSI",Pemetaan!$B$5,Pemetaan!$B$6)</f>
        <v>5</v>
      </c>
      <c r="G652" s="0" t="n">
        <f aca="false">F652+2+D652</f>
        <v>33</v>
      </c>
      <c r="H652" s="0" t="n">
        <f aca="false">Pemetaan!$B$2+E652</f>
        <v>5</v>
      </c>
      <c r="I652" s="0" t="str">
        <f aca="false">INDEX(Laporan!$A$1:$AZ$300,G652,1)</f>
        <v>Mixing</v>
      </c>
      <c r="J652" s="0" t="str">
        <f aca="false">INDEX(Laporan!$A$1:$AZ$300,G652,2)</f>
        <v>600 ml</v>
      </c>
      <c r="K652" s="0" t="str">
        <f aca="false">INDEX(Laporan!$A$1:$AZ$300,G652,3)</f>
        <v>Shift 1</v>
      </c>
      <c r="L652" s="0" t="n">
        <f aca="false">INDEX(Laporan!$A$1:$AZ$300,G652,4)</f>
        <v>3</v>
      </c>
      <c r="M652" s="1" t="n">
        <f aca="false">DATE(Pemetaan!$B$1,VALUE(RIGHT(INDEX(Laporan!$A$1:$AZ$300,F652+1,H652),2)),VALUE(LEFT(INDEX(Laporan!$A$1:$AZ$300,F652+1,H652),2)))</f>
        <v>46083</v>
      </c>
      <c r="N652" s="0" t="n">
        <f aca="false">INDEX(Laporan!$A$1:$AZ$300,G652,H652)</f>
        <v>2994</v>
      </c>
      <c r="O652" s="0" t="n">
        <f aca="false">IF(N652="","",IFERROR(VALUE(SUBSTITUTE(SUBSTITUTE(N652," btl",""),".","")),""))</f>
        <v>2994</v>
      </c>
      <c r="P652" s="0" t="str">
        <f aca="false">IF(B652="PRODUKSI","produced","reject")</f>
        <v>produced</v>
      </c>
    </row>
    <row r="653" customFormat="false" ht="15" hidden="false" customHeight="false" outlineLevel="0" collapsed="false">
      <c r="A653" s="0" t="n">
        <v>652</v>
      </c>
      <c r="B653" s="0" t="str">
        <f aca="false">IF(A653&lt;=36*25,"PRODUKSI","REJECT")</f>
        <v>PRODUKSI</v>
      </c>
      <c r="C653" s="0" t="n">
        <f aca="false">MOD(A653-1,Pemetaan!$B$3*Pemetaan!$B$4)</f>
        <v>651</v>
      </c>
      <c r="D653" s="0" t="n">
        <f aca="false">INT(C653/Pemetaan!$B$4)</f>
        <v>26</v>
      </c>
      <c r="E653" s="0" t="n">
        <f aca="false">MOD(C653,Pemetaan!$B$4)</f>
        <v>1</v>
      </c>
      <c r="F653" s="0" t="n">
        <f aca="false">IF(B653="PRODUKSI",Pemetaan!$B$5,Pemetaan!$B$6)</f>
        <v>5</v>
      </c>
      <c r="G653" s="0" t="n">
        <f aca="false">F653+2+D653</f>
        <v>33</v>
      </c>
      <c r="H653" s="0" t="n">
        <f aca="false">Pemetaan!$B$2+E653</f>
        <v>6</v>
      </c>
      <c r="I653" s="0" t="str">
        <f aca="false">INDEX(Laporan!$A$1:$AZ$300,G653,1)</f>
        <v>Mixing</v>
      </c>
      <c r="J653" s="0" t="str">
        <f aca="false">INDEX(Laporan!$A$1:$AZ$300,G653,2)</f>
        <v>600 ml</v>
      </c>
      <c r="K653" s="0" t="str">
        <f aca="false">INDEX(Laporan!$A$1:$AZ$300,G653,3)</f>
        <v>Shift 1</v>
      </c>
      <c r="L653" s="0" t="n">
        <f aca="false">INDEX(Laporan!$A$1:$AZ$300,G653,4)</f>
        <v>3</v>
      </c>
      <c r="M653" s="1" t="n">
        <f aca="false">DATE(Pemetaan!$B$1,VALUE(RIGHT(INDEX(Laporan!$A$1:$AZ$300,F653+1,H653),2)),VALUE(LEFT(INDEX(Laporan!$A$1:$AZ$300,F653+1,H653),2)))</f>
        <v>46084</v>
      </c>
      <c r="N653" s="0" t="n">
        <f aca="false">INDEX(Laporan!$A$1:$AZ$300,G653,H653)</f>
        <v>3084</v>
      </c>
      <c r="O653" s="0" t="n">
        <f aca="false">IF(N653="","",IFERROR(VALUE(SUBSTITUTE(SUBSTITUTE(N653," btl",""),".","")),""))</f>
        <v>3084</v>
      </c>
      <c r="P653" s="0" t="str">
        <f aca="false">IF(B653="PRODUKSI","produced","reject")</f>
        <v>produced</v>
      </c>
    </row>
    <row r="654" customFormat="false" ht="15" hidden="false" customHeight="false" outlineLevel="0" collapsed="false">
      <c r="A654" s="0" t="n">
        <v>653</v>
      </c>
      <c r="B654" s="0" t="str">
        <f aca="false">IF(A654&lt;=36*25,"PRODUKSI","REJECT")</f>
        <v>PRODUKSI</v>
      </c>
      <c r="C654" s="0" t="n">
        <f aca="false">MOD(A654-1,Pemetaan!$B$3*Pemetaan!$B$4)</f>
        <v>652</v>
      </c>
      <c r="D654" s="0" t="n">
        <f aca="false">INT(C654/Pemetaan!$B$4)</f>
        <v>26</v>
      </c>
      <c r="E654" s="0" t="n">
        <f aca="false">MOD(C654,Pemetaan!$B$4)</f>
        <v>2</v>
      </c>
      <c r="F654" s="0" t="n">
        <f aca="false">IF(B654="PRODUKSI",Pemetaan!$B$5,Pemetaan!$B$6)</f>
        <v>5</v>
      </c>
      <c r="G654" s="0" t="n">
        <f aca="false">F654+2+D654</f>
        <v>33</v>
      </c>
      <c r="H654" s="0" t="n">
        <f aca="false">Pemetaan!$B$2+E654</f>
        <v>7</v>
      </c>
      <c r="I654" s="0" t="str">
        <f aca="false">INDEX(Laporan!$A$1:$AZ$300,G654,1)</f>
        <v>Mixing</v>
      </c>
      <c r="J654" s="0" t="str">
        <f aca="false">INDEX(Laporan!$A$1:$AZ$300,G654,2)</f>
        <v>600 ml</v>
      </c>
      <c r="K654" s="0" t="str">
        <f aca="false">INDEX(Laporan!$A$1:$AZ$300,G654,3)</f>
        <v>Shift 1</v>
      </c>
      <c r="L654" s="0" t="n">
        <f aca="false">INDEX(Laporan!$A$1:$AZ$300,G654,4)</f>
        <v>3</v>
      </c>
      <c r="M654" s="1" t="n">
        <f aca="false">DATE(Pemetaan!$B$1,VALUE(RIGHT(INDEX(Laporan!$A$1:$AZ$300,F654+1,H654),2)),VALUE(LEFT(INDEX(Laporan!$A$1:$AZ$300,F654+1,H654),2)))</f>
        <v>46085</v>
      </c>
      <c r="N654" s="0" t="n">
        <f aca="false">INDEX(Laporan!$A$1:$AZ$300,G654,H654)</f>
        <v>2937</v>
      </c>
      <c r="O654" s="0" t="n">
        <f aca="false">IF(N654="","",IFERROR(VALUE(SUBSTITUTE(SUBSTITUTE(N654," btl",""),".","")),""))</f>
        <v>2937</v>
      </c>
      <c r="P654" s="0" t="str">
        <f aca="false">IF(B654="PRODUKSI","produced","reject")</f>
        <v>produced</v>
      </c>
    </row>
    <row r="655" customFormat="false" ht="15" hidden="false" customHeight="false" outlineLevel="0" collapsed="false">
      <c r="A655" s="0" t="n">
        <v>654</v>
      </c>
      <c r="B655" s="0" t="str">
        <f aca="false">IF(A655&lt;=36*25,"PRODUKSI","REJECT")</f>
        <v>PRODUKSI</v>
      </c>
      <c r="C655" s="0" t="n">
        <f aca="false">MOD(A655-1,Pemetaan!$B$3*Pemetaan!$B$4)</f>
        <v>653</v>
      </c>
      <c r="D655" s="0" t="n">
        <f aca="false">INT(C655/Pemetaan!$B$4)</f>
        <v>26</v>
      </c>
      <c r="E655" s="0" t="n">
        <f aca="false">MOD(C655,Pemetaan!$B$4)</f>
        <v>3</v>
      </c>
      <c r="F655" s="0" t="n">
        <f aca="false">IF(B655="PRODUKSI",Pemetaan!$B$5,Pemetaan!$B$6)</f>
        <v>5</v>
      </c>
      <c r="G655" s="0" t="n">
        <f aca="false">F655+2+D655</f>
        <v>33</v>
      </c>
      <c r="H655" s="0" t="n">
        <f aca="false">Pemetaan!$B$2+E655</f>
        <v>8</v>
      </c>
      <c r="I655" s="0" t="str">
        <f aca="false">INDEX(Laporan!$A$1:$AZ$300,G655,1)</f>
        <v>Mixing</v>
      </c>
      <c r="J655" s="0" t="str">
        <f aca="false">INDEX(Laporan!$A$1:$AZ$300,G655,2)</f>
        <v>600 ml</v>
      </c>
      <c r="K655" s="0" t="str">
        <f aca="false">INDEX(Laporan!$A$1:$AZ$300,G655,3)</f>
        <v>Shift 1</v>
      </c>
      <c r="L655" s="0" t="n">
        <f aca="false">INDEX(Laporan!$A$1:$AZ$300,G655,4)</f>
        <v>3</v>
      </c>
      <c r="M655" s="1" t="n">
        <f aca="false">DATE(Pemetaan!$B$1,VALUE(RIGHT(INDEX(Laporan!$A$1:$AZ$300,F655+1,H655),2)),VALUE(LEFT(INDEX(Laporan!$A$1:$AZ$300,F655+1,H655),2)))</f>
        <v>46086</v>
      </c>
      <c r="N655" s="0" t="n">
        <f aca="false">INDEX(Laporan!$A$1:$AZ$300,G655,H655)</f>
        <v>2776</v>
      </c>
      <c r="O655" s="0" t="n">
        <f aca="false">IF(N655="","",IFERROR(VALUE(SUBSTITUTE(SUBSTITUTE(N655," btl",""),".","")),""))</f>
        <v>2776</v>
      </c>
      <c r="P655" s="0" t="str">
        <f aca="false">IF(B655="PRODUKSI","produced","reject")</f>
        <v>produced</v>
      </c>
    </row>
    <row r="656" customFormat="false" ht="15" hidden="false" customHeight="false" outlineLevel="0" collapsed="false">
      <c r="A656" s="0" t="n">
        <v>655</v>
      </c>
      <c r="B656" s="0" t="str">
        <f aca="false">IF(A656&lt;=36*25,"PRODUKSI","REJECT")</f>
        <v>PRODUKSI</v>
      </c>
      <c r="C656" s="0" t="n">
        <f aca="false">MOD(A656-1,Pemetaan!$B$3*Pemetaan!$B$4)</f>
        <v>654</v>
      </c>
      <c r="D656" s="0" t="n">
        <f aca="false">INT(C656/Pemetaan!$B$4)</f>
        <v>26</v>
      </c>
      <c r="E656" s="0" t="n">
        <f aca="false">MOD(C656,Pemetaan!$B$4)</f>
        <v>4</v>
      </c>
      <c r="F656" s="0" t="n">
        <f aca="false">IF(B656="PRODUKSI",Pemetaan!$B$5,Pemetaan!$B$6)</f>
        <v>5</v>
      </c>
      <c r="G656" s="0" t="n">
        <f aca="false">F656+2+D656</f>
        <v>33</v>
      </c>
      <c r="H656" s="0" t="n">
        <f aca="false">Pemetaan!$B$2+E656</f>
        <v>9</v>
      </c>
      <c r="I656" s="0" t="str">
        <f aca="false">INDEX(Laporan!$A$1:$AZ$300,G656,1)</f>
        <v>Mixing</v>
      </c>
      <c r="J656" s="0" t="str">
        <f aca="false">INDEX(Laporan!$A$1:$AZ$300,G656,2)</f>
        <v>600 ml</v>
      </c>
      <c r="K656" s="0" t="str">
        <f aca="false">INDEX(Laporan!$A$1:$AZ$300,G656,3)</f>
        <v>Shift 1</v>
      </c>
      <c r="L656" s="0" t="n">
        <f aca="false">INDEX(Laporan!$A$1:$AZ$300,G656,4)</f>
        <v>3</v>
      </c>
      <c r="M656" s="1" t="n">
        <f aca="false">DATE(Pemetaan!$B$1,VALUE(RIGHT(INDEX(Laporan!$A$1:$AZ$300,F656+1,H656),2)),VALUE(LEFT(INDEX(Laporan!$A$1:$AZ$300,F656+1,H656),2)))</f>
        <v>46087</v>
      </c>
      <c r="N656" s="0" t="n">
        <f aca="false">INDEX(Laporan!$A$1:$AZ$300,G656,H656)</f>
        <v>2480</v>
      </c>
      <c r="O656" s="0" t="n">
        <f aca="false">IF(N656="","",IFERROR(VALUE(SUBSTITUTE(SUBSTITUTE(N656," btl",""),".","")),""))</f>
        <v>2480</v>
      </c>
      <c r="P656" s="0" t="str">
        <f aca="false">IF(B656="PRODUKSI","produced","reject")</f>
        <v>produced</v>
      </c>
    </row>
    <row r="657" customFormat="false" ht="15" hidden="false" customHeight="false" outlineLevel="0" collapsed="false">
      <c r="A657" s="0" t="n">
        <v>656</v>
      </c>
      <c r="B657" s="0" t="str">
        <f aca="false">IF(A657&lt;=36*25,"PRODUKSI","REJECT")</f>
        <v>PRODUKSI</v>
      </c>
      <c r="C657" s="0" t="n">
        <f aca="false">MOD(A657-1,Pemetaan!$B$3*Pemetaan!$B$4)</f>
        <v>655</v>
      </c>
      <c r="D657" s="0" t="n">
        <f aca="false">INT(C657/Pemetaan!$B$4)</f>
        <v>26</v>
      </c>
      <c r="E657" s="0" t="n">
        <f aca="false">MOD(C657,Pemetaan!$B$4)</f>
        <v>5</v>
      </c>
      <c r="F657" s="0" t="n">
        <f aca="false">IF(B657="PRODUKSI",Pemetaan!$B$5,Pemetaan!$B$6)</f>
        <v>5</v>
      </c>
      <c r="G657" s="0" t="n">
        <f aca="false">F657+2+D657</f>
        <v>33</v>
      </c>
      <c r="H657" s="0" t="n">
        <f aca="false">Pemetaan!$B$2+E657</f>
        <v>10</v>
      </c>
      <c r="I657" s="0" t="str">
        <f aca="false">INDEX(Laporan!$A$1:$AZ$300,G657,1)</f>
        <v>Mixing</v>
      </c>
      <c r="J657" s="0" t="str">
        <f aca="false">INDEX(Laporan!$A$1:$AZ$300,G657,2)</f>
        <v>600 ml</v>
      </c>
      <c r="K657" s="0" t="str">
        <f aca="false">INDEX(Laporan!$A$1:$AZ$300,G657,3)</f>
        <v>Shift 1</v>
      </c>
      <c r="L657" s="0" t="n">
        <f aca="false">INDEX(Laporan!$A$1:$AZ$300,G657,4)</f>
        <v>3</v>
      </c>
      <c r="M657" s="1" t="n">
        <f aca="false">DATE(Pemetaan!$B$1,VALUE(RIGHT(INDEX(Laporan!$A$1:$AZ$300,F657+1,H657),2)),VALUE(LEFT(INDEX(Laporan!$A$1:$AZ$300,F657+1,H657),2)))</f>
        <v>46090</v>
      </c>
      <c r="N657" s="0" t="n">
        <f aca="false">INDEX(Laporan!$A$1:$AZ$300,G657,H657)</f>
        <v>2930</v>
      </c>
      <c r="O657" s="0" t="n">
        <f aca="false">IF(N657="","",IFERROR(VALUE(SUBSTITUTE(SUBSTITUTE(N657," btl",""),".","")),""))</f>
        <v>2930</v>
      </c>
      <c r="P657" s="0" t="str">
        <f aca="false">IF(B657="PRODUKSI","produced","reject")</f>
        <v>produced</v>
      </c>
    </row>
    <row r="658" customFormat="false" ht="15" hidden="false" customHeight="false" outlineLevel="0" collapsed="false">
      <c r="A658" s="0" t="n">
        <v>657</v>
      </c>
      <c r="B658" s="0" t="str">
        <f aca="false">IF(A658&lt;=36*25,"PRODUKSI","REJECT")</f>
        <v>PRODUKSI</v>
      </c>
      <c r="C658" s="0" t="n">
        <f aca="false">MOD(A658-1,Pemetaan!$B$3*Pemetaan!$B$4)</f>
        <v>656</v>
      </c>
      <c r="D658" s="0" t="n">
        <f aca="false">INT(C658/Pemetaan!$B$4)</f>
        <v>26</v>
      </c>
      <c r="E658" s="0" t="n">
        <f aca="false">MOD(C658,Pemetaan!$B$4)</f>
        <v>6</v>
      </c>
      <c r="F658" s="0" t="n">
        <f aca="false">IF(B658="PRODUKSI",Pemetaan!$B$5,Pemetaan!$B$6)</f>
        <v>5</v>
      </c>
      <c r="G658" s="0" t="n">
        <f aca="false">F658+2+D658</f>
        <v>33</v>
      </c>
      <c r="H658" s="0" t="n">
        <f aca="false">Pemetaan!$B$2+E658</f>
        <v>11</v>
      </c>
      <c r="I658" s="0" t="str">
        <f aca="false">INDEX(Laporan!$A$1:$AZ$300,G658,1)</f>
        <v>Mixing</v>
      </c>
      <c r="J658" s="0" t="str">
        <f aca="false">INDEX(Laporan!$A$1:$AZ$300,G658,2)</f>
        <v>600 ml</v>
      </c>
      <c r="K658" s="0" t="str">
        <f aca="false">INDEX(Laporan!$A$1:$AZ$300,G658,3)</f>
        <v>Shift 1</v>
      </c>
      <c r="L658" s="0" t="n">
        <f aca="false">INDEX(Laporan!$A$1:$AZ$300,G658,4)</f>
        <v>3</v>
      </c>
      <c r="M658" s="1" t="n">
        <f aca="false">DATE(Pemetaan!$B$1,VALUE(RIGHT(INDEX(Laporan!$A$1:$AZ$300,F658+1,H658),2)),VALUE(LEFT(INDEX(Laporan!$A$1:$AZ$300,F658+1,H658),2)))</f>
        <v>46091</v>
      </c>
      <c r="N658" s="0" t="n">
        <f aca="false">INDEX(Laporan!$A$1:$AZ$300,G658,H658)</f>
        <v>2795</v>
      </c>
      <c r="O658" s="0" t="n">
        <f aca="false">IF(N658="","",IFERROR(VALUE(SUBSTITUTE(SUBSTITUTE(N658," btl",""),".","")),""))</f>
        <v>2795</v>
      </c>
      <c r="P658" s="0" t="str">
        <f aca="false">IF(B658="PRODUKSI","produced","reject")</f>
        <v>produced</v>
      </c>
    </row>
    <row r="659" customFormat="false" ht="15" hidden="false" customHeight="false" outlineLevel="0" collapsed="false">
      <c r="A659" s="0" t="n">
        <v>658</v>
      </c>
      <c r="B659" s="0" t="str">
        <f aca="false">IF(A659&lt;=36*25,"PRODUKSI","REJECT")</f>
        <v>PRODUKSI</v>
      </c>
      <c r="C659" s="0" t="n">
        <f aca="false">MOD(A659-1,Pemetaan!$B$3*Pemetaan!$B$4)</f>
        <v>657</v>
      </c>
      <c r="D659" s="0" t="n">
        <f aca="false">INT(C659/Pemetaan!$B$4)</f>
        <v>26</v>
      </c>
      <c r="E659" s="0" t="n">
        <f aca="false">MOD(C659,Pemetaan!$B$4)</f>
        <v>7</v>
      </c>
      <c r="F659" s="0" t="n">
        <f aca="false">IF(B659="PRODUKSI",Pemetaan!$B$5,Pemetaan!$B$6)</f>
        <v>5</v>
      </c>
      <c r="G659" s="0" t="n">
        <f aca="false">F659+2+D659</f>
        <v>33</v>
      </c>
      <c r="H659" s="0" t="n">
        <f aca="false">Pemetaan!$B$2+E659</f>
        <v>12</v>
      </c>
      <c r="I659" s="0" t="str">
        <f aca="false">INDEX(Laporan!$A$1:$AZ$300,G659,1)</f>
        <v>Mixing</v>
      </c>
      <c r="J659" s="0" t="str">
        <f aca="false">INDEX(Laporan!$A$1:$AZ$300,G659,2)</f>
        <v>600 ml</v>
      </c>
      <c r="K659" s="0" t="str">
        <f aca="false">INDEX(Laporan!$A$1:$AZ$300,G659,3)</f>
        <v>Shift 1</v>
      </c>
      <c r="L659" s="0" t="n">
        <f aca="false">INDEX(Laporan!$A$1:$AZ$300,G659,4)</f>
        <v>3</v>
      </c>
      <c r="M659" s="1" t="n">
        <f aca="false">DATE(Pemetaan!$B$1,VALUE(RIGHT(INDEX(Laporan!$A$1:$AZ$300,F659+1,H659),2)),VALUE(LEFT(INDEX(Laporan!$A$1:$AZ$300,F659+1,H659),2)))</f>
        <v>46092</v>
      </c>
      <c r="N659" s="0" t="n">
        <f aca="false">INDEX(Laporan!$A$1:$AZ$300,G659,H659)</f>
        <v>2857</v>
      </c>
      <c r="O659" s="0" t="n">
        <f aca="false">IF(N659="","",IFERROR(VALUE(SUBSTITUTE(SUBSTITUTE(N659," btl",""),".","")),""))</f>
        <v>2857</v>
      </c>
      <c r="P659" s="0" t="str">
        <f aca="false">IF(B659="PRODUKSI","produced","reject")</f>
        <v>produced</v>
      </c>
    </row>
    <row r="660" customFormat="false" ht="15" hidden="false" customHeight="false" outlineLevel="0" collapsed="false">
      <c r="A660" s="0" t="n">
        <v>659</v>
      </c>
      <c r="B660" s="0" t="str">
        <f aca="false">IF(A660&lt;=36*25,"PRODUKSI","REJECT")</f>
        <v>PRODUKSI</v>
      </c>
      <c r="C660" s="0" t="n">
        <f aca="false">MOD(A660-1,Pemetaan!$B$3*Pemetaan!$B$4)</f>
        <v>658</v>
      </c>
      <c r="D660" s="0" t="n">
        <f aca="false">INT(C660/Pemetaan!$B$4)</f>
        <v>26</v>
      </c>
      <c r="E660" s="0" t="n">
        <f aca="false">MOD(C660,Pemetaan!$B$4)</f>
        <v>8</v>
      </c>
      <c r="F660" s="0" t="n">
        <f aca="false">IF(B660="PRODUKSI",Pemetaan!$B$5,Pemetaan!$B$6)</f>
        <v>5</v>
      </c>
      <c r="G660" s="0" t="n">
        <f aca="false">F660+2+D660</f>
        <v>33</v>
      </c>
      <c r="H660" s="0" t="n">
        <f aca="false">Pemetaan!$B$2+E660</f>
        <v>13</v>
      </c>
      <c r="I660" s="0" t="str">
        <f aca="false">INDEX(Laporan!$A$1:$AZ$300,G660,1)</f>
        <v>Mixing</v>
      </c>
      <c r="J660" s="0" t="str">
        <f aca="false">INDEX(Laporan!$A$1:$AZ$300,G660,2)</f>
        <v>600 ml</v>
      </c>
      <c r="K660" s="0" t="str">
        <f aca="false">INDEX(Laporan!$A$1:$AZ$300,G660,3)</f>
        <v>Shift 1</v>
      </c>
      <c r="L660" s="0" t="n">
        <f aca="false">INDEX(Laporan!$A$1:$AZ$300,G660,4)</f>
        <v>3</v>
      </c>
      <c r="M660" s="1" t="n">
        <f aca="false">DATE(Pemetaan!$B$1,VALUE(RIGHT(INDEX(Laporan!$A$1:$AZ$300,F660+1,H660),2)),VALUE(LEFT(INDEX(Laporan!$A$1:$AZ$300,F660+1,H660),2)))</f>
        <v>46093</v>
      </c>
      <c r="N660" s="0" t="n">
        <f aca="false">INDEX(Laporan!$A$1:$AZ$300,G660,H660)</f>
        <v>2621</v>
      </c>
      <c r="O660" s="0" t="n">
        <f aca="false">IF(N660="","",IFERROR(VALUE(SUBSTITUTE(SUBSTITUTE(N660," btl",""),".","")),""))</f>
        <v>2621</v>
      </c>
      <c r="P660" s="0" t="str">
        <f aca="false">IF(B660="PRODUKSI","produced","reject")</f>
        <v>produced</v>
      </c>
    </row>
    <row r="661" customFormat="false" ht="15" hidden="false" customHeight="false" outlineLevel="0" collapsed="false">
      <c r="A661" s="0" t="n">
        <v>660</v>
      </c>
      <c r="B661" s="0" t="str">
        <f aca="false">IF(A661&lt;=36*25,"PRODUKSI","REJECT")</f>
        <v>PRODUKSI</v>
      </c>
      <c r="C661" s="0" t="n">
        <f aca="false">MOD(A661-1,Pemetaan!$B$3*Pemetaan!$B$4)</f>
        <v>659</v>
      </c>
      <c r="D661" s="0" t="n">
        <f aca="false">INT(C661/Pemetaan!$B$4)</f>
        <v>26</v>
      </c>
      <c r="E661" s="0" t="n">
        <f aca="false">MOD(C661,Pemetaan!$B$4)</f>
        <v>9</v>
      </c>
      <c r="F661" s="0" t="n">
        <f aca="false">IF(B661="PRODUKSI",Pemetaan!$B$5,Pemetaan!$B$6)</f>
        <v>5</v>
      </c>
      <c r="G661" s="0" t="n">
        <f aca="false">F661+2+D661</f>
        <v>33</v>
      </c>
      <c r="H661" s="0" t="n">
        <f aca="false">Pemetaan!$B$2+E661</f>
        <v>14</v>
      </c>
      <c r="I661" s="0" t="str">
        <f aca="false">INDEX(Laporan!$A$1:$AZ$300,G661,1)</f>
        <v>Mixing</v>
      </c>
      <c r="J661" s="0" t="str">
        <f aca="false">INDEX(Laporan!$A$1:$AZ$300,G661,2)</f>
        <v>600 ml</v>
      </c>
      <c r="K661" s="0" t="str">
        <f aca="false">INDEX(Laporan!$A$1:$AZ$300,G661,3)</f>
        <v>Shift 1</v>
      </c>
      <c r="L661" s="0" t="n">
        <f aca="false">INDEX(Laporan!$A$1:$AZ$300,G661,4)</f>
        <v>3</v>
      </c>
      <c r="M661" s="1" t="n">
        <f aca="false">DATE(Pemetaan!$B$1,VALUE(RIGHT(INDEX(Laporan!$A$1:$AZ$300,F661+1,H661),2)),VALUE(LEFT(INDEX(Laporan!$A$1:$AZ$300,F661+1,H661),2)))</f>
        <v>46094</v>
      </c>
      <c r="N661" s="0" t="n">
        <f aca="false">INDEX(Laporan!$A$1:$AZ$300,G661,H661)</f>
        <v>2740</v>
      </c>
      <c r="O661" s="0" t="n">
        <f aca="false">IF(N661="","",IFERROR(VALUE(SUBSTITUTE(SUBSTITUTE(N661," btl",""),".","")),""))</f>
        <v>2740</v>
      </c>
      <c r="P661" s="0" t="str">
        <f aca="false">IF(B661="PRODUKSI","produced","reject")</f>
        <v>produced</v>
      </c>
    </row>
    <row r="662" customFormat="false" ht="15" hidden="false" customHeight="false" outlineLevel="0" collapsed="false">
      <c r="A662" s="0" t="n">
        <v>661</v>
      </c>
      <c r="B662" s="0" t="str">
        <f aca="false">IF(A662&lt;=36*25,"PRODUKSI","REJECT")</f>
        <v>PRODUKSI</v>
      </c>
      <c r="C662" s="0" t="n">
        <f aca="false">MOD(A662-1,Pemetaan!$B$3*Pemetaan!$B$4)</f>
        <v>660</v>
      </c>
      <c r="D662" s="0" t="n">
        <f aca="false">INT(C662/Pemetaan!$B$4)</f>
        <v>26</v>
      </c>
      <c r="E662" s="0" t="n">
        <f aca="false">MOD(C662,Pemetaan!$B$4)</f>
        <v>10</v>
      </c>
      <c r="F662" s="0" t="n">
        <f aca="false">IF(B662="PRODUKSI",Pemetaan!$B$5,Pemetaan!$B$6)</f>
        <v>5</v>
      </c>
      <c r="G662" s="0" t="n">
        <f aca="false">F662+2+D662</f>
        <v>33</v>
      </c>
      <c r="H662" s="0" t="n">
        <f aca="false">Pemetaan!$B$2+E662</f>
        <v>15</v>
      </c>
      <c r="I662" s="0" t="str">
        <f aca="false">INDEX(Laporan!$A$1:$AZ$300,G662,1)</f>
        <v>Mixing</v>
      </c>
      <c r="J662" s="0" t="str">
        <f aca="false">INDEX(Laporan!$A$1:$AZ$300,G662,2)</f>
        <v>600 ml</v>
      </c>
      <c r="K662" s="0" t="str">
        <f aca="false">INDEX(Laporan!$A$1:$AZ$300,G662,3)</f>
        <v>Shift 1</v>
      </c>
      <c r="L662" s="0" t="n">
        <f aca="false">INDEX(Laporan!$A$1:$AZ$300,G662,4)</f>
        <v>3</v>
      </c>
      <c r="M662" s="1" t="n">
        <f aca="false">DATE(Pemetaan!$B$1,VALUE(RIGHT(INDEX(Laporan!$A$1:$AZ$300,F662+1,H662),2)),VALUE(LEFT(INDEX(Laporan!$A$1:$AZ$300,F662+1,H662),2)))</f>
        <v>46097</v>
      </c>
      <c r="N662" s="0" t="n">
        <f aca="false">INDEX(Laporan!$A$1:$AZ$300,G662,H662)</f>
        <v>2810</v>
      </c>
      <c r="O662" s="0" t="n">
        <f aca="false">IF(N662="","",IFERROR(VALUE(SUBSTITUTE(SUBSTITUTE(N662," btl",""),".","")),""))</f>
        <v>2810</v>
      </c>
      <c r="P662" s="0" t="str">
        <f aca="false">IF(B662="PRODUKSI","produced","reject")</f>
        <v>produced</v>
      </c>
    </row>
    <row r="663" customFormat="false" ht="15" hidden="false" customHeight="false" outlineLevel="0" collapsed="false">
      <c r="A663" s="0" t="n">
        <v>662</v>
      </c>
      <c r="B663" s="0" t="str">
        <f aca="false">IF(A663&lt;=36*25,"PRODUKSI","REJECT")</f>
        <v>PRODUKSI</v>
      </c>
      <c r="C663" s="0" t="n">
        <f aca="false">MOD(A663-1,Pemetaan!$B$3*Pemetaan!$B$4)</f>
        <v>661</v>
      </c>
      <c r="D663" s="0" t="n">
        <f aca="false">INT(C663/Pemetaan!$B$4)</f>
        <v>26</v>
      </c>
      <c r="E663" s="0" t="n">
        <f aca="false">MOD(C663,Pemetaan!$B$4)</f>
        <v>11</v>
      </c>
      <c r="F663" s="0" t="n">
        <f aca="false">IF(B663="PRODUKSI",Pemetaan!$B$5,Pemetaan!$B$6)</f>
        <v>5</v>
      </c>
      <c r="G663" s="0" t="n">
        <f aca="false">F663+2+D663</f>
        <v>33</v>
      </c>
      <c r="H663" s="0" t="n">
        <f aca="false">Pemetaan!$B$2+E663</f>
        <v>16</v>
      </c>
      <c r="I663" s="0" t="str">
        <f aca="false">INDEX(Laporan!$A$1:$AZ$300,G663,1)</f>
        <v>Mixing</v>
      </c>
      <c r="J663" s="0" t="str">
        <f aca="false">INDEX(Laporan!$A$1:$AZ$300,G663,2)</f>
        <v>600 ml</v>
      </c>
      <c r="K663" s="0" t="str">
        <f aca="false">INDEX(Laporan!$A$1:$AZ$300,G663,3)</f>
        <v>Shift 1</v>
      </c>
      <c r="L663" s="0" t="n">
        <f aca="false">INDEX(Laporan!$A$1:$AZ$300,G663,4)</f>
        <v>3</v>
      </c>
      <c r="M663" s="1" t="n">
        <f aca="false">DATE(Pemetaan!$B$1,VALUE(RIGHT(INDEX(Laporan!$A$1:$AZ$300,F663+1,H663),2)),VALUE(LEFT(INDEX(Laporan!$A$1:$AZ$300,F663+1,H663),2)))</f>
        <v>46098</v>
      </c>
      <c r="N663" s="0" t="n">
        <f aca="false">INDEX(Laporan!$A$1:$AZ$300,G663,H663)</f>
        <v>2640</v>
      </c>
      <c r="O663" s="0" t="n">
        <f aca="false">IF(N663="","",IFERROR(VALUE(SUBSTITUTE(SUBSTITUTE(N663," btl",""),".","")),""))</f>
        <v>2640</v>
      </c>
      <c r="P663" s="0" t="str">
        <f aca="false">IF(B663="PRODUKSI","produced","reject")</f>
        <v>produced</v>
      </c>
    </row>
    <row r="664" customFormat="false" ht="15" hidden="false" customHeight="false" outlineLevel="0" collapsed="false">
      <c r="A664" s="0" t="n">
        <v>663</v>
      </c>
      <c r="B664" s="0" t="str">
        <f aca="false">IF(A664&lt;=36*25,"PRODUKSI","REJECT")</f>
        <v>PRODUKSI</v>
      </c>
      <c r="C664" s="0" t="n">
        <f aca="false">MOD(A664-1,Pemetaan!$B$3*Pemetaan!$B$4)</f>
        <v>662</v>
      </c>
      <c r="D664" s="0" t="n">
        <f aca="false">INT(C664/Pemetaan!$B$4)</f>
        <v>26</v>
      </c>
      <c r="E664" s="0" t="n">
        <f aca="false">MOD(C664,Pemetaan!$B$4)</f>
        <v>12</v>
      </c>
      <c r="F664" s="0" t="n">
        <f aca="false">IF(B664="PRODUKSI",Pemetaan!$B$5,Pemetaan!$B$6)</f>
        <v>5</v>
      </c>
      <c r="G664" s="0" t="n">
        <f aca="false">F664+2+D664</f>
        <v>33</v>
      </c>
      <c r="H664" s="0" t="n">
        <f aca="false">Pemetaan!$B$2+E664</f>
        <v>17</v>
      </c>
      <c r="I664" s="0" t="str">
        <f aca="false">INDEX(Laporan!$A$1:$AZ$300,G664,1)</f>
        <v>Mixing</v>
      </c>
      <c r="J664" s="0" t="str">
        <f aca="false">INDEX(Laporan!$A$1:$AZ$300,G664,2)</f>
        <v>600 ml</v>
      </c>
      <c r="K664" s="0" t="str">
        <f aca="false">INDEX(Laporan!$A$1:$AZ$300,G664,3)</f>
        <v>Shift 1</v>
      </c>
      <c r="L664" s="0" t="n">
        <f aca="false">INDEX(Laporan!$A$1:$AZ$300,G664,4)</f>
        <v>3</v>
      </c>
      <c r="M664" s="1" t="n">
        <f aca="false">DATE(Pemetaan!$B$1,VALUE(RIGHT(INDEX(Laporan!$A$1:$AZ$300,F664+1,H664),2)),VALUE(LEFT(INDEX(Laporan!$A$1:$AZ$300,F664+1,H664),2)))</f>
        <v>46099</v>
      </c>
      <c r="N664" s="0" t="n">
        <f aca="false">INDEX(Laporan!$A$1:$AZ$300,G664,H664)</f>
        <v>3088</v>
      </c>
      <c r="O664" s="0" t="n">
        <f aca="false">IF(N664="","",IFERROR(VALUE(SUBSTITUTE(SUBSTITUTE(N664," btl",""),".","")),""))</f>
        <v>3088</v>
      </c>
      <c r="P664" s="0" t="str">
        <f aca="false">IF(B664="PRODUKSI","produced","reject")</f>
        <v>produced</v>
      </c>
    </row>
    <row r="665" customFormat="false" ht="15" hidden="false" customHeight="false" outlineLevel="0" collapsed="false">
      <c r="A665" s="0" t="n">
        <v>664</v>
      </c>
      <c r="B665" s="0" t="str">
        <f aca="false">IF(A665&lt;=36*25,"PRODUKSI","REJECT")</f>
        <v>PRODUKSI</v>
      </c>
      <c r="C665" s="0" t="n">
        <f aca="false">MOD(A665-1,Pemetaan!$B$3*Pemetaan!$B$4)</f>
        <v>663</v>
      </c>
      <c r="D665" s="0" t="n">
        <f aca="false">INT(C665/Pemetaan!$B$4)</f>
        <v>26</v>
      </c>
      <c r="E665" s="0" t="n">
        <f aca="false">MOD(C665,Pemetaan!$B$4)</f>
        <v>13</v>
      </c>
      <c r="F665" s="0" t="n">
        <f aca="false">IF(B665="PRODUKSI",Pemetaan!$B$5,Pemetaan!$B$6)</f>
        <v>5</v>
      </c>
      <c r="G665" s="0" t="n">
        <f aca="false">F665+2+D665</f>
        <v>33</v>
      </c>
      <c r="H665" s="0" t="n">
        <f aca="false">Pemetaan!$B$2+E665</f>
        <v>18</v>
      </c>
      <c r="I665" s="0" t="str">
        <f aca="false">INDEX(Laporan!$A$1:$AZ$300,G665,1)</f>
        <v>Mixing</v>
      </c>
      <c r="J665" s="0" t="str">
        <f aca="false">INDEX(Laporan!$A$1:$AZ$300,G665,2)</f>
        <v>600 ml</v>
      </c>
      <c r="K665" s="0" t="str">
        <f aca="false">INDEX(Laporan!$A$1:$AZ$300,G665,3)</f>
        <v>Shift 1</v>
      </c>
      <c r="L665" s="0" t="n">
        <f aca="false">INDEX(Laporan!$A$1:$AZ$300,G665,4)</f>
        <v>3</v>
      </c>
      <c r="M665" s="1" t="n">
        <f aca="false">DATE(Pemetaan!$B$1,VALUE(RIGHT(INDEX(Laporan!$A$1:$AZ$300,F665+1,H665),2)),VALUE(LEFT(INDEX(Laporan!$A$1:$AZ$300,F665+1,H665),2)))</f>
        <v>46100</v>
      </c>
      <c r="N665" s="0" t="n">
        <f aca="false">INDEX(Laporan!$A$1:$AZ$300,G665,H665)</f>
        <v>2799</v>
      </c>
      <c r="O665" s="0" t="n">
        <f aca="false">IF(N665="","",IFERROR(VALUE(SUBSTITUTE(SUBSTITUTE(N665," btl",""),".","")),""))</f>
        <v>2799</v>
      </c>
      <c r="P665" s="0" t="str">
        <f aca="false">IF(B665="PRODUKSI","produced","reject")</f>
        <v>produced</v>
      </c>
    </row>
    <row r="666" customFormat="false" ht="15" hidden="false" customHeight="false" outlineLevel="0" collapsed="false">
      <c r="A666" s="0" t="n">
        <v>665</v>
      </c>
      <c r="B666" s="0" t="str">
        <f aca="false">IF(A666&lt;=36*25,"PRODUKSI","REJECT")</f>
        <v>PRODUKSI</v>
      </c>
      <c r="C666" s="0" t="n">
        <f aca="false">MOD(A666-1,Pemetaan!$B$3*Pemetaan!$B$4)</f>
        <v>664</v>
      </c>
      <c r="D666" s="0" t="n">
        <f aca="false">INT(C666/Pemetaan!$B$4)</f>
        <v>26</v>
      </c>
      <c r="E666" s="0" t="n">
        <f aca="false">MOD(C666,Pemetaan!$B$4)</f>
        <v>14</v>
      </c>
      <c r="F666" s="0" t="n">
        <f aca="false">IF(B666="PRODUKSI",Pemetaan!$B$5,Pemetaan!$B$6)</f>
        <v>5</v>
      </c>
      <c r="G666" s="0" t="n">
        <f aca="false">F666+2+D666</f>
        <v>33</v>
      </c>
      <c r="H666" s="0" t="n">
        <f aca="false">Pemetaan!$B$2+E666</f>
        <v>19</v>
      </c>
      <c r="I666" s="0" t="str">
        <f aca="false">INDEX(Laporan!$A$1:$AZ$300,G666,1)</f>
        <v>Mixing</v>
      </c>
      <c r="J666" s="0" t="str">
        <f aca="false">INDEX(Laporan!$A$1:$AZ$300,G666,2)</f>
        <v>600 ml</v>
      </c>
      <c r="K666" s="0" t="str">
        <f aca="false">INDEX(Laporan!$A$1:$AZ$300,G666,3)</f>
        <v>Shift 1</v>
      </c>
      <c r="L666" s="0" t="n">
        <f aca="false">INDEX(Laporan!$A$1:$AZ$300,G666,4)</f>
        <v>3</v>
      </c>
      <c r="M666" s="1" t="n">
        <f aca="false">DATE(Pemetaan!$B$1,VALUE(RIGHT(INDEX(Laporan!$A$1:$AZ$300,F666+1,H666),2)),VALUE(LEFT(INDEX(Laporan!$A$1:$AZ$300,F666+1,H666),2)))</f>
        <v>46101</v>
      </c>
      <c r="N666" s="0" t="n">
        <f aca="false">INDEX(Laporan!$A$1:$AZ$300,G666,H666)</f>
        <v>2810</v>
      </c>
      <c r="O666" s="0" t="n">
        <f aca="false">IF(N666="","",IFERROR(VALUE(SUBSTITUTE(SUBSTITUTE(N666," btl",""),".","")),""))</f>
        <v>2810</v>
      </c>
      <c r="P666" s="0" t="str">
        <f aca="false">IF(B666="PRODUKSI","produced","reject")</f>
        <v>produced</v>
      </c>
    </row>
    <row r="667" customFormat="false" ht="15" hidden="false" customHeight="false" outlineLevel="0" collapsed="false">
      <c r="A667" s="0" t="n">
        <v>666</v>
      </c>
      <c r="B667" s="0" t="str">
        <f aca="false">IF(A667&lt;=36*25,"PRODUKSI","REJECT")</f>
        <v>PRODUKSI</v>
      </c>
      <c r="C667" s="0" t="n">
        <f aca="false">MOD(A667-1,Pemetaan!$B$3*Pemetaan!$B$4)</f>
        <v>665</v>
      </c>
      <c r="D667" s="0" t="n">
        <f aca="false">INT(C667/Pemetaan!$B$4)</f>
        <v>26</v>
      </c>
      <c r="E667" s="0" t="n">
        <f aca="false">MOD(C667,Pemetaan!$B$4)</f>
        <v>15</v>
      </c>
      <c r="F667" s="0" t="n">
        <f aca="false">IF(B667="PRODUKSI",Pemetaan!$B$5,Pemetaan!$B$6)</f>
        <v>5</v>
      </c>
      <c r="G667" s="0" t="n">
        <f aca="false">F667+2+D667</f>
        <v>33</v>
      </c>
      <c r="H667" s="0" t="n">
        <f aca="false">Pemetaan!$B$2+E667</f>
        <v>20</v>
      </c>
      <c r="I667" s="0" t="str">
        <f aca="false">INDEX(Laporan!$A$1:$AZ$300,G667,1)</f>
        <v>Mixing</v>
      </c>
      <c r="J667" s="0" t="str">
        <f aca="false">INDEX(Laporan!$A$1:$AZ$300,G667,2)</f>
        <v>600 ml</v>
      </c>
      <c r="K667" s="0" t="str">
        <f aca="false">INDEX(Laporan!$A$1:$AZ$300,G667,3)</f>
        <v>Shift 1</v>
      </c>
      <c r="L667" s="0" t="n">
        <f aca="false">INDEX(Laporan!$A$1:$AZ$300,G667,4)</f>
        <v>3</v>
      </c>
      <c r="M667" s="1" t="n">
        <f aca="false">DATE(Pemetaan!$B$1,VALUE(RIGHT(INDEX(Laporan!$A$1:$AZ$300,F667+1,H667),2)),VALUE(LEFT(INDEX(Laporan!$A$1:$AZ$300,F667+1,H667),2)))</f>
        <v>46104</v>
      </c>
      <c r="N667" s="0" t="n">
        <f aca="false">INDEX(Laporan!$A$1:$AZ$300,G667,H667)</f>
        <v>2838</v>
      </c>
      <c r="O667" s="0" t="n">
        <f aca="false">IF(N667="","",IFERROR(VALUE(SUBSTITUTE(SUBSTITUTE(N667," btl",""),".","")),""))</f>
        <v>2838</v>
      </c>
      <c r="P667" s="0" t="str">
        <f aca="false">IF(B667="PRODUKSI","produced","reject")</f>
        <v>produced</v>
      </c>
    </row>
    <row r="668" customFormat="false" ht="15" hidden="false" customHeight="false" outlineLevel="0" collapsed="false">
      <c r="A668" s="0" t="n">
        <v>667</v>
      </c>
      <c r="B668" s="0" t="str">
        <f aca="false">IF(A668&lt;=36*25,"PRODUKSI","REJECT")</f>
        <v>PRODUKSI</v>
      </c>
      <c r="C668" s="0" t="n">
        <f aca="false">MOD(A668-1,Pemetaan!$B$3*Pemetaan!$B$4)</f>
        <v>666</v>
      </c>
      <c r="D668" s="0" t="n">
        <f aca="false">INT(C668/Pemetaan!$B$4)</f>
        <v>26</v>
      </c>
      <c r="E668" s="0" t="n">
        <f aca="false">MOD(C668,Pemetaan!$B$4)</f>
        <v>16</v>
      </c>
      <c r="F668" s="0" t="n">
        <f aca="false">IF(B668="PRODUKSI",Pemetaan!$B$5,Pemetaan!$B$6)</f>
        <v>5</v>
      </c>
      <c r="G668" s="0" t="n">
        <f aca="false">F668+2+D668</f>
        <v>33</v>
      </c>
      <c r="H668" s="0" t="n">
        <f aca="false">Pemetaan!$B$2+E668</f>
        <v>21</v>
      </c>
      <c r="I668" s="0" t="str">
        <f aca="false">INDEX(Laporan!$A$1:$AZ$300,G668,1)</f>
        <v>Mixing</v>
      </c>
      <c r="J668" s="0" t="str">
        <f aca="false">INDEX(Laporan!$A$1:$AZ$300,G668,2)</f>
        <v>600 ml</v>
      </c>
      <c r="K668" s="0" t="str">
        <f aca="false">INDEX(Laporan!$A$1:$AZ$300,G668,3)</f>
        <v>Shift 1</v>
      </c>
      <c r="L668" s="0" t="n">
        <f aca="false">INDEX(Laporan!$A$1:$AZ$300,G668,4)</f>
        <v>3</v>
      </c>
      <c r="M668" s="1" t="n">
        <f aca="false">DATE(Pemetaan!$B$1,VALUE(RIGHT(INDEX(Laporan!$A$1:$AZ$300,F668+1,H668),2)),VALUE(LEFT(INDEX(Laporan!$A$1:$AZ$300,F668+1,H668),2)))</f>
        <v>46105</v>
      </c>
      <c r="N668" s="0" t="n">
        <f aca="false">INDEX(Laporan!$A$1:$AZ$300,G668,H668)</f>
        <v>2967</v>
      </c>
      <c r="O668" s="0" t="n">
        <f aca="false">IF(N668="","",IFERROR(VALUE(SUBSTITUTE(SUBSTITUTE(N668," btl",""),".","")),""))</f>
        <v>2967</v>
      </c>
      <c r="P668" s="0" t="str">
        <f aca="false">IF(B668="PRODUKSI","produced","reject")</f>
        <v>produced</v>
      </c>
    </row>
    <row r="669" customFormat="false" ht="15" hidden="false" customHeight="false" outlineLevel="0" collapsed="false">
      <c r="A669" s="0" t="n">
        <v>668</v>
      </c>
      <c r="B669" s="0" t="str">
        <f aca="false">IF(A669&lt;=36*25,"PRODUKSI","REJECT")</f>
        <v>PRODUKSI</v>
      </c>
      <c r="C669" s="0" t="n">
        <f aca="false">MOD(A669-1,Pemetaan!$B$3*Pemetaan!$B$4)</f>
        <v>667</v>
      </c>
      <c r="D669" s="0" t="n">
        <f aca="false">INT(C669/Pemetaan!$B$4)</f>
        <v>26</v>
      </c>
      <c r="E669" s="0" t="n">
        <f aca="false">MOD(C669,Pemetaan!$B$4)</f>
        <v>17</v>
      </c>
      <c r="F669" s="0" t="n">
        <f aca="false">IF(B669="PRODUKSI",Pemetaan!$B$5,Pemetaan!$B$6)</f>
        <v>5</v>
      </c>
      <c r="G669" s="0" t="n">
        <f aca="false">F669+2+D669</f>
        <v>33</v>
      </c>
      <c r="H669" s="0" t="n">
        <f aca="false">Pemetaan!$B$2+E669</f>
        <v>22</v>
      </c>
      <c r="I669" s="0" t="str">
        <f aca="false">INDEX(Laporan!$A$1:$AZ$300,G669,1)</f>
        <v>Mixing</v>
      </c>
      <c r="J669" s="0" t="str">
        <f aca="false">INDEX(Laporan!$A$1:$AZ$300,G669,2)</f>
        <v>600 ml</v>
      </c>
      <c r="K669" s="0" t="str">
        <f aca="false">INDEX(Laporan!$A$1:$AZ$300,G669,3)</f>
        <v>Shift 1</v>
      </c>
      <c r="L669" s="0" t="n">
        <f aca="false">INDEX(Laporan!$A$1:$AZ$300,G669,4)</f>
        <v>3</v>
      </c>
      <c r="M669" s="1" t="n">
        <f aca="false">DATE(Pemetaan!$B$1,VALUE(RIGHT(INDEX(Laporan!$A$1:$AZ$300,F669+1,H669),2)),VALUE(LEFT(INDEX(Laporan!$A$1:$AZ$300,F669+1,H669),2)))</f>
        <v>46106</v>
      </c>
      <c r="N669" s="0" t="n">
        <f aca="false">INDEX(Laporan!$A$1:$AZ$300,G669,H669)</f>
        <v>2536</v>
      </c>
      <c r="O669" s="0" t="n">
        <f aca="false">IF(N669="","",IFERROR(VALUE(SUBSTITUTE(SUBSTITUTE(N669," btl",""),".","")),""))</f>
        <v>2536</v>
      </c>
      <c r="P669" s="0" t="str">
        <f aca="false">IF(B669="PRODUKSI","produced","reject")</f>
        <v>produced</v>
      </c>
    </row>
    <row r="670" customFormat="false" ht="15" hidden="false" customHeight="false" outlineLevel="0" collapsed="false">
      <c r="A670" s="0" t="n">
        <v>669</v>
      </c>
      <c r="B670" s="0" t="str">
        <f aca="false">IF(A670&lt;=36*25,"PRODUKSI","REJECT")</f>
        <v>PRODUKSI</v>
      </c>
      <c r="C670" s="0" t="n">
        <f aca="false">MOD(A670-1,Pemetaan!$B$3*Pemetaan!$B$4)</f>
        <v>668</v>
      </c>
      <c r="D670" s="0" t="n">
        <f aca="false">INT(C670/Pemetaan!$B$4)</f>
        <v>26</v>
      </c>
      <c r="E670" s="0" t="n">
        <f aca="false">MOD(C670,Pemetaan!$B$4)</f>
        <v>18</v>
      </c>
      <c r="F670" s="0" t="n">
        <f aca="false">IF(B670="PRODUKSI",Pemetaan!$B$5,Pemetaan!$B$6)</f>
        <v>5</v>
      </c>
      <c r="G670" s="0" t="n">
        <f aca="false">F670+2+D670</f>
        <v>33</v>
      </c>
      <c r="H670" s="0" t="n">
        <f aca="false">Pemetaan!$B$2+E670</f>
        <v>23</v>
      </c>
      <c r="I670" s="0" t="str">
        <f aca="false">INDEX(Laporan!$A$1:$AZ$300,G670,1)</f>
        <v>Mixing</v>
      </c>
      <c r="J670" s="0" t="str">
        <f aca="false">INDEX(Laporan!$A$1:$AZ$300,G670,2)</f>
        <v>600 ml</v>
      </c>
      <c r="K670" s="0" t="str">
        <f aca="false">INDEX(Laporan!$A$1:$AZ$300,G670,3)</f>
        <v>Shift 1</v>
      </c>
      <c r="L670" s="0" t="n">
        <f aca="false">INDEX(Laporan!$A$1:$AZ$300,G670,4)</f>
        <v>3</v>
      </c>
      <c r="M670" s="1" t="n">
        <f aca="false">DATE(Pemetaan!$B$1,VALUE(RIGHT(INDEX(Laporan!$A$1:$AZ$300,F670+1,H670),2)),VALUE(LEFT(INDEX(Laporan!$A$1:$AZ$300,F670+1,H670),2)))</f>
        <v>46107</v>
      </c>
      <c r="N670" s="0" t="n">
        <f aca="false">INDEX(Laporan!$A$1:$AZ$300,G670,H670)</f>
        <v>2841</v>
      </c>
      <c r="O670" s="0" t="n">
        <f aca="false">IF(N670="","",IFERROR(VALUE(SUBSTITUTE(SUBSTITUTE(N670," btl",""),".","")),""))</f>
        <v>2841</v>
      </c>
      <c r="P670" s="0" t="str">
        <f aca="false">IF(B670="PRODUKSI","produced","reject")</f>
        <v>produced</v>
      </c>
    </row>
    <row r="671" customFormat="false" ht="15" hidden="false" customHeight="false" outlineLevel="0" collapsed="false">
      <c r="A671" s="0" t="n">
        <v>670</v>
      </c>
      <c r="B671" s="0" t="str">
        <f aca="false">IF(A671&lt;=36*25,"PRODUKSI","REJECT")</f>
        <v>PRODUKSI</v>
      </c>
      <c r="C671" s="0" t="n">
        <f aca="false">MOD(A671-1,Pemetaan!$B$3*Pemetaan!$B$4)</f>
        <v>669</v>
      </c>
      <c r="D671" s="0" t="n">
        <f aca="false">INT(C671/Pemetaan!$B$4)</f>
        <v>26</v>
      </c>
      <c r="E671" s="0" t="n">
        <f aca="false">MOD(C671,Pemetaan!$B$4)</f>
        <v>19</v>
      </c>
      <c r="F671" s="0" t="n">
        <f aca="false">IF(B671="PRODUKSI",Pemetaan!$B$5,Pemetaan!$B$6)</f>
        <v>5</v>
      </c>
      <c r="G671" s="0" t="n">
        <f aca="false">F671+2+D671</f>
        <v>33</v>
      </c>
      <c r="H671" s="0" t="n">
        <f aca="false">Pemetaan!$B$2+E671</f>
        <v>24</v>
      </c>
      <c r="I671" s="0" t="str">
        <f aca="false">INDEX(Laporan!$A$1:$AZ$300,G671,1)</f>
        <v>Mixing</v>
      </c>
      <c r="J671" s="0" t="str">
        <f aca="false">INDEX(Laporan!$A$1:$AZ$300,G671,2)</f>
        <v>600 ml</v>
      </c>
      <c r="K671" s="0" t="str">
        <f aca="false">INDEX(Laporan!$A$1:$AZ$300,G671,3)</f>
        <v>Shift 1</v>
      </c>
      <c r="L671" s="0" t="n">
        <f aca="false">INDEX(Laporan!$A$1:$AZ$300,G671,4)</f>
        <v>3</v>
      </c>
      <c r="M671" s="1" t="n">
        <f aca="false">DATE(Pemetaan!$B$1,VALUE(RIGHT(INDEX(Laporan!$A$1:$AZ$300,F671+1,H671),2)),VALUE(LEFT(INDEX(Laporan!$A$1:$AZ$300,F671+1,H671),2)))</f>
        <v>46108</v>
      </c>
      <c r="N671" s="0" t="n">
        <f aca="false">INDEX(Laporan!$A$1:$AZ$300,G671,H671)</f>
        <v>2944</v>
      </c>
      <c r="O671" s="0" t="n">
        <f aca="false">IF(N671="","",IFERROR(VALUE(SUBSTITUTE(SUBSTITUTE(N671," btl",""),".","")),""))</f>
        <v>2944</v>
      </c>
      <c r="P671" s="0" t="str">
        <f aca="false">IF(B671="PRODUKSI","produced","reject")</f>
        <v>produced</v>
      </c>
    </row>
    <row r="672" customFormat="false" ht="15" hidden="false" customHeight="false" outlineLevel="0" collapsed="false">
      <c r="A672" s="0" t="n">
        <v>671</v>
      </c>
      <c r="B672" s="0" t="str">
        <f aca="false">IF(A672&lt;=36*25,"PRODUKSI","REJECT")</f>
        <v>PRODUKSI</v>
      </c>
      <c r="C672" s="0" t="n">
        <f aca="false">MOD(A672-1,Pemetaan!$B$3*Pemetaan!$B$4)</f>
        <v>670</v>
      </c>
      <c r="D672" s="0" t="n">
        <f aca="false">INT(C672/Pemetaan!$B$4)</f>
        <v>26</v>
      </c>
      <c r="E672" s="0" t="n">
        <f aca="false">MOD(C672,Pemetaan!$B$4)</f>
        <v>20</v>
      </c>
      <c r="F672" s="0" t="n">
        <f aca="false">IF(B672="PRODUKSI",Pemetaan!$B$5,Pemetaan!$B$6)</f>
        <v>5</v>
      </c>
      <c r="G672" s="0" t="n">
        <f aca="false">F672+2+D672</f>
        <v>33</v>
      </c>
      <c r="H672" s="0" t="n">
        <f aca="false">Pemetaan!$B$2+E672</f>
        <v>25</v>
      </c>
      <c r="I672" s="0" t="str">
        <f aca="false">INDEX(Laporan!$A$1:$AZ$300,G672,1)</f>
        <v>Mixing</v>
      </c>
      <c r="J672" s="0" t="str">
        <f aca="false">INDEX(Laporan!$A$1:$AZ$300,G672,2)</f>
        <v>600 ml</v>
      </c>
      <c r="K672" s="0" t="str">
        <f aca="false">INDEX(Laporan!$A$1:$AZ$300,G672,3)</f>
        <v>Shift 1</v>
      </c>
      <c r="L672" s="0" t="n">
        <f aca="false">INDEX(Laporan!$A$1:$AZ$300,G672,4)</f>
        <v>3</v>
      </c>
      <c r="M672" s="1" t="n">
        <f aca="false">DATE(Pemetaan!$B$1,VALUE(RIGHT(INDEX(Laporan!$A$1:$AZ$300,F672+1,H672),2)),VALUE(LEFT(INDEX(Laporan!$A$1:$AZ$300,F672+1,H672),2)))</f>
        <v>46111</v>
      </c>
      <c r="N672" s="0" t="n">
        <f aca="false">INDEX(Laporan!$A$1:$AZ$300,G672,H672)</f>
        <v>2786</v>
      </c>
      <c r="O672" s="0" t="n">
        <f aca="false">IF(N672="","",IFERROR(VALUE(SUBSTITUTE(SUBSTITUTE(N672," btl",""),".","")),""))</f>
        <v>2786</v>
      </c>
      <c r="P672" s="0" t="str">
        <f aca="false">IF(B672="PRODUKSI","produced","reject")</f>
        <v>produced</v>
      </c>
    </row>
    <row r="673" customFormat="false" ht="15" hidden="false" customHeight="false" outlineLevel="0" collapsed="false">
      <c r="A673" s="0" t="n">
        <v>672</v>
      </c>
      <c r="B673" s="0" t="str">
        <f aca="false">IF(A673&lt;=36*25,"PRODUKSI","REJECT")</f>
        <v>PRODUKSI</v>
      </c>
      <c r="C673" s="0" t="n">
        <f aca="false">MOD(A673-1,Pemetaan!$B$3*Pemetaan!$B$4)</f>
        <v>671</v>
      </c>
      <c r="D673" s="0" t="n">
        <f aca="false">INT(C673/Pemetaan!$B$4)</f>
        <v>26</v>
      </c>
      <c r="E673" s="0" t="n">
        <f aca="false">MOD(C673,Pemetaan!$B$4)</f>
        <v>21</v>
      </c>
      <c r="F673" s="0" t="n">
        <f aca="false">IF(B673="PRODUKSI",Pemetaan!$B$5,Pemetaan!$B$6)</f>
        <v>5</v>
      </c>
      <c r="G673" s="0" t="n">
        <f aca="false">F673+2+D673</f>
        <v>33</v>
      </c>
      <c r="H673" s="0" t="n">
        <f aca="false">Pemetaan!$B$2+E673</f>
        <v>26</v>
      </c>
      <c r="I673" s="0" t="str">
        <f aca="false">INDEX(Laporan!$A$1:$AZ$300,G673,1)</f>
        <v>Mixing</v>
      </c>
      <c r="J673" s="0" t="str">
        <f aca="false">INDEX(Laporan!$A$1:$AZ$300,G673,2)</f>
        <v>600 ml</v>
      </c>
      <c r="K673" s="0" t="str">
        <f aca="false">INDEX(Laporan!$A$1:$AZ$300,G673,3)</f>
        <v>Shift 1</v>
      </c>
      <c r="L673" s="0" t="n">
        <f aca="false">INDEX(Laporan!$A$1:$AZ$300,G673,4)</f>
        <v>3</v>
      </c>
      <c r="M673" s="1" t="n">
        <f aca="false">DATE(Pemetaan!$B$1,VALUE(RIGHT(INDEX(Laporan!$A$1:$AZ$300,F673+1,H673),2)),VALUE(LEFT(INDEX(Laporan!$A$1:$AZ$300,F673+1,H673),2)))</f>
        <v>46112</v>
      </c>
      <c r="N673" s="0" t="n">
        <f aca="false">INDEX(Laporan!$A$1:$AZ$300,G673,H673)</f>
        <v>2931</v>
      </c>
      <c r="O673" s="0" t="n">
        <f aca="false">IF(N673="","",IFERROR(VALUE(SUBSTITUTE(SUBSTITUTE(N673," btl",""),".","")),""))</f>
        <v>2931</v>
      </c>
      <c r="P673" s="0" t="str">
        <f aca="false">IF(B673="PRODUKSI","produced","reject")</f>
        <v>produced</v>
      </c>
    </row>
    <row r="674" customFormat="false" ht="15" hidden="false" customHeight="false" outlineLevel="0" collapsed="false">
      <c r="A674" s="0" t="n">
        <v>673</v>
      </c>
      <c r="B674" s="0" t="str">
        <f aca="false">IF(A674&lt;=36*25,"PRODUKSI","REJECT")</f>
        <v>PRODUKSI</v>
      </c>
      <c r="C674" s="0" t="n">
        <f aca="false">MOD(A674-1,Pemetaan!$B$3*Pemetaan!$B$4)</f>
        <v>672</v>
      </c>
      <c r="D674" s="0" t="n">
        <f aca="false">INT(C674/Pemetaan!$B$4)</f>
        <v>26</v>
      </c>
      <c r="E674" s="0" t="n">
        <f aca="false">MOD(C674,Pemetaan!$B$4)</f>
        <v>22</v>
      </c>
      <c r="F674" s="0" t="n">
        <f aca="false">IF(B674="PRODUKSI",Pemetaan!$B$5,Pemetaan!$B$6)</f>
        <v>5</v>
      </c>
      <c r="G674" s="0" t="n">
        <f aca="false">F674+2+D674</f>
        <v>33</v>
      </c>
      <c r="H674" s="0" t="n">
        <f aca="false">Pemetaan!$B$2+E674</f>
        <v>27</v>
      </c>
      <c r="I674" s="0" t="str">
        <f aca="false">INDEX(Laporan!$A$1:$AZ$300,G674,1)</f>
        <v>Mixing</v>
      </c>
      <c r="J674" s="0" t="str">
        <f aca="false">INDEX(Laporan!$A$1:$AZ$300,G674,2)</f>
        <v>600 ml</v>
      </c>
      <c r="K674" s="0" t="str">
        <f aca="false">INDEX(Laporan!$A$1:$AZ$300,G674,3)</f>
        <v>Shift 1</v>
      </c>
      <c r="L674" s="0" t="n">
        <f aca="false">INDEX(Laporan!$A$1:$AZ$300,G674,4)</f>
        <v>3</v>
      </c>
      <c r="M674" s="1" t="n">
        <f aca="false">DATE(Pemetaan!$B$1,VALUE(RIGHT(INDEX(Laporan!$A$1:$AZ$300,F674+1,H674),2)),VALUE(LEFT(INDEX(Laporan!$A$1:$AZ$300,F674+1,H674),2)))</f>
        <v>46113</v>
      </c>
      <c r="N674" s="0" t="str">
        <f aca="false">INDEX(Laporan!$A$1:$AZ$300,G674,H674)</f>
        <v>n/a</v>
      </c>
      <c r="O674" s="0" t="str">
        <f aca="false">IF(N674="","",IFERROR(VALUE(SUBSTITUTE(SUBSTITUTE(N674," btl",""),".","")),""))</f>
        <v/>
      </c>
      <c r="P674" s="0" t="str">
        <f aca="false">IF(B674="PRODUKSI","produced","reject")</f>
        <v>produced</v>
      </c>
    </row>
    <row r="675" customFormat="false" ht="15" hidden="false" customHeight="false" outlineLevel="0" collapsed="false">
      <c r="A675" s="0" t="n">
        <v>674</v>
      </c>
      <c r="B675" s="0" t="str">
        <f aca="false">IF(A675&lt;=36*25,"PRODUKSI","REJECT")</f>
        <v>PRODUKSI</v>
      </c>
      <c r="C675" s="0" t="n">
        <f aca="false">MOD(A675-1,Pemetaan!$B$3*Pemetaan!$B$4)</f>
        <v>673</v>
      </c>
      <c r="D675" s="0" t="n">
        <f aca="false">INT(C675/Pemetaan!$B$4)</f>
        <v>26</v>
      </c>
      <c r="E675" s="0" t="n">
        <f aca="false">MOD(C675,Pemetaan!$B$4)</f>
        <v>23</v>
      </c>
      <c r="F675" s="0" t="n">
        <f aca="false">IF(B675="PRODUKSI",Pemetaan!$B$5,Pemetaan!$B$6)</f>
        <v>5</v>
      </c>
      <c r="G675" s="0" t="n">
        <f aca="false">F675+2+D675</f>
        <v>33</v>
      </c>
      <c r="H675" s="0" t="n">
        <f aca="false">Pemetaan!$B$2+E675</f>
        <v>28</v>
      </c>
      <c r="I675" s="0" t="str">
        <f aca="false">INDEX(Laporan!$A$1:$AZ$300,G675,1)</f>
        <v>Mixing</v>
      </c>
      <c r="J675" s="0" t="str">
        <f aca="false">INDEX(Laporan!$A$1:$AZ$300,G675,2)</f>
        <v>600 ml</v>
      </c>
      <c r="K675" s="0" t="str">
        <f aca="false">INDEX(Laporan!$A$1:$AZ$300,G675,3)</f>
        <v>Shift 1</v>
      </c>
      <c r="L675" s="0" t="n">
        <f aca="false">INDEX(Laporan!$A$1:$AZ$300,G675,4)</f>
        <v>3</v>
      </c>
      <c r="M675" s="1" t="n">
        <f aca="false">DATE(Pemetaan!$B$1,VALUE(RIGHT(INDEX(Laporan!$A$1:$AZ$300,F675+1,H675),2)),VALUE(LEFT(INDEX(Laporan!$A$1:$AZ$300,F675+1,H675),2)))</f>
        <v>46114</v>
      </c>
      <c r="N675" s="0" t="n">
        <f aca="false">INDEX(Laporan!$A$1:$AZ$300,G675,H675)</f>
        <v>3081</v>
      </c>
      <c r="O675" s="0" t="n">
        <f aca="false">IF(N675="","",IFERROR(VALUE(SUBSTITUTE(SUBSTITUTE(N675," btl",""),".","")),""))</f>
        <v>3081</v>
      </c>
      <c r="P675" s="0" t="str">
        <f aca="false">IF(B675="PRODUKSI","produced","reject")</f>
        <v>produced</v>
      </c>
    </row>
    <row r="676" customFormat="false" ht="15" hidden="false" customHeight="false" outlineLevel="0" collapsed="false">
      <c r="A676" s="0" t="n">
        <v>675</v>
      </c>
      <c r="B676" s="0" t="str">
        <f aca="false">IF(A676&lt;=36*25,"PRODUKSI","REJECT")</f>
        <v>PRODUKSI</v>
      </c>
      <c r="C676" s="0" t="n">
        <f aca="false">MOD(A676-1,Pemetaan!$B$3*Pemetaan!$B$4)</f>
        <v>674</v>
      </c>
      <c r="D676" s="0" t="n">
        <f aca="false">INT(C676/Pemetaan!$B$4)</f>
        <v>26</v>
      </c>
      <c r="E676" s="0" t="n">
        <f aca="false">MOD(C676,Pemetaan!$B$4)</f>
        <v>24</v>
      </c>
      <c r="F676" s="0" t="n">
        <f aca="false">IF(B676="PRODUKSI",Pemetaan!$B$5,Pemetaan!$B$6)</f>
        <v>5</v>
      </c>
      <c r="G676" s="0" t="n">
        <f aca="false">F676+2+D676</f>
        <v>33</v>
      </c>
      <c r="H676" s="0" t="n">
        <f aca="false">Pemetaan!$B$2+E676</f>
        <v>29</v>
      </c>
      <c r="I676" s="0" t="str">
        <f aca="false">INDEX(Laporan!$A$1:$AZ$300,G676,1)</f>
        <v>Mixing</v>
      </c>
      <c r="J676" s="0" t="str">
        <f aca="false">INDEX(Laporan!$A$1:$AZ$300,G676,2)</f>
        <v>600 ml</v>
      </c>
      <c r="K676" s="0" t="str">
        <f aca="false">INDEX(Laporan!$A$1:$AZ$300,G676,3)</f>
        <v>Shift 1</v>
      </c>
      <c r="L676" s="0" t="n">
        <f aca="false">INDEX(Laporan!$A$1:$AZ$300,G676,4)</f>
        <v>3</v>
      </c>
      <c r="M676" s="1" t="n">
        <f aca="false">DATE(Pemetaan!$B$1,VALUE(RIGHT(INDEX(Laporan!$A$1:$AZ$300,F676+1,H676),2)),VALUE(LEFT(INDEX(Laporan!$A$1:$AZ$300,F676+1,H676),2)))</f>
        <v>46115</v>
      </c>
      <c r="N676" s="0" t="n">
        <f aca="false">INDEX(Laporan!$A$1:$AZ$300,G676,H676)</f>
        <v>2458</v>
      </c>
      <c r="O676" s="0" t="n">
        <f aca="false">IF(N676="","",IFERROR(VALUE(SUBSTITUTE(SUBSTITUTE(N676," btl",""),".","")),""))</f>
        <v>2458</v>
      </c>
      <c r="P676" s="0" t="str">
        <f aca="false">IF(B676="PRODUKSI","produced","reject")</f>
        <v>produced</v>
      </c>
    </row>
    <row r="677" customFormat="false" ht="15" hidden="false" customHeight="false" outlineLevel="0" collapsed="false">
      <c r="A677" s="0" t="n">
        <v>676</v>
      </c>
      <c r="B677" s="0" t="str">
        <f aca="false">IF(A677&lt;=36*25,"PRODUKSI","REJECT")</f>
        <v>PRODUKSI</v>
      </c>
      <c r="C677" s="0" t="n">
        <f aca="false">MOD(A677-1,Pemetaan!$B$3*Pemetaan!$B$4)</f>
        <v>675</v>
      </c>
      <c r="D677" s="0" t="n">
        <f aca="false">INT(C677/Pemetaan!$B$4)</f>
        <v>27</v>
      </c>
      <c r="E677" s="0" t="n">
        <f aca="false">MOD(C677,Pemetaan!$B$4)</f>
        <v>0</v>
      </c>
      <c r="F677" s="0" t="n">
        <f aca="false">IF(B677="PRODUKSI",Pemetaan!$B$5,Pemetaan!$B$6)</f>
        <v>5</v>
      </c>
      <c r="G677" s="0" t="n">
        <f aca="false">F677+2+D677</f>
        <v>34</v>
      </c>
      <c r="H677" s="0" t="n">
        <f aca="false">Pemetaan!$B$2+E677</f>
        <v>5</v>
      </c>
      <c r="I677" s="0" t="str">
        <f aca="false">INDEX(Laporan!$A$1:$AZ$300,G677,1)</f>
        <v>Mixing</v>
      </c>
      <c r="J677" s="0" t="str">
        <f aca="false">INDEX(Laporan!$A$1:$AZ$300,G677,2)</f>
        <v>600 ml</v>
      </c>
      <c r="K677" s="0" t="str">
        <f aca="false">INDEX(Laporan!$A$1:$AZ$300,G677,3)</f>
        <v>Shift 2</v>
      </c>
      <c r="L677" s="0" t="n">
        <f aca="false">INDEX(Laporan!$A$1:$AZ$300,G677,4)</f>
        <v>1</v>
      </c>
      <c r="M677" s="1" t="n">
        <f aca="false">DATE(Pemetaan!$B$1,VALUE(RIGHT(INDEX(Laporan!$A$1:$AZ$300,F677+1,H677),2)),VALUE(LEFT(INDEX(Laporan!$A$1:$AZ$300,F677+1,H677),2)))</f>
        <v>46083</v>
      </c>
      <c r="N677" s="0" t="n">
        <f aca="false">INDEX(Laporan!$A$1:$AZ$300,G677,H677)</f>
        <v>2679</v>
      </c>
      <c r="O677" s="0" t="n">
        <f aca="false">IF(N677="","",IFERROR(VALUE(SUBSTITUTE(SUBSTITUTE(N677," btl",""),".","")),""))</f>
        <v>2679</v>
      </c>
      <c r="P677" s="0" t="str">
        <f aca="false">IF(B677="PRODUKSI","produced","reject")</f>
        <v>produced</v>
      </c>
    </row>
    <row r="678" customFormat="false" ht="15" hidden="false" customHeight="false" outlineLevel="0" collapsed="false">
      <c r="A678" s="0" t="n">
        <v>677</v>
      </c>
      <c r="B678" s="0" t="str">
        <f aca="false">IF(A678&lt;=36*25,"PRODUKSI","REJECT")</f>
        <v>PRODUKSI</v>
      </c>
      <c r="C678" s="0" t="n">
        <f aca="false">MOD(A678-1,Pemetaan!$B$3*Pemetaan!$B$4)</f>
        <v>676</v>
      </c>
      <c r="D678" s="0" t="n">
        <f aca="false">INT(C678/Pemetaan!$B$4)</f>
        <v>27</v>
      </c>
      <c r="E678" s="0" t="n">
        <f aca="false">MOD(C678,Pemetaan!$B$4)</f>
        <v>1</v>
      </c>
      <c r="F678" s="0" t="n">
        <f aca="false">IF(B678="PRODUKSI",Pemetaan!$B$5,Pemetaan!$B$6)</f>
        <v>5</v>
      </c>
      <c r="G678" s="0" t="n">
        <f aca="false">F678+2+D678</f>
        <v>34</v>
      </c>
      <c r="H678" s="0" t="n">
        <f aca="false">Pemetaan!$B$2+E678</f>
        <v>6</v>
      </c>
      <c r="I678" s="0" t="str">
        <f aca="false">INDEX(Laporan!$A$1:$AZ$300,G678,1)</f>
        <v>Mixing</v>
      </c>
      <c r="J678" s="0" t="str">
        <f aca="false">INDEX(Laporan!$A$1:$AZ$300,G678,2)</f>
        <v>600 ml</v>
      </c>
      <c r="K678" s="0" t="str">
        <f aca="false">INDEX(Laporan!$A$1:$AZ$300,G678,3)</f>
        <v>Shift 2</v>
      </c>
      <c r="L678" s="0" t="n">
        <f aca="false">INDEX(Laporan!$A$1:$AZ$300,G678,4)</f>
        <v>1</v>
      </c>
      <c r="M678" s="1" t="n">
        <f aca="false">DATE(Pemetaan!$B$1,VALUE(RIGHT(INDEX(Laporan!$A$1:$AZ$300,F678+1,H678),2)),VALUE(LEFT(INDEX(Laporan!$A$1:$AZ$300,F678+1,H678),2)))</f>
        <v>46084</v>
      </c>
      <c r="N678" s="0" t="n">
        <f aca="false">INDEX(Laporan!$A$1:$AZ$300,G678,H678)</f>
        <v>2739</v>
      </c>
      <c r="O678" s="0" t="n">
        <f aca="false">IF(N678="","",IFERROR(VALUE(SUBSTITUTE(SUBSTITUTE(N678," btl",""),".","")),""))</f>
        <v>2739</v>
      </c>
      <c r="P678" s="0" t="str">
        <f aca="false">IF(B678="PRODUKSI","produced","reject")</f>
        <v>produced</v>
      </c>
    </row>
    <row r="679" customFormat="false" ht="15" hidden="false" customHeight="false" outlineLevel="0" collapsed="false">
      <c r="A679" s="0" t="n">
        <v>678</v>
      </c>
      <c r="B679" s="0" t="str">
        <f aca="false">IF(A679&lt;=36*25,"PRODUKSI","REJECT")</f>
        <v>PRODUKSI</v>
      </c>
      <c r="C679" s="0" t="n">
        <f aca="false">MOD(A679-1,Pemetaan!$B$3*Pemetaan!$B$4)</f>
        <v>677</v>
      </c>
      <c r="D679" s="0" t="n">
        <f aca="false">INT(C679/Pemetaan!$B$4)</f>
        <v>27</v>
      </c>
      <c r="E679" s="0" t="n">
        <f aca="false">MOD(C679,Pemetaan!$B$4)</f>
        <v>2</v>
      </c>
      <c r="F679" s="0" t="n">
        <f aca="false">IF(B679="PRODUKSI",Pemetaan!$B$5,Pemetaan!$B$6)</f>
        <v>5</v>
      </c>
      <c r="G679" s="0" t="n">
        <f aca="false">F679+2+D679</f>
        <v>34</v>
      </c>
      <c r="H679" s="0" t="n">
        <f aca="false">Pemetaan!$B$2+E679</f>
        <v>7</v>
      </c>
      <c r="I679" s="0" t="str">
        <f aca="false">INDEX(Laporan!$A$1:$AZ$300,G679,1)</f>
        <v>Mixing</v>
      </c>
      <c r="J679" s="0" t="str">
        <f aca="false">INDEX(Laporan!$A$1:$AZ$300,G679,2)</f>
        <v>600 ml</v>
      </c>
      <c r="K679" s="0" t="str">
        <f aca="false">INDEX(Laporan!$A$1:$AZ$300,G679,3)</f>
        <v>Shift 2</v>
      </c>
      <c r="L679" s="0" t="n">
        <f aca="false">INDEX(Laporan!$A$1:$AZ$300,G679,4)</f>
        <v>1</v>
      </c>
      <c r="M679" s="1" t="n">
        <f aca="false">DATE(Pemetaan!$B$1,VALUE(RIGHT(INDEX(Laporan!$A$1:$AZ$300,F679+1,H679),2)),VALUE(LEFT(INDEX(Laporan!$A$1:$AZ$300,F679+1,H679),2)))</f>
        <v>46085</v>
      </c>
      <c r="N679" s="0" t="n">
        <f aca="false">INDEX(Laporan!$A$1:$AZ$300,G679,H679)</f>
        <v>3047</v>
      </c>
      <c r="O679" s="0" t="n">
        <f aca="false">IF(N679="","",IFERROR(VALUE(SUBSTITUTE(SUBSTITUTE(N679," btl",""),".","")),""))</f>
        <v>3047</v>
      </c>
      <c r="P679" s="0" t="str">
        <f aca="false">IF(B679="PRODUKSI","produced","reject")</f>
        <v>produced</v>
      </c>
    </row>
    <row r="680" customFormat="false" ht="15" hidden="false" customHeight="false" outlineLevel="0" collapsed="false">
      <c r="A680" s="0" t="n">
        <v>679</v>
      </c>
      <c r="B680" s="0" t="str">
        <f aca="false">IF(A680&lt;=36*25,"PRODUKSI","REJECT")</f>
        <v>PRODUKSI</v>
      </c>
      <c r="C680" s="0" t="n">
        <f aca="false">MOD(A680-1,Pemetaan!$B$3*Pemetaan!$B$4)</f>
        <v>678</v>
      </c>
      <c r="D680" s="0" t="n">
        <f aca="false">INT(C680/Pemetaan!$B$4)</f>
        <v>27</v>
      </c>
      <c r="E680" s="0" t="n">
        <f aca="false">MOD(C680,Pemetaan!$B$4)</f>
        <v>3</v>
      </c>
      <c r="F680" s="0" t="n">
        <f aca="false">IF(B680="PRODUKSI",Pemetaan!$B$5,Pemetaan!$B$6)</f>
        <v>5</v>
      </c>
      <c r="G680" s="0" t="n">
        <f aca="false">F680+2+D680</f>
        <v>34</v>
      </c>
      <c r="H680" s="0" t="n">
        <f aca="false">Pemetaan!$B$2+E680</f>
        <v>8</v>
      </c>
      <c r="I680" s="0" t="str">
        <f aca="false">INDEX(Laporan!$A$1:$AZ$300,G680,1)</f>
        <v>Mixing</v>
      </c>
      <c r="J680" s="0" t="str">
        <f aca="false">INDEX(Laporan!$A$1:$AZ$300,G680,2)</f>
        <v>600 ml</v>
      </c>
      <c r="K680" s="0" t="str">
        <f aca="false">INDEX(Laporan!$A$1:$AZ$300,G680,3)</f>
        <v>Shift 2</v>
      </c>
      <c r="L680" s="0" t="n">
        <f aca="false">INDEX(Laporan!$A$1:$AZ$300,G680,4)</f>
        <v>1</v>
      </c>
      <c r="M680" s="1" t="n">
        <f aca="false">DATE(Pemetaan!$B$1,VALUE(RIGHT(INDEX(Laporan!$A$1:$AZ$300,F680+1,H680),2)),VALUE(LEFT(INDEX(Laporan!$A$1:$AZ$300,F680+1,H680),2)))</f>
        <v>46086</v>
      </c>
      <c r="N680" s="0" t="n">
        <f aca="false">INDEX(Laporan!$A$1:$AZ$300,G680,H680)</f>
        <v>2649</v>
      </c>
      <c r="O680" s="0" t="n">
        <f aca="false">IF(N680="","",IFERROR(VALUE(SUBSTITUTE(SUBSTITUTE(N680," btl",""),".","")),""))</f>
        <v>2649</v>
      </c>
      <c r="P680" s="0" t="str">
        <f aca="false">IF(B680="PRODUKSI","produced","reject")</f>
        <v>produced</v>
      </c>
    </row>
    <row r="681" customFormat="false" ht="15" hidden="false" customHeight="false" outlineLevel="0" collapsed="false">
      <c r="A681" s="0" t="n">
        <v>680</v>
      </c>
      <c r="B681" s="0" t="str">
        <f aca="false">IF(A681&lt;=36*25,"PRODUKSI","REJECT")</f>
        <v>PRODUKSI</v>
      </c>
      <c r="C681" s="0" t="n">
        <f aca="false">MOD(A681-1,Pemetaan!$B$3*Pemetaan!$B$4)</f>
        <v>679</v>
      </c>
      <c r="D681" s="0" t="n">
        <f aca="false">INT(C681/Pemetaan!$B$4)</f>
        <v>27</v>
      </c>
      <c r="E681" s="0" t="n">
        <f aca="false">MOD(C681,Pemetaan!$B$4)</f>
        <v>4</v>
      </c>
      <c r="F681" s="0" t="n">
        <f aca="false">IF(B681="PRODUKSI",Pemetaan!$B$5,Pemetaan!$B$6)</f>
        <v>5</v>
      </c>
      <c r="G681" s="0" t="n">
        <f aca="false">F681+2+D681</f>
        <v>34</v>
      </c>
      <c r="H681" s="0" t="n">
        <f aca="false">Pemetaan!$B$2+E681</f>
        <v>9</v>
      </c>
      <c r="I681" s="0" t="str">
        <f aca="false">INDEX(Laporan!$A$1:$AZ$300,G681,1)</f>
        <v>Mixing</v>
      </c>
      <c r="J681" s="0" t="str">
        <f aca="false">INDEX(Laporan!$A$1:$AZ$300,G681,2)</f>
        <v>600 ml</v>
      </c>
      <c r="K681" s="0" t="str">
        <f aca="false">INDEX(Laporan!$A$1:$AZ$300,G681,3)</f>
        <v>Shift 2</v>
      </c>
      <c r="L681" s="0" t="n">
        <f aca="false">INDEX(Laporan!$A$1:$AZ$300,G681,4)</f>
        <v>1</v>
      </c>
      <c r="M681" s="1" t="n">
        <f aca="false">DATE(Pemetaan!$B$1,VALUE(RIGHT(INDEX(Laporan!$A$1:$AZ$300,F681+1,H681),2)),VALUE(LEFT(INDEX(Laporan!$A$1:$AZ$300,F681+1,H681),2)))</f>
        <v>46087</v>
      </c>
      <c r="N681" s="0" t="n">
        <f aca="false">INDEX(Laporan!$A$1:$AZ$300,G681,H681)</f>
        <v>2428</v>
      </c>
      <c r="O681" s="0" t="n">
        <f aca="false">IF(N681="","",IFERROR(VALUE(SUBSTITUTE(SUBSTITUTE(N681," btl",""),".","")),""))</f>
        <v>2428</v>
      </c>
      <c r="P681" s="0" t="str">
        <f aca="false">IF(B681="PRODUKSI","produced","reject")</f>
        <v>produced</v>
      </c>
    </row>
    <row r="682" customFormat="false" ht="15" hidden="false" customHeight="false" outlineLevel="0" collapsed="false">
      <c r="A682" s="0" t="n">
        <v>681</v>
      </c>
      <c r="B682" s="0" t="str">
        <f aca="false">IF(A682&lt;=36*25,"PRODUKSI","REJECT")</f>
        <v>PRODUKSI</v>
      </c>
      <c r="C682" s="0" t="n">
        <f aca="false">MOD(A682-1,Pemetaan!$B$3*Pemetaan!$B$4)</f>
        <v>680</v>
      </c>
      <c r="D682" s="0" t="n">
        <f aca="false">INT(C682/Pemetaan!$B$4)</f>
        <v>27</v>
      </c>
      <c r="E682" s="0" t="n">
        <f aca="false">MOD(C682,Pemetaan!$B$4)</f>
        <v>5</v>
      </c>
      <c r="F682" s="0" t="n">
        <f aca="false">IF(B682="PRODUKSI",Pemetaan!$B$5,Pemetaan!$B$6)</f>
        <v>5</v>
      </c>
      <c r="G682" s="0" t="n">
        <f aca="false">F682+2+D682</f>
        <v>34</v>
      </c>
      <c r="H682" s="0" t="n">
        <f aca="false">Pemetaan!$B$2+E682</f>
        <v>10</v>
      </c>
      <c r="I682" s="0" t="str">
        <f aca="false">INDEX(Laporan!$A$1:$AZ$300,G682,1)</f>
        <v>Mixing</v>
      </c>
      <c r="J682" s="0" t="str">
        <f aca="false">INDEX(Laporan!$A$1:$AZ$300,G682,2)</f>
        <v>600 ml</v>
      </c>
      <c r="K682" s="0" t="str">
        <f aca="false">INDEX(Laporan!$A$1:$AZ$300,G682,3)</f>
        <v>Shift 2</v>
      </c>
      <c r="L682" s="0" t="n">
        <f aca="false">INDEX(Laporan!$A$1:$AZ$300,G682,4)</f>
        <v>1</v>
      </c>
      <c r="M682" s="1" t="n">
        <f aca="false">DATE(Pemetaan!$B$1,VALUE(RIGHT(INDEX(Laporan!$A$1:$AZ$300,F682+1,H682),2)),VALUE(LEFT(INDEX(Laporan!$A$1:$AZ$300,F682+1,H682),2)))</f>
        <v>46090</v>
      </c>
      <c r="N682" s="0" t="n">
        <f aca="false">INDEX(Laporan!$A$1:$AZ$300,G682,H682)</f>
        <v>2786</v>
      </c>
      <c r="O682" s="0" t="n">
        <f aca="false">IF(N682="","",IFERROR(VALUE(SUBSTITUTE(SUBSTITUTE(N682," btl",""),".","")),""))</f>
        <v>2786</v>
      </c>
      <c r="P682" s="0" t="str">
        <f aca="false">IF(B682="PRODUKSI","produced","reject")</f>
        <v>produced</v>
      </c>
    </row>
    <row r="683" customFormat="false" ht="15" hidden="false" customHeight="false" outlineLevel="0" collapsed="false">
      <c r="A683" s="0" t="n">
        <v>682</v>
      </c>
      <c r="B683" s="0" t="str">
        <f aca="false">IF(A683&lt;=36*25,"PRODUKSI","REJECT")</f>
        <v>PRODUKSI</v>
      </c>
      <c r="C683" s="0" t="n">
        <f aca="false">MOD(A683-1,Pemetaan!$B$3*Pemetaan!$B$4)</f>
        <v>681</v>
      </c>
      <c r="D683" s="0" t="n">
        <f aca="false">INT(C683/Pemetaan!$B$4)</f>
        <v>27</v>
      </c>
      <c r="E683" s="0" t="n">
        <f aca="false">MOD(C683,Pemetaan!$B$4)</f>
        <v>6</v>
      </c>
      <c r="F683" s="0" t="n">
        <f aca="false">IF(B683="PRODUKSI",Pemetaan!$B$5,Pemetaan!$B$6)</f>
        <v>5</v>
      </c>
      <c r="G683" s="0" t="n">
        <f aca="false">F683+2+D683</f>
        <v>34</v>
      </c>
      <c r="H683" s="0" t="n">
        <f aca="false">Pemetaan!$B$2+E683</f>
        <v>11</v>
      </c>
      <c r="I683" s="0" t="str">
        <f aca="false">INDEX(Laporan!$A$1:$AZ$300,G683,1)</f>
        <v>Mixing</v>
      </c>
      <c r="J683" s="0" t="str">
        <f aca="false">INDEX(Laporan!$A$1:$AZ$300,G683,2)</f>
        <v>600 ml</v>
      </c>
      <c r="K683" s="0" t="str">
        <f aca="false">INDEX(Laporan!$A$1:$AZ$300,G683,3)</f>
        <v>Shift 2</v>
      </c>
      <c r="L683" s="0" t="n">
        <f aca="false">INDEX(Laporan!$A$1:$AZ$300,G683,4)</f>
        <v>1</v>
      </c>
      <c r="M683" s="1" t="n">
        <f aca="false">DATE(Pemetaan!$B$1,VALUE(RIGHT(INDEX(Laporan!$A$1:$AZ$300,F683+1,H683),2)),VALUE(LEFT(INDEX(Laporan!$A$1:$AZ$300,F683+1,H683),2)))</f>
        <v>46091</v>
      </c>
      <c r="N683" s="0" t="n">
        <f aca="false">INDEX(Laporan!$A$1:$AZ$300,G683,H683)</f>
        <v>2575</v>
      </c>
      <c r="O683" s="0" t="n">
        <f aca="false">IF(N683="","",IFERROR(VALUE(SUBSTITUTE(SUBSTITUTE(N683," btl",""),".","")),""))</f>
        <v>2575</v>
      </c>
      <c r="P683" s="0" t="str">
        <f aca="false">IF(B683="PRODUKSI","produced","reject")</f>
        <v>produced</v>
      </c>
    </row>
    <row r="684" customFormat="false" ht="15" hidden="false" customHeight="false" outlineLevel="0" collapsed="false">
      <c r="A684" s="0" t="n">
        <v>683</v>
      </c>
      <c r="B684" s="0" t="str">
        <f aca="false">IF(A684&lt;=36*25,"PRODUKSI","REJECT")</f>
        <v>PRODUKSI</v>
      </c>
      <c r="C684" s="0" t="n">
        <f aca="false">MOD(A684-1,Pemetaan!$B$3*Pemetaan!$B$4)</f>
        <v>682</v>
      </c>
      <c r="D684" s="0" t="n">
        <f aca="false">INT(C684/Pemetaan!$B$4)</f>
        <v>27</v>
      </c>
      <c r="E684" s="0" t="n">
        <f aca="false">MOD(C684,Pemetaan!$B$4)</f>
        <v>7</v>
      </c>
      <c r="F684" s="0" t="n">
        <f aca="false">IF(B684="PRODUKSI",Pemetaan!$B$5,Pemetaan!$B$6)</f>
        <v>5</v>
      </c>
      <c r="G684" s="0" t="n">
        <f aca="false">F684+2+D684</f>
        <v>34</v>
      </c>
      <c r="H684" s="0" t="n">
        <f aca="false">Pemetaan!$B$2+E684</f>
        <v>12</v>
      </c>
      <c r="I684" s="0" t="str">
        <f aca="false">INDEX(Laporan!$A$1:$AZ$300,G684,1)</f>
        <v>Mixing</v>
      </c>
      <c r="J684" s="0" t="str">
        <f aca="false">INDEX(Laporan!$A$1:$AZ$300,G684,2)</f>
        <v>600 ml</v>
      </c>
      <c r="K684" s="0" t="str">
        <f aca="false">INDEX(Laporan!$A$1:$AZ$300,G684,3)</f>
        <v>Shift 2</v>
      </c>
      <c r="L684" s="0" t="n">
        <f aca="false">INDEX(Laporan!$A$1:$AZ$300,G684,4)</f>
        <v>1</v>
      </c>
      <c r="M684" s="1" t="n">
        <f aca="false">DATE(Pemetaan!$B$1,VALUE(RIGHT(INDEX(Laporan!$A$1:$AZ$300,F684+1,H684),2)),VALUE(LEFT(INDEX(Laporan!$A$1:$AZ$300,F684+1,H684),2)))</f>
        <v>46092</v>
      </c>
      <c r="N684" s="0" t="n">
        <f aca="false">INDEX(Laporan!$A$1:$AZ$300,G684,H684)</f>
        <v>2757</v>
      </c>
      <c r="O684" s="0" t="n">
        <f aca="false">IF(N684="","",IFERROR(VALUE(SUBSTITUTE(SUBSTITUTE(N684," btl",""),".","")),""))</f>
        <v>2757</v>
      </c>
      <c r="P684" s="0" t="str">
        <f aca="false">IF(B684="PRODUKSI","produced","reject")</f>
        <v>produced</v>
      </c>
    </row>
    <row r="685" customFormat="false" ht="15" hidden="false" customHeight="false" outlineLevel="0" collapsed="false">
      <c r="A685" s="0" t="n">
        <v>684</v>
      </c>
      <c r="B685" s="0" t="str">
        <f aca="false">IF(A685&lt;=36*25,"PRODUKSI","REJECT")</f>
        <v>PRODUKSI</v>
      </c>
      <c r="C685" s="0" t="n">
        <f aca="false">MOD(A685-1,Pemetaan!$B$3*Pemetaan!$B$4)</f>
        <v>683</v>
      </c>
      <c r="D685" s="0" t="n">
        <f aca="false">INT(C685/Pemetaan!$B$4)</f>
        <v>27</v>
      </c>
      <c r="E685" s="0" t="n">
        <f aca="false">MOD(C685,Pemetaan!$B$4)</f>
        <v>8</v>
      </c>
      <c r="F685" s="0" t="n">
        <f aca="false">IF(B685="PRODUKSI",Pemetaan!$B$5,Pemetaan!$B$6)</f>
        <v>5</v>
      </c>
      <c r="G685" s="0" t="n">
        <f aca="false">F685+2+D685</f>
        <v>34</v>
      </c>
      <c r="H685" s="0" t="n">
        <f aca="false">Pemetaan!$B$2+E685</f>
        <v>13</v>
      </c>
      <c r="I685" s="0" t="str">
        <f aca="false">INDEX(Laporan!$A$1:$AZ$300,G685,1)</f>
        <v>Mixing</v>
      </c>
      <c r="J685" s="0" t="str">
        <f aca="false">INDEX(Laporan!$A$1:$AZ$300,G685,2)</f>
        <v>600 ml</v>
      </c>
      <c r="K685" s="0" t="str">
        <f aca="false">INDEX(Laporan!$A$1:$AZ$300,G685,3)</f>
        <v>Shift 2</v>
      </c>
      <c r="L685" s="0" t="n">
        <f aca="false">INDEX(Laporan!$A$1:$AZ$300,G685,4)</f>
        <v>1</v>
      </c>
      <c r="M685" s="1" t="n">
        <f aca="false">DATE(Pemetaan!$B$1,VALUE(RIGHT(INDEX(Laporan!$A$1:$AZ$300,F685+1,H685),2)),VALUE(LEFT(INDEX(Laporan!$A$1:$AZ$300,F685+1,H685),2)))</f>
        <v>46093</v>
      </c>
      <c r="N685" s="0" t="n">
        <f aca="false">INDEX(Laporan!$A$1:$AZ$300,G685,H685)</f>
        <v>2933</v>
      </c>
      <c r="O685" s="0" t="n">
        <f aca="false">IF(N685="","",IFERROR(VALUE(SUBSTITUTE(SUBSTITUTE(N685," btl",""),".","")),""))</f>
        <v>2933</v>
      </c>
      <c r="P685" s="0" t="str">
        <f aca="false">IF(B685="PRODUKSI","produced","reject")</f>
        <v>produced</v>
      </c>
    </row>
    <row r="686" customFormat="false" ht="15" hidden="false" customHeight="false" outlineLevel="0" collapsed="false">
      <c r="A686" s="0" t="n">
        <v>685</v>
      </c>
      <c r="B686" s="0" t="str">
        <f aca="false">IF(A686&lt;=36*25,"PRODUKSI","REJECT")</f>
        <v>PRODUKSI</v>
      </c>
      <c r="C686" s="0" t="n">
        <f aca="false">MOD(A686-1,Pemetaan!$B$3*Pemetaan!$B$4)</f>
        <v>684</v>
      </c>
      <c r="D686" s="0" t="n">
        <f aca="false">INT(C686/Pemetaan!$B$4)</f>
        <v>27</v>
      </c>
      <c r="E686" s="0" t="n">
        <f aca="false">MOD(C686,Pemetaan!$B$4)</f>
        <v>9</v>
      </c>
      <c r="F686" s="0" t="n">
        <f aca="false">IF(B686="PRODUKSI",Pemetaan!$B$5,Pemetaan!$B$6)</f>
        <v>5</v>
      </c>
      <c r="G686" s="0" t="n">
        <f aca="false">F686+2+D686</f>
        <v>34</v>
      </c>
      <c r="H686" s="0" t="n">
        <f aca="false">Pemetaan!$B$2+E686</f>
        <v>14</v>
      </c>
      <c r="I686" s="0" t="str">
        <f aca="false">INDEX(Laporan!$A$1:$AZ$300,G686,1)</f>
        <v>Mixing</v>
      </c>
      <c r="J686" s="0" t="str">
        <f aca="false">INDEX(Laporan!$A$1:$AZ$300,G686,2)</f>
        <v>600 ml</v>
      </c>
      <c r="K686" s="0" t="str">
        <f aca="false">INDEX(Laporan!$A$1:$AZ$300,G686,3)</f>
        <v>Shift 2</v>
      </c>
      <c r="L686" s="0" t="n">
        <f aca="false">INDEX(Laporan!$A$1:$AZ$300,G686,4)</f>
        <v>1</v>
      </c>
      <c r="M686" s="1" t="n">
        <f aca="false">DATE(Pemetaan!$B$1,VALUE(RIGHT(INDEX(Laporan!$A$1:$AZ$300,F686+1,H686),2)),VALUE(LEFT(INDEX(Laporan!$A$1:$AZ$300,F686+1,H686),2)))</f>
        <v>46094</v>
      </c>
      <c r="N686" s="0" t="n">
        <f aca="false">INDEX(Laporan!$A$1:$AZ$300,G686,H686)</f>
        <v>2894</v>
      </c>
      <c r="O686" s="0" t="n">
        <f aca="false">IF(N686="","",IFERROR(VALUE(SUBSTITUTE(SUBSTITUTE(N686," btl",""),".","")),""))</f>
        <v>2894</v>
      </c>
      <c r="P686" s="0" t="str">
        <f aca="false">IF(B686="PRODUKSI","produced","reject")</f>
        <v>produced</v>
      </c>
    </row>
    <row r="687" customFormat="false" ht="15" hidden="false" customHeight="false" outlineLevel="0" collapsed="false">
      <c r="A687" s="0" t="n">
        <v>686</v>
      </c>
      <c r="B687" s="0" t="str">
        <f aca="false">IF(A687&lt;=36*25,"PRODUKSI","REJECT")</f>
        <v>PRODUKSI</v>
      </c>
      <c r="C687" s="0" t="n">
        <f aca="false">MOD(A687-1,Pemetaan!$B$3*Pemetaan!$B$4)</f>
        <v>685</v>
      </c>
      <c r="D687" s="0" t="n">
        <f aca="false">INT(C687/Pemetaan!$B$4)</f>
        <v>27</v>
      </c>
      <c r="E687" s="0" t="n">
        <f aca="false">MOD(C687,Pemetaan!$B$4)</f>
        <v>10</v>
      </c>
      <c r="F687" s="0" t="n">
        <f aca="false">IF(B687="PRODUKSI",Pemetaan!$B$5,Pemetaan!$B$6)</f>
        <v>5</v>
      </c>
      <c r="G687" s="0" t="n">
        <f aca="false">F687+2+D687</f>
        <v>34</v>
      </c>
      <c r="H687" s="0" t="n">
        <f aca="false">Pemetaan!$B$2+E687</f>
        <v>15</v>
      </c>
      <c r="I687" s="0" t="str">
        <f aca="false">INDEX(Laporan!$A$1:$AZ$300,G687,1)</f>
        <v>Mixing</v>
      </c>
      <c r="J687" s="0" t="str">
        <f aca="false">INDEX(Laporan!$A$1:$AZ$300,G687,2)</f>
        <v>600 ml</v>
      </c>
      <c r="K687" s="0" t="str">
        <f aca="false">INDEX(Laporan!$A$1:$AZ$300,G687,3)</f>
        <v>Shift 2</v>
      </c>
      <c r="L687" s="0" t="n">
        <f aca="false">INDEX(Laporan!$A$1:$AZ$300,G687,4)</f>
        <v>1</v>
      </c>
      <c r="M687" s="1" t="n">
        <f aca="false">DATE(Pemetaan!$B$1,VALUE(RIGHT(INDEX(Laporan!$A$1:$AZ$300,F687+1,H687),2)),VALUE(LEFT(INDEX(Laporan!$A$1:$AZ$300,F687+1,H687),2)))</f>
        <v>46097</v>
      </c>
      <c r="N687" s="0" t="n">
        <f aca="false">INDEX(Laporan!$A$1:$AZ$300,G687,H687)</f>
        <v>2836</v>
      </c>
      <c r="O687" s="0" t="n">
        <f aca="false">IF(N687="","",IFERROR(VALUE(SUBSTITUTE(SUBSTITUTE(N687," btl",""),".","")),""))</f>
        <v>2836</v>
      </c>
      <c r="P687" s="0" t="str">
        <f aca="false">IF(B687="PRODUKSI","produced","reject")</f>
        <v>produced</v>
      </c>
    </row>
    <row r="688" customFormat="false" ht="15" hidden="false" customHeight="false" outlineLevel="0" collapsed="false">
      <c r="A688" s="0" t="n">
        <v>687</v>
      </c>
      <c r="B688" s="0" t="str">
        <f aca="false">IF(A688&lt;=36*25,"PRODUKSI","REJECT")</f>
        <v>PRODUKSI</v>
      </c>
      <c r="C688" s="0" t="n">
        <f aca="false">MOD(A688-1,Pemetaan!$B$3*Pemetaan!$B$4)</f>
        <v>686</v>
      </c>
      <c r="D688" s="0" t="n">
        <f aca="false">INT(C688/Pemetaan!$B$4)</f>
        <v>27</v>
      </c>
      <c r="E688" s="0" t="n">
        <f aca="false">MOD(C688,Pemetaan!$B$4)</f>
        <v>11</v>
      </c>
      <c r="F688" s="0" t="n">
        <f aca="false">IF(B688="PRODUKSI",Pemetaan!$B$5,Pemetaan!$B$6)</f>
        <v>5</v>
      </c>
      <c r="G688" s="0" t="n">
        <f aca="false">F688+2+D688</f>
        <v>34</v>
      </c>
      <c r="H688" s="0" t="n">
        <f aca="false">Pemetaan!$B$2+E688</f>
        <v>16</v>
      </c>
      <c r="I688" s="0" t="str">
        <f aca="false">INDEX(Laporan!$A$1:$AZ$300,G688,1)</f>
        <v>Mixing</v>
      </c>
      <c r="J688" s="0" t="str">
        <f aca="false">INDEX(Laporan!$A$1:$AZ$300,G688,2)</f>
        <v>600 ml</v>
      </c>
      <c r="K688" s="0" t="str">
        <f aca="false">INDEX(Laporan!$A$1:$AZ$300,G688,3)</f>
        <v>Shift 2</v>
      </c>
      <c r="L688" s="0" t="n">
        <f aca="false">INDEX(Laporan!$A$1:$AZ$300,G688,4)</f>
        <v>1</v>
      </c>
      <c r="M688" s="1" t="n">
        <f aca="false">DATE(Pemetaan!$B$1,VALUE(RIGHT(INDEX(Laporan!$A$1:$AZ$300,F688+1,H688),2)),VALUE(LEFT(INDEX(Laporan!$A$1:$AZ$300,F688+1,H688),2)))</f>
        <v>46098</v>
      </c>
      <c r="N688" s="0" t="n">
        <f aca="false">INDEX(Laporan!$A$1:$AZ$300,G688,H688)</f>
        <v>2570</v>
      </c>
      <c r="O688" s="0" t="n">
        <f aca="false">IF(N688="","",IFERROR(VALUE(SUBSTITUTE(SUBSTITUTE(N688," btl",""),".","")),""))</f>
        <v>2570</v>
      </c>
      <c r="P688" s="0" t="str">
        <f aca="false">IF(B688="PRODUKSI","produced","reject")</f>
        <v>produced</v>
      </c>
    </row>
    <row r="689" customFormat="false" ht="15" hidden="false" customHeight="false" outlineLevel="0" collapsed="false">
      <c r="A689" s="0" t="n">
        <v>688</v>
      </c>
      <c r="B689" s="0" t="str">
        <f aca="false">IF(A689&lt;=36*25,"PRODUKSI","REJECT")</f>
        <v>PRODUKSI</v>
      </c>
      <c r="C689" s="0" t="n">
        <f aca="false">MOD(A689-1,Pemetaan!$B$3*Pemetaan!$B$4)</f>
        <v>687</v>
      </c>
      <c r="D689" s="0" t="n">
        <f aca="false">INT(C689/Pemetaan!$B$4)</f>
        <v>27</v>
      </c>
      <c r="E689" s="0" t="n">
        <f aca="false">MOD(C689,Pemetaan!$B$4)</f>
        <v>12</v>
      </c>
      <c r="F689" s="0" t="n">
        <f aca="false">IF(B689="PRODUKSI",Pemetaan!$B$5,Pemetaan!$B$6)</f>
        <v>5</v>
      </c>
      <c r="G689" s="0" t="n">
        <f aca="false">F689+2+D689</f>
        <v>34</v>
      </c>
      <c r="H689" s="0" t="n">
        <f aca="false">Pemetaan!$B$2+E689</f>
        <v>17</v>
      </c>
      <c r="I689" s="0" t="str">
        <f aca="false">INDEX(Laporan!$A$1:$AZ$300,G689,1)</f>
        <v>Mixing</v>
      </c>
      <c r="J689" s="0" t="str">
        <f aca="false">INDEX(Laporan!$A$1:$AZ$300,G689,2)</f>
        <v>600 ml</v>
      </c>
      <c r="K689" s="0" t="str">
        <f aca="false">INDEX(Laporan!$A$1:$AZ$300,G689,3)</f>
        <v>Shift 2</v>
      </c>
      <c r="L689" s="0" t="n">
        <f aca="false">INDEX(Laporan!$A$1:$AZ$300,G689,4)</f>
        <v>1</v>
      </c>
      <c r="M689" s="1" t="n">
        <f aca="false">DATE(Pemetaan!$B$1,VALUE(RIGHT(INDEX(Laporan!$A$1:$AZ$300,F689+1,H689),2)),VALUE(LEFT(INDEX(Laporan!$A$1:$AZ$300,F689+1,H689),2)))</f>
        <v>46099</v>
      </c>
      <c r="N689" s="0" t="n">
        <f aca="false">INDEX(Laporan!$A$1:$AZ$300,G689,H689)</f>
        <v>3356</v>
      </c>
      <c r="O689" s="0" t="n">
        <f aca="false">IF(N689="","",IFERROR(VALUE(SUBSTITUTE(SUBSTITUTE(N689," btl",""),".","")),""))</f>
        <v>3356</v>
      </c>
      <c r="P689" s="0" t="str">
        <f aca="false">IF(B689="PRODUKSI","produced","reject")</f>
        <v>produced</v>
      </c>
    </row>
    <row r="690" customFormat="false" ht="15" hidden="false" customHeight="false" outlineLevel="0" collapsed="false">
      <c r="A690" s="0" t="n">
        <v>689</v>
      </c>
      <c r="B690" s="0" t="str">
        <f aca="false">IF(A690&lt;=36*25,"PRODUKSI","REJECT")</f>
        <v>PRODUKSI</v>
      </c>
      <c r="C690" s="0" t="n">
        <f aca="false">MOD(A690-1,Pemetaan!$B$3*Pemetaan!$B$4)</f>
        <v>688</v>
      </c>
      <c r="D690" s="0" t="n">
        <f aca="false">INT(C690/Pemetaan!$B$4)</f>
        <v>27</v>
      </c>
      <c r="E690" s="0" t="n">
        <f aca="false">MOD(C690,Pemetaan!$B$4)</f>
        <v>13</v>
      </c>
      <c r="F690" s="0" t="n">
        <f aca="false">IF(B690="PRODUKSI",Pemetaan!$B$5,Pemetaan!$B$6)</f>
        <v>5</v>
      </c>
      <c r="G690" s="0" t="n">
        <f aca="false">F690+2+D690</f>
        <v>34</v>
      </c>
      <c r="H690" s="0" t="n">
        <f aca="false">Pemetaan!$B$2+E690</f>
        <v>18</v>
      </c>
      <c r="I690" s="0" t="str">
        <f aca="false">INDEX(Laporan!$A$1:$AZ$300,G690,1)</f>
        <v>Mixing</v>
      </c>
      <c r="J690" s="0" t="str">
        <f aca="false">INDEX(Laporan!$A$1:$AZ$300,G690,2)</f>
        <v>600 ml</v>
      </c>
      <c r="K690" s="0" t="str">
        <f aca="false">INDEX(Laporan!$A$1:$AZ$300,G690,3)</f>
        <v>Shift 2</v>
      </c>
      <c r="L690" s="0" t="n">
        <f aca="false">INDEX(Laporan!$A$1:$AZ$300,G690,4)</f>
        <v>1</v>
      </c>
      <c r="M690" s="1" t="n">
        <f aca="false">DATE(Pemetaan!$B$1,VALUE(RIGHT(INDEX(Laporan!$A$1:$AZ$300,F690+1,H690),2)),VALUE(LEFT(INDEX(Laporan!$A$1:$AZ$300,F690+1,H690),2)))</f>
        <v>46100</v>
      </c>
      <c r="N690" s="0" t="n">
        <f aca="false">INDEX(Laporan!$A$1:$AZ$300,G690,H690)</f>
        <v>2774</v>
      </c>
      <c r="O690" s="0" t="n">
        <f aca="false">IF(N690="","",IFERROR(VALUE(SUBSTITUTE(SUBSTITUTE(N690," btl",""),".","")),""))</f>
        <v>2774</v>
      </c>
      <c r="P690" s="0" t="str">
        <f aca="false">IF(B690="PRODUKSI","produced","reject")</f>
        <v>produced</v>
      </c>
    </row>
    <row r="691" customFormat="false" ht="15" hidden="false" customHeight="false" outlineLevel="0" collapsed="false">
      <c r="A691" s="0" t="n">
        <v>690</v>
      </c>
      <c r="B691" s="0" t="str">
        <f aca="false">IF(A691&lt;=36*25,"PRODUKSI","REJECT")</f>
        <v>PRODUKSI</v>
      </c>
      <c r="C691" s="0" t="n">
        <f aca="false">MOD(A691-1,Pemetaan!$B$3*Pemetaan!$B$4)</f>
        <v>689</v>
      </c>
      <c r="D691" s="0" t="n">
        <f aca="false">INT(C691/Pemetaan!$B$4)</f>
        <v>27</v>
      </c>
      <c r="E691" s="0" t="n">
        <f aca="false">MOD(C691,Pemetaan!$B$4)</f>
        <v>14</v>
      </c>
      <c r="F691" s="0" t="n">
        <f aca="false">IF(B691="PRODUKSI",Pemetaan!$B$5,Pemetaan!$B$6)</f>
        <v>5</v>
      </c>
      <c r="G691" s="0" t="n">
        <f aca="false">F691+2+D691</f>
        <v>34</v>
      </c>
      <c r="H691" s="0" t="n">
        <f aca="false">Pemetaan!$B$2+E691</f>
        <v>19</v>
      </c>
      <c r="I691" s="0" t="str">
        <f aca="false">INDEX(Laporan!$A$1:$AZ$300,G691,1)</f>
        <v>Mixing</v>
      </c>
      <c r="J691" s="0" t="str">
        <f aca="false">INDEX(Laporan!$A$1:$AZ$300,G691,2)</f>
        <v>600 ml</v>
      </c>
      <c r="K691" s="0" t="str">
        <f aca="false">INDEX(Laporan!$A$1:$AZ$300,G691,3)</f>
        <v>Shift 2</v>
      </c>
      <c r="L691" s="0" t="n">
        <f aca="false">INDEX(Laporan!$A$1:$AZ$300,G691,4)</f>
        <v>1</v>
      </c>
      <c r="M691" s="1" t="n">
        <f aca="false">DATE(Pemetaan!$B$1,VALUE(RIGHT(INDEX(Laporan!$A$1:$AZ$300,F691+1,H691),2)),VALUE(LEFT(INDEX(Laporan!$A$1:$AZ$300,F691+1,H691),2)))</f>
        <v>46101</v>
      </c>
      <c r="N691" s="0" t="n">
        <f aca="false">INDEX(Laporan!$A$1:$AZ$300,G691,H691)</f>
        <v>2494</v>
      </c>
      <c r="O691" s="0" t="n">
        <f aca="false">IF(N691="","",IFERROR(VALUE(SUBSTITUTE(SUBSTITUTE(N691," btl",""),".","")),""))</f>
        <v>2494</v>
      </c>
      <c r="P691" s="0" t="str">
        <f aca="false">IF(B691="PRODUKSI","produced","reject")</f>
        <v>produced</v>
      </c>
    </row>
    <row r="692" customFormat="false" ht="15" hidden="false" customHeight="false" outlineLevel="0" collapsed="false">
      <c r="A692" s="0" t="n">
        <v>691</v>
      </c>
      <c r="B692" s="0" t="str">
        <f aca="false">IF(A692&lt;=36*25,"PRODUKSI","REJECT")</f>
        <v>PRODUKSI</v>
      </c>
      <c r="C692" s="0" t="n">
        <f aca="false">MOD(A692-1,Pemetaan!$B$3*Pemetaan!$B$4)</f>
        <v>690</v>
      </c>
      <c r="D692" s="0" t="n">
        <f aca="false">INT(C692/Pemetaan!$B$4)</f>
        <v>27</v>
      </c>
      <c r="E692" s="0" t="n">
        <f aca="false">MOD(C692,Pemetaan!$B$4)</f>
        <v>15</v>
      </c>
      <c r="F692" s="0" t="n">
        <f aca="false">IF(B692="PRODUKSI",Pemetaan!$B$5,Pemetaan!$B$6)</f>
        <v>5</v>
      </c>
      <c r="G692" s="0" t="n">
        <f aca="false">F692+2+D692</f>
        <v>34</v>
      </c>
      <c r="H692" s="0" t="n">
        <f aca="false">Pemetaan!$B$2+E692</f>
        <v>20</v>
      </c>
      <c r="I692" s="0" t="str">
        <f aca="false">INDEX(Laporan!$A$1:$AZ$300,G692,1)</f>
        <v>Mixing</v>
      </c>
      <c r="J692" s="0" t="str">
        <f aca="false">INDEX(Laporan!$A$1:$AZ$300,G692,2)</f>
        <v>600 ml</v>
      </c>
      <c r="K692" s="0" t="str">
        <f aca="false">INDEX(Laporan!$A$1:$AZ$300,G692,3)</f>
        <v>Shift 2</v>
      </c>
      <c r="L692" s="0" t="n">
        <f aca="false">INDEX(Laporan!$A$1:$AZ$300,G692,4)</f>
        <v>1</v>
      </c>
      <c r="M692" s="1" t="n">
        <f aca="false">DATE(Pemetaan!$B$1,VALUE(RIGHT(INDEX(Laporan!$A$1:$AZ$300,F692+1,H692),2)),VALUE(LEFT(INDEX(Laporan!$A$1:$AZ$300,F692+1,H692),2)))</f>
        <v>46104</v>
      </c>
      <c r="N692" s="0" t="n">
        <f aca="false">INDEX(Laporan!$A$1:$AZ$300,G692,H692)</f>
        <v>2625</v>
      </c>
      <c r="O692" s="0" t="n">
        <f aca="false">IF(N692="","",IFERROR(VALUE(SUBSTITUTE(SUBSTITUTE(N692," btl",""),".","")),""))</f>
        <v>2625</v>
      </c>
      <c r="P692" s="0" t="str">
        <f aca="false">IF(B692="PRODUKSI","produced","reject")</f>
        <v>produced</v>
      </c>
    </row>
    <row r="693" customFormat="false" ht="15" hidden="false" customHeight="false" outlineLevel="0" collapsed="false">
      <c r="A693" s="0" t="n">
        <v>692</v>
      </c>
      <c r="B693" s="0" t="str">
        <f aca="false">IF(A693&lt;=36*25,"PRODUKSI","REJECT")</f>
        <v>PRODUKSI</v>
      </c>
      <c r="C693" s="0" t="n">
        <f aca="false">MOD(A693-1,Pemetaan!$B$3*Pemetaan!$B$4)</f>
        <v>691</v>
      </c>
      <c r="D693" s="0" t="n">
        <f aca="false">INT(C693/Pemetaan!$B$4)</f>
        <v>27</v>
      </c>
      <c r="E693" s="0" t="n">
        <f aca="false">MOD(C693,Pemetaan!$B$4)</f>
        <v>16</v>
      </c>
      <c r="F693" s="0" t="n">
        <f aca="false">IF(B693="PRODUKSI",Pemetaan!$B$5,Pemetaan!$B$6)</f>
        <v>5</v>
      </c>
      <c r="G693" s="0" t="n">
        <f aca="false">F693+2+D693</f>
        <v>34</v>
      </c>
      <c r="H693" s="0" t="n">
        <f aca="false">Pemetaan!$B$2+E693</f>
        <v>21</v>
      </c>
      <c r="I693" s="0" t="str">
        <f aca="false">INDEX(Laporan!$A$1:$AZ$300,G693,1)</f>
        <v>Mixing</v>
      </c>
      <c r="J693" s="0" t="str">
        <f aca="false">INDEX(Laporan!$A$1:$AZ$300,G693,2)</f>
        <v>600 ml</v>
      </c>
      <c r="K693" s="0" t="str">
        <f aca="false">INDEX(Laporan!$A$1:$AZ$300,G693,3)</f>
        <v>Shift 2</v>
      </c>
      <c r="L693" s="0" t="n">
        <f aca="false">INDEX(Laporan!$A$1:$AZ$300,G693,4)</f>
        <v>1</v>
      </c>
      <c r="M693" s="1" t="n">
        <f aca="false">DATE(Pemetaan!$B$1,VALUE(RIGHT(INDEX(Laporan!$A$1:$AZ$300,F693+1,H693),2)),VALUE(LEFT(INDEX(Laporan!$A$1:$AZ$300,F693+1,H693),2)))</f>
        <v>46105</v>
      </c>
      <c r="N693" s="0" t="n">
        <f aca="false">INDEX(Laporan!$A$1:$AZ$300,G693,H693)</f>
        <v>2770</v>
      </c>
      <c r="O693" s="0" t="n">
        <f aca="false">IF(N693="","",IFERROR(VALUE(SUBSTITUTE(SUBSTITUTE(N693," btl",""),".","")),""))</f>
        <v>2770</v>
      </c>
      <c r="P693" s="0" t="str">
        <f aca="false">IF(B693="PRODUKSI","produced","reject")</f>
        <v>produced</v>
      </c>
    </row>
    <row r="694" customFormat="false" ht="15" hidden="false" customHeight="false" outlineLevel="0" collapsed="false">
      <c r="A694" s="0" t="n">
        <v>693</v>
      </c>
      <c r="B694" s="0" t="str">
        <f aca="false">IF(A694&lt;=36*25,"PRODUKSI","REJECT")</f>
        <v>PRODUKSI</v>
      </c>
      <c r="C694" s="0" t="n">
        <f aca="false">MOD(A694-1,Pemetaan!$B$3*Pemetaan!$B$4)</f>
        <v>692</v>
      </c>
      <c r="D694" s="0" t="n">
        <f aca="false">INT(C694/Pemetaan!$B$4)</f>
        <v>27</v>
      </c>
      <c r="E694" s="0" t="n">
        <f aca="false">MOD(C694,Pemetaan!$B$4)</f>
        <v>17</v>
      </c>
      <c r="F694" s="0" t="n">
        <f aca="false">IF(B694="PRODUKSI",Pemetaan!$B$5,Pemetaan!$B$6)</f>
        <v>5</v>
      </c>
      <c r="G694" s="0" t="n">
        <f aca="false">F694+2+D694</f>
        <v>34</v>
      </c>
      <c r="H694" s="0" t="n">
        <f aca="false">Pemetaan!$B$2+E694</f>
        <v>22</v>
      </c>
      <c r="I694" s="0" t="str">
        <f aca="false">INDEX(Laporan!$A$1:$AZ$300,G694,1)</f>
        <v>Mixing</v>
      </c>
      <c r="J694" s="0" t="str">
        <f aca="false">INDEX(Laporan!$A$1:$AZ$300,G694,2)</f>
        <v>600 ml</v>
      </c>
      <c r="K694" s="0" t="str">
        <f aca="false">INDEX(Laporan!$A$1:$AZ$300,G694,3)</f>
        <v>Shift 2</v>
      </c>
      <c r="L694" s="0" t="n">
        <f aca="false">INDEX(Laporan!$A$1:$AZ$300,G694,4)</f>
        <v>1</v>
      </c>
      <c r="M694" s="1" t="n">
        <f aca="false">DATE(Pemetaan!$B$1,VALUE(RIGHT(INDEX(Laporan!$A$1:$AZ$300,F694+1,H694),2)),VALUE(LEFT(INDEX(Laporan!$A$1:$AZ$300,F694+1,H694),2)))</f>
        <v>46106</v>
      </c>
      <c r="N694" s="0" t="n">
        <f aca="false">INDEX(Laporan!$A$1:$AZ$300,G694,H694)</f>
        <v>2441</v>
      </c>
      <c r="O694" s="0" t="n">
        <f aca="false">IF(N694="","",IFERROR(VALUE(SUBSTITUTE(SUBSTITUTE(N694," btl",""),".","")),""))</f>
        <v>2441</v>
      </c>
      <c r="P694" s="0" t="str">
        <f aca="false">IF(B694="PRODUKSI","produced","reject")</f>
        <v>produced</v>
      </c>
    </row>
    <row r="695" customFormat="false" ht="15" hidden="false" customHeight="false" outlineLevel="0" collapsed="false">
      <c r="A695" s="0" t="n">
        <v>694</v>
      </c>
      <c r="B695" s="0" t="str">
        <f aca="false">IF(A695&lt;=36*25,"PRODUKSI","REJECT")</f>
        <v>PRODUKSI</v>
      </c>
      <c r="C695" s="0" t="n">
        <f aca="false">MOD(A695-1,Pemetaan!$B$3*Pemetaan!$B$4)</f>
        <v>693</v>
      </c>
      <c r="D695" s="0" t="n">
        <f aca="false">INT(C695/Pemetaan!$B$4)</f>
        <v>27</v>
      </c>
      <c r="E695" s="0" t="n">
        <f aca="false">MOD(C695,Pemetaan!$B$4)</f>
        <v>18</v>
      </c>
      <c r="F695" s="0" t="n">
        <f aca="false">IF(B695="PRODUKSI",Pemetaan!$B$5,Pemetaan!$B$6)</f>
        <v>5</v>
      </c>
      <c r="G695" s="0" t="n">
        <f aca="false">F695+2+D695</f>
        <v>34</v>
      </c>
      <c r="H695" s="0" t="n">
        <f aca="false">Pemetaan!$B$2+E695</f>
        <v>23</v>
      </c>
      <c r="I695" s="0" t="str">
        <f aca="false">INDEX(Laporan!$A$1:$AZ$300,G695,1)</f>
        <v>Mixing</v>
      </c>
      <c r="J695" s="0" t="str">
        <f aca="false">INDEX(Laporan!$A$1:$AZ$300,G695,2)</f>
        <v>600 ml</v>
      </c>
      <c r="K695" s="0" t="str">
        <f aca="false">INDEX(Laporan!$A$1:$AZ$300,G695,3)</f>
        <v>Shift 2</v>
      </c>
      <c r="L695" s="0" t="n">
        <f aca="false">INDEX(Laporan!$A$1:$AZ$300,G695,4)</f>
        <v>1</v>
      </c>
      <c r="M695" s="1" t="n">
        <f aca="false">DATE(Pemetaan!$B$1,VALUE(RIGHT(INDEX(Laporan!$A$1:$AZ$300,F695+1,H695),2)),VALUE(LEFT(INDEX(Laporan!$A$1:$AZ$300,F695+1,H695),2)))</f>
        <v>46107</v>
      </c>
      <c r="N695" s="0" t="n">
        <f aca="false">INDEX(Laporan!$A$1:$AZ$300,G695,H695)</f>
        <v>2627</v>
      </c>
      <c r="O695" s="0" t="n">
        <f aca="false">IF(N695="","",IFERROR(VALUE(SUBSTITUTE(SUBSTITUTE(N695," btl",""),".","")),""))</f>
        <v>2627</v>
      </c>
      <c r="P695" s="0" t="str">
        <f aca="false">IF(B695="PRODUKSI","produced","reject")</f>
        <v>produced</v>
      </c>
    </row>
    <row r="696" customFormat="false" ht="15" hidden="false" customHeight="false" outlineLevel="0" collapsed="false">
      <c r="A696" s="0" t="n">
        <v>695</v>
      </c>
      <c r="B696" s="0" t="str">
        <f aca="false">IF(A696&lt;=36*25,"PRODUKSI","REJECT")</f>
        <v>PRODUKSI</v>
      </c>
      <c r="C696" s="0" t="n">
        <f aca="false">MOD(A696-1,Pemetaan!$B$3*Pemetaan!$B$4)</f>
        <v>694</v>
      </c>
      <c r="D696" s="0" t="n">
        <f aca="false">INT(C696/Pemetaan!$B$4)</f>
        <v>27</v>
      </c>
      <c r="E696" s="0" t="n">
        <f aca="false">MOD(C696,Pemetaan!$B$4)</f>
        <v>19</v>
      </c>
      <c r="F696" s="0" t="n">
        <f aca="false">IF(B696="PRODUKSI",Pemetaan!$B$5,Pemetaan!$B$6)</f>
        <v>5</v>
      </c>
      <c r="G696" s="0" t="n">
        <f aca="false">F696+2+D696</f>
        <v>34</v>
      </c>
      <c r="H696" s="0" t="n">
        <f aca="false">Pemetaan!$B$2+E696</f>
        <v>24</v>
      </c>
      <c r="I696" s="0" t="str">
        <f aca="false">INDEX(Laporan!$A$1:$AZ$300,G696,1)</f>
        <v>Mixing</v>
      </c>
      <c r="J696" s="0" t="str">
        <f aca="false">INDEX(Laporan!$A$1:$AZ$300,G696,2)</f>
        <v>600 ml</v>
      </c>
      <c r="K696" s="0" t="str">
        <f aca="false">INDEX(Laporan!$A$1:$AZ$300,G696,3)</f>
        <v>Shift 2</v>
      </c>
      <c r="L696" s="0" t="n">
        <f aca="false">INDEX(Laporan!$A$1:$AZ$300,G696,4)</f>
        <v>1</v>
      </c>
      <c r="M696" s="1" t="n">
        <f aca="false">DATE(Pemetaan!$B$1,VALUE(RIGHT(INDEX(Laporan!$A$1:$AZ$300,F696+1,H696),2)),VALUE(LEFT(INDEX(Laporan!$A$1:$AZ$300,F696+1,H696),2)))</f>
        <v>46108</v>
      </c>
      <c r="N696" s="0" t="n">
        <f aca="false">INDEX(Laporan!$A$1:$AZ$300,G696,H696)</f>
        <v>2481</v>
      </c>
      <c r="O696" s="0" t="n">
        <f aca="false">IF(N696="","",IFERROR(VALUE(SUBSTITUTE(SUBSTITUTE(N696," btl",""),".","")),""))</f>
        <v>2481</v>
      </c>
      <c r="P696" s="0" t="str">
        <f aca="false">IF(B696="PRODUKSI","produced","reject")</f>
        <v>produced</v>
      </c>
    </row>
    <row r="697" customFormat="false" ht="15" hidden="false" customHeight="false" outlineLevel="0" collapsed="false">
      <c r="A697" s="0" t="n">
        <v>696</v>
      </c>
      <c r="B697" s="0" t="str">
        <f aca="false">IF(A697&lt;=36*25,"PRODUKSI","REJECT")</f>
        <v>PRODUKSI</v>
      </c>
      <c r="C697" s="0" t="n">
        <f aca="false">MOD(A697-1,Pemetaan!$B$3*Pemetaan!$B$4)</f>
        <v>695</v>
      </c>
      <c r="D697" s="0" t="n">
        <f aca="false">INT(C697/Pemetaan!$B$4)</f>
        <v>27</v>
      </c>
      <c r="E697" s="0" t="n">
        <f aca="false">MOD(C697,Pemetaan!$B$4)</f>
        <v>20</v>
      </c>
      <c r="F697" s="0" t="n">
        <f aca="false">IF(B697="PRODUKSI",Pemetaan!$B$5,Pemetaan!$B$6)</f>
        <v>5</v>
      </c>
      <c r="G697" s="0" t="n">
        <f aca="false">F697+2+D697</f>
        <v>34</v>
      </c>
      <c r="H697" s="0" t="n">
        <f aca="false">Pemetaan!$B$2+E697</f>
        <v>25</v>
      </c>
      <c r="I697" s="0" t="str">
        <f aca="false">INDEX(Laporan!$A$1:$AZ$300,G697,1)</f>
        <v>Mixing</v>
      </c>
      <c r="J697" s="0" t="str">
        <f aca="false">INDEX(Laporan!$A$1:$AZ$300,G697,2)</f>
        <v>600 ml</v>
      </c>
      <c r="K697" s="0" t="str">
        <f aca="false">INDEX(Laporan!$A$1:$AZ$300,G697,3)</f>
        <v>Shift 2</v>
      </c>
      <c r="L697" s="0" t="n">
        <f aca="false">INDEX(Laporan!$A$1:$AZ$300,G697,4)</f>
        <v>1</v>
      </c>
      <c r="M697" s="1" t="n">
        <f aca="false">DATE(Pemetaan!$B$1,VALUE(RIGHT(INDEX(Laporan!$A$1:$AZ$300,F697+1,H697),2)),VALUE(LEFT(INDEX(Laporan!$A$1:$AZ$300,F697+1,H697),2)))</f>
        <v>46111</v>
      </c>
      <c r="N697" s="0" t="n">
        <f aca="false">INDEX(Laporan!$A$1:$AZ$300,G697,H697)</f>
        <v>2583</v>
      </c>
      <c r="O697" s="0" t="n">
        <f aca="false">IF(N697="","",IFERROR(VALUE(SUBSTITUTE(SUBSTITUTE(N697," btl",""),".","")),""))</f>
        <v>2583</v>
      </c>
      <c r="P697" s="0" t="str">
        <f aca="false">IF(B697="PRODUKSI","produced","reject")</f>
        <v>produced</v>
      </c>
    </row>
    <row r="698" customFormat="false" ht="15" hidden="false" customHeight="false" outlineLevel="0" collapsed="false">
      <c r="A698" s="0" t="n">
        <v>697</v>
      </c>
      <c r="B698" s="0" t="str">
        <f aca="false">IF(A698&lt;=36*25,"PRODUKSI","REJECT")</f>
        <v>PRODUKSI</v>
      </c>
      <c r="C698" s="0" t="n">
        <f aca="false">MOD(A698-1,Pemetaan!$B$3*Pemetaan!$B$4)</f>
        <v>696</v>
      </c>
      <c r="D698" s="0" t="n">
        <f aca="false">INT(C698/Pemetaan!$B$4)</f>
        <v>27</v>
      </c>
      <c r="E698" s="0" t="n">
        <f aca="false">MOD(C698,Pemetaan!$B$4)</f>
        <v>21</v>
      </c>
      <c r="F698" s="0" t="n">
        <f aca="false">IF(B698="PRODUKSI",Pemetaan!$B$5,Pemetaan!$B$6)</f>
        <v>5</v>
      </c>
      <c r="G698" s="0" t="n">
        <f aca="false">F698+2+D698</f>
        <v>34</v>
      </c>
      <c r="H698" s="0" t="n">
        <f aca="false">Pemetaan!$B$2+E698</f>
        <v>26</v>
      </c>
      <c r="I698" s="0" t="str">
        <f aca="false">INDEX(Laporan!$A$1:$AZ$300,G698,1)</f>
        <v>Mixing</v>
      </c>
      <c r="J698" s="0" t="str">
        <f aca="false">INDEX(Laporan!$A$1:$AZ$300,G698,2)</f>
        <v>600 ml</v>
      </c>
      <c r="K698" s="0" t="str">
        <f aca="false">INDEX(Laporan!$A$1:$AZ$300,G698,3)</f>
        <v>Shift 2</v>
      </c>
      <c r="L698" s="0" t="n">
        <f aca="false">INDEX(Laporan!$A$1:$AZ$300,G698,4)</f>
        <v>1</v>
      </c>
      <c r="M698" s="1" t="n">
        <f aca="false">DATE(Pemetaan!$B$1,VALUE(RIGHT(INDEX(Laporan!$A$1:$AZ$300,F698+1,H698),2)),VALUE(LEFT(INDEX(Laporan!$A$1:$AZ$300,F698+1,H698),2)))</f>
        <v>46112</v>
      </c>
      <c r="N698" s="0" t="n">
        <f aca="false">INDEX(Laporan!$A$1:$AZ$300,G698,H698)</f>
        <v>2767</v>
      </c>
      <c r="O698" s="0" t="n">
        <f aca="false">IF(N698="","",IFERROR(VALUE(SUBSTITUTE(SUBSTITUTE(N698," btl",""),".","")),""))</f>
        <v>2767</v>
      </c>
      <c r="P698" s="0" t="str">
        <f aca="false">IF(B698="PRODUKSI","produced","reject")</f>
        <v>produced</v>
      </c>
    </row>
    <row r="699" customFormat="false" ht="15" hidden="false" customHeight="false" outlineLevel="0" collapsed="false">
      <c r="A699" s="0" t="n">
        <v>698</v>
      </c>
      <c r="B699" s="0" t="str">
        <f aca="false">IF(A699&lt;=36*25,"PRODUKSI","REJECT")</f>
        <v>PRODUKSI</v>
      </c>
      <c r="C699" s="0" t="n">
        <f aca="false">MOD(A699-1,Pemetaan!$B$3*Pemetaan!$B$4)</f>
        <v>697</v>
      </c>
      <c r="D699" s="0" t="n">
        <f aca="false">INT(C699/Pemetaan!$B$4)</f>
        <v>27</v>
      </c>
      <c r="E699" s="0" t="n">
        <f aca="false">MOD(C699,Pemetaan!$B$4)</f>
        <v>22</v>
      </c>
      <c r="F699" s="0" t="n">
        <f aca="false">IF(B699="PRODUKSI",Pemetaan!$B$5,Pemetaan!$B$6)</f>
        <v>5</v>
      </c>
      <c r="G699" s="0" t="n">
        <f aca="false">F699+2+D699</f>
        <v>34</v>
      </c>
      <c r="H699" s="0" t="n">
        <f aca="false">Pemetaan!$B$2+E699</f>
        <v>27</v>
      </c>
      <c r="I699" s="0" t="str">
        <f aca="false">INDEX(Laporan!$A$1:$AZ$300,G699,1)</f>
        <v>Mixing</v>
      </c>
      <c r="J699" s="0" t="str">
        <f aca="false">INDEX(Laporan!$A$1:$AZ$300,G699,2)</f>
        <v>600 ml</v>
      </c>
      <c r="K699" s="0" t="str">
        <f aca="false">INDEX(Laporan!$A$1:$AZ$300,G699,3)</f>
        <v>Shift 2</v>
      </c>
      <c r="L699" s="0" t="n">
        <f aca="false">INDEX(Laporan!$A$1:$AZ$300,G699,4)</f>
        <v>1</v>
      </c>
      <c r="M699" s="1" t="n">
        <f aca="false">DATE(Pemetaan!$B$1,VALUE(RIGHT(INDEX(Laporan!$A$1:$AZ$300,F699+1,H699),2)),VALUE(LEFT(INDEX(Laporan!$A$1:$AZ$300,F699+1,H699),2)))</f>
        <v>46113</v>
      </c>
      <c r="N699" s="0" t="n">
        <f aca="false">INDEX(Laporan!$A$1:$AZ$300,G699,H699)</f>
        <v>2772</v>
      </c>
      <c r="O699" s="0" t="n">
        <f aca="false">IF(N699="","",IFERROR(VALUE(SUBSTITUTE(SUBSTITUTE(N699," btl",""),".","")),""))</f>
        <v>2772</v>
      </c>
      <c r="P699" s="0" t="str">
        <f aca="false">IF(B699="PRODUKSI","produced","reject")</f>
        <v>produced</v>
      </c>
    </row>
    <row r="700" customFormat="false" ht="15" hidden="false" customHeight="false" outlineLevel="0" collapsed="false">
      <c r="A700" s="0" t="n">
        <v>699</v>
      </c>
      <c r="B700" s="0" t="str">
        <f aca="false">IF(A700&lt;=36*25,"PRODUKSI","REJECT")</f>
        <v>PRODUKSI</v>
      </c>
      <c r="C700" s="0" t="n">
        <f aca="false">MOD(A700-1,Pemetaan!$B$3*Pemetaan!$B$4)</f>
        <v>698</v>
      </c>
      <c r="D700" s="0" t="n">
        <f aca="false">INT(C700/Pemetaan!$B$4)</f>
        <v>27</v>
      </c>
      <c r="E700" s="0" t="n">
        <f aca="false">MOD(C700,Pemetaan!$B$4)</f>
        <v>23</v>
      </c>
      <c r="F700" s="0" t="n">
        <f aca="false">IF(B700="PRODUKSI",Pemetaan!$B$5,Pemetaan!$B$6)</f>
        <v>5</v>
      </c>
      <c r="G700" s="0" t="n">
        <f aca="false">F700+2+D700</f>
        <v>34</v>
      </c>
      <c r="H700" s="0" t="n">
        <f aca="false">Pemetaan!$B$2+E700</f>
        <v>28</v>
      </c>
      <c r="I700" s="0" t="str">
        <f aca="false">INDEX(Laporan!$A$1:$AZ$300,G700,1)</f>
        <v>Mixing</v>
      </c>
      <c r="J700" s="0" t="str">
        <f aca="false">INDEX(Laporan!$A$1:$AZ$300,G700,2)</f>
        <v>600 ml</v>
      </c>
      <c r="K700" s="0" t="str">
        <f aca="false">INDEX(Laporan!$A$1:$AZ$300,G700,3)</f>
        <v>Shift 2</v>
      </c>
      <c r="L700" s="0" t="n">
        <f aca="false">INDEX(Laporan!$A$1:$AZ$300,G700,4)</f>
        <v>1</v>
      </c>
      <c r="M700" s="1" t="n">
        <f aca="false">DATE(Pemetaan!$B$1,VALUE(RIGHT(INDEX(Laporan!$A$1:$AZ$300,F700+1,H700),2)),VALUE(LEFT(INDEX(Laporan!$A$1:$AZ$300,F700+1,H700),2)))</f>
        <v>46114</v>
      </c>
      <c r="N700" s="0" t="n">
        <f aca="false">INDEX(Laporan!$A$1:$AZ$300,G700,H700)</f>
        <v>3127</v>
      </c>
      <c r="O700" s="0" t="n">
        <f aca="false">IF(N700="","",IFERROR(VALUE(SUBSTITUTE(SUBSTITUTE(N700," btl",""),".","")),""))</f>
        <v>3127</v>
      </c>
      <c r="P700" s="0" t="str">
        <f aca="false">IF(B700="PRODUKSI","produced","reject")</f>
        <v>produced</v>
      </c>
    </row>
    <row r="701" customFormat="false" ht="15" hidden="false" customHeight="false" outlineLevel="0" collapsed="false">
      <c r="A701" s="0" t="n">
        <v>700</v>
      </c>
      <c r="B701" s="0" t="str">
        <f aca="false">IF(A701&lt;=36*25,"PRODUKSI","REJECT")</f>
        <v>PRODUKSI</v>
      </c>
      <c r="C701" s="0" t="n">
        <f aca="false">MOD(A701-1,Pemetaan!$B$3*Pemetaan!$B$4)</f>
        <v>699</v>
      </c>
      <c r="D701" s="0" t="n">
        <f aca="false">INT(C701/Pemetaan!$B$4)</f>
        <v>27</v>
      </c>
      <c r="E701" s="0" t="n">
        <f aca="false">MOD(C701,Pemetaan!$B$4)</f>
        <v>24</v>
      </c>
      <c r="F701" s="0" t="n">
        <f aca="false">IF(B701="PRODUKSI",Pemetaan!$B$5,Pemetaan!$B$6)</f>
        <v>5</v>
      </c>
      <c r="G701" s="0" t="n">
        <f aca="false">F701+2+D701</f>
        <v>34</v>
      </c>
      <c r="H701" s="0" t="n">
        <f aca="false">Pemetaan!$B$2+E701</f>
        <v>29</v>
      </c>
      <c r="I701" s="0" t="str">
        <f aca="false">INDEX(Laporan!$A$1:$AZ$300,G701,1)</f>
        <v>Mixing</v>
      </c>
      <c r="J701" s="0" t="str">
        <f aca="false">INDEX(Laporan!$A$1:$AZ$300,G701,2)</f>
        <v>600 ml</v>
      </c>
      <c r="K701" s="0" t="str">
        <f aca="false">INDEX(Laporan!$A$1:$AZ$300,G701,3)</f>
        <v>Shift 2</v>
      </c>
      <c r="L701" s="0" t="n">
        <f aca="false">INDEX(Laporan!$A$1:$AZ$300,G701,4)</f>
        <v>1</v>
      </c>
      <c r="M701" s="1" t="n">
        <f aca="false">DATE(Pemetaan!$B$1,VALUE(RIGHT(INDEX(Laporan!$A$1:$AZ$300,F701+1,H701),2)),VALUE(LEFT(INDEX(Laporan!$A$1:$AZ$300,F701+1,H701),2)))</f>
        <v>46115</v>
      </c>
      <c r="N701" s="0" t="n">
        <f aca="false">INDEX(Laporan!$A$1:$AZ$300,G701,H701)</f>
        <v>2961</v>
      </c>
      <c r="O701" s="0" t="n">
        <f aca="false">IF(N701="","",IFERROR(VALUE(SUBSTITUTE(SUBSTITUTE(N701," btl",""),".","")),""))</f>
        <v>2961</v>
      </c>
      <c r="P701" s="0" t="str">
        <f aca="false">IF(B701="PRODUKSI","produced","reject")</f>
        <v>produced</v>
      </c>
    </row>
    <row r="702" customFormat="false" ht="15" hidden="false" customHeight="false" outlineLevel="0" collapsed="false">
      <c r="A702" s="0" t="n">
        <v>701</v>
      </c>
      <c r="B702" s="0" t="str">
        <f aca="false">IF(A702&lt;=36*25,"PRODUKSI","REJECT")</f>
        <v>PRODUKSI</v>
      </c>
      <c r="C702" s="0" t="n">
        <f aca="false">MOD(A702-1,Pemetaan!$B$3*Pemetaan!$B$4)</f>
        <v>700</v>
      </c>
      <c r="D702" s="0" t="n">
        <f aca="false">INT(C702/Pemetaan!$B$4)</f>
        <v>28</v>
      </c>
      <c r="E702" s="0" t="n">
        <f aca="false">MOD(C702,Pemetaan!$B$4)</f>
        <v>0</v>
      </c>
      <c r="F702" s="0" t="n">
        <f aca="false">IF(B702="PRODUKSI",Pemetaan!$B$5,Pemetaan!$B$6)</f>
        <v>5</v>
      </c>
      <c r="G702" s="0" t="n">
        <f aca="false">F702+2+D702</f>
        <v>35</v>
      </c>
      <c r="H702" s="0" t="n">
        <f aca="false">Pemetaan!$B$2+E702</f>
        <v>5</v>
      </c>
      <c r="I702" s="0" t="str">
        <f aca="false">INDEX(Laporan!$A$1:$AZ$300,G702,1)</f>
        <v>Mixing</v>
      </c>
      <c r="J702" s="0" t="str">
        <f aca="false">INDEX(Laporan!$A$1:$AZ$300,G702,2)</f>
        <v>600 ml</v>
      </c>
      <c r="K702" s="0" t="str">
        <f aca="false">INDEX(Laporan!$A$1:$AZ$300,G702,3)</f>
        <v>Shift 2</v>
      </c>
      <c r="L702" s="0" t="n">
        <f aca="false">INDEX(Laporan!$A$1:$AZ$300,G702,4)</f>
        <v>2</v>
      </c>
      <c r="M702" s="1" t="n">
        <f aca="false">DATE(Pemetaan!$B$1,VALUE(RIGHT(INDEX(Laporan!$A$1:$AZ$300,F702+1,H702),2)),VALUE(LEFT(INDEX(Laporan!$A$1:$AZ$300,F702+1,H702),2)))</f>
        <v>46083</v>
      </c>
      <c r="N702" s="0" t="n">
        <f aca="false">INDEX(Laporan!$A$1:$AZ$300,G702,H702)</f>
        <v>2725</v>
      </c>
      <c r="O702" s="0" t="n">
        <f aca="false">IF(N702="","",IFERROR(VALUE(SUBSTITUTE(SUBSTITUTE(N702," btl",""),".","")),""))</f>
        <v>2725</v>
      </c>
      <c r="P702" s="0" t="str">
        <f aca="false">IF(B702="PRODUKSI","produced","reject")</f>
        <v>produced</v>
      </c>
    </row>
    <row r="703" customFormat="false" ht="15" hidden="false" customHeight="false" outlineLevel="0" collapsed="false">
      <c r="A703" s="0" t="n">
        <v>702</v>
      </c>
      <c r="B703" s="0" t="str">
        <f aca="false">IF(A703&lt;=36*25,"PRODUKSI","REJECT")</f>
        <v>PRODUKSI</v>
      </c>
      <c r="C703" s="0" t="n">
        <f aca="false">MOD(A703-1,Pemetaan!$B$3*Pemetaan!$B$4)</f>
        <v>701</v>
      </c>
      <c r="D703" s="0" t="n">
        <f aca="false">INT(C703/Pemetaan!$B$4)</f>
        <v>28</v>
      </c>
      <c r="E703" s="0" t="n">
        <f aca="false">MOD(C703,Pemetaan!$B$4)</f>
        <v>1</v>
      </c>
      <c r="F703" s="0" t="n">
        <f aca="false">IF(B703="PRODUKSI",Pemetaan!$B$5,Pemetaan!$B$6)</f>
        <v>5</v>
      </c>
      <c r="G703" s="0" t="n">
        <f aca="false">F703+2+D703</f>
        <v>35</v>
      </c>
      <c r="H703" s="0" t="n">
        <f aca="false">Pemetaan!$B$2+E703</f>
        <v>6</v>
      </c>
      <c r="I703" s="0" t="str">
        <f aca="false">INDEX(Laporan!$A$1:$AZ$300,G703,1)</f>
        <v>Mixing</v>
      </c>
      <c r="J703" s="0" t="str">
        <f aca="false">INDEX(Laporan!$A$1:$AZ$300,G703,2)</f>
        <v>600 ml</v>
      </c>
      <c r="K703" s="0" t="str">
        <f aca="false">INDEX(Laporan!$A$1:$AZ$300,G703,3)</f>
        <v>Shift 2</v>
      </c>
      <c r="L703" s="0" t="n">
        <f aca="false">INDEX(Laporan!$A$1:$AZ$300,G703,4)</f>
        <v>2</v>
      </c>
      <c r="M703" s="1" t="n">
        <f aca="false">DATE(Pemetaan!$B$1,VALUE(RIGHT(INDEX(Laporan!$A$1:$AZ$300,F703+1,H703),2)),VALUE(LEFT(INDEX(Laporan!$A$1:$AZ$300,F703+1,H703),2)))</f>
        <v>46084</v>
      </c>
      <c r="N703" s="0" t="n">
        <f aca="false">INDEX(Laporan!$A$1:$AZ$300,G703,H703)</f>
        <v>2996</v>
      </c>
      <c r="O703" s="0" t="n">
        <f aca="false">IF(N703="","",IFERROR(VALUE(SUBSTITUTE(SUBSTITUTE(N703," btl",""),".","")),""))</f>
        <v>2996</v>
      </c>
      <c r="P703" s="0" t="str">
        <f aca="false">IF(B703="PRODUKSI","produced","reject")</f>
        <v>produced</v>
      </c>
    </row>
    <row r="704" customFormat="false" ht="15" hidden="false" customHeight="false" outlineLevel="0" collapsed="false">
      <c r="A704" s="0" t="n">
        <v>703</v>
      </c>
      <c r="B704" s="0" t="str">
        <f aca="false">IF(A704&lt;=36*25,"PRODUKSI","REJECT")</f>
        <v>PRODUKSI</v>
      </c>
      <c r="C704" s="0" t="n">
        <f aca="false">MOD(A704-1,Pemetaan!$B$3*Pemetaan!$B$4)</f>
        <v>702</v>
      </c>
      <c r="D704" s="0" t="n">
        <f aca="false">INT(C704/Pemetaan!$B$4)</f>
        <v>28</v>
      </c>
      <c r="E704" s="0" t="n">
        <f aca="false">MOD(C704,Pemetaan!$B$4)</f>
        <v>2</v>
      </c>
      <c r="F704" s="0" t="n">
        <f aca="false">IF(B704="PRODUKSI",Pemetaan!$B$5,Pemetaan!$B$6)</f>
        <v>5</v>
      </c>
      <c r="G704" s="0" t="n">
        <f aca="false">F704+2+D704</f>
        <v>35</v>
      </c>
      <c r="H704" s="0" t="n">
        <f aca="false">Pemetaan!$B$2+E704</f>
        <v>7</v>
      </c>
      <c r="I704" s="0" t="str">
        <f aca="false">INDEX(Laporan!$A$1:$AZ$300,G704,1)</f>
        <v>Mixing</v>
      </c>
      <c r="J704" s="0" t="str">
        <f aca="false">INDEX(Laporan!$A$1:$AZ$300,G704,2)</f>
        <v>600 ml</v>
      </c>
      <c r="K704" s="0" t="str">
        <f aca="false">INDEX(Laporan!$A$1:$AZ$300,G704,3)</f>
        <v>Shift 2</v>
      </c>
      <c r="L704" s="0" t="n">
        <f aca="false">INDEX(Laporan!$A$1:$AZ$300,G704,4)</f>
        <v>2</v>
      </c>
      <c r="M704" s="1" t="n">
        <f aca="false">DATE(Pemetaan!$B$1,VALUE(RIGHT(INDEX(Laporan!$A$1:$AZ$300,F704+1,H704),2)),VALUE(LEFT(INDEX(Laporan!$A$1:$AZ$300,F704+1,H704),2)))</f>
        <v>46085</v>
      </c>
      <c r="N704" s="0" t="n">
        <f aca="false">INDEX(Laporan!$A$1:$AZ$300,G704,H704)</f>
        <v>2953</v>
      </c>
      <c r="O704" s="0" t="n">
        <f aca="false">IF(N704="","",IFERROR(VALUE(SUBSTITUTE(SUBSTITUTE(N704," btl",""),".","")),""))</f>
        <v>2953</v>
      </c>
      <c r="P704" s="0" t="str">
        <f aca="false">IF(B704="PRODUKSI","produced","reject")</f>
        <v>produced</v>
      </c>
    </row>
    <row r="705" customFormat="false" ht="15" hidden="false" customHeight="false" outlineLevel="0" collapsed="false">
      <c r="A705" s="0" t="n">
        <v>704</v>
      </c>
      <c r="B705" s="0" t="str">
        <f aca="false">IF(A705&lt;=36*25,"PRODUKSI","REJECT")</f>
        <v>PRODUKSI</v>
      </c>
      <c r="C705" s="0" t="n">
        <f aca="false">MOD(A705-1,Pemetaan!$B$3*Pemetaan!$B$4)</f>
        <v>703</v>
      </c>
      <c r="D705" s="0" t="n">
        <f aca="false">INT(C705/Pemetaan!$B$4)</f>
        <v>28</v>
      </c>
      <c r="E705" s="0" t="n">
        <f aca="false">MOD(C705,Pemetaan!$B$4)</f>
        <v>3</v>
      </c>
      <c r="F705" s="0" t="n">
        <f aca="false">IF(B705="PRODUKSI",Pemetaan!$B$5,Pemetaan!$B$6)</f>
        <v>5</v>
      </c>
      <c r="G705" s="0" t="n">
        <f aca="false">F705+2+D705</f>
        <v>35</v>
      </c>
      <c r="H705" s="0" t="n">
        <f aca="false">Pemetaan!$B$2+E705</f>
        <v>8</v>
      </c>
      <c r="I705" s="0" t="str">
        <f aca="false">INDEX(Laporan!$A$1:$AZ$300,G705,1)</f>
        <v>Mixing</v>
      </c>
      <c r="J705" s="0" t="str">
        <f aca="false">INDEX(Laporan!$A$1:$AZ$300,G705,2)</f>
        <v>600 ml</v>
      </c>
      <c r="K705" s="0" t="str">
        <f aca="false">INDEX(Laporan!$A$1:$AZ$300,G705,3)</f>
        <v>Shift 2</v>
      </c>
      <c r="L705" s="0" t="n">
        <f aca="false">INDEX(Laporan!$A$1:$AZ$300,G705,4)</f>
        <v>2</v>
      </c>
      <c r="M705" s="1" t="n">
        <f aca="false">DATE(Pemetaan!$B$1,VALUE(RIGHT(INDEX(Laporan!$A$1:$AZ$300,F705+1,H705),2)),VALUE(LEFT(INDEX(Laporan!$A$1:$AZ$300,F705+1,H705),2)))</f>
        <v>46086</v>
      </c>
      <c r="N705" s="0" t="n">
        <f aca="false">INDEX(Laporan!$A$1:$AZ$300,G705,H705)</f>
        <v>2452</v>
      </c>
      <c r="O705" s="0" t="n">
        <f aca="false">IF(N705="","",IFERROR(VALUE(SUBSTITUTE(SUBSTITUTE(N705," btl",""),".","")),""))</f>
        <v>2452</v>
      </c>
      <c r="P705" s="0" t="str">
        <f aca="false">IF(B705="PRODUKSI","produced","reject")</f>
        <v>produced</v>
      </c>
    </row>
    <row r="706" customFormat="false" ht="15" hidden="false" customHeight="false" outlineLevel="0" collapsed="false">
      <c r="A706" s="0" t="n">
        <v>705</v>
      </c>
      <c r="B706" s="0" t="str">
        <f aca="false">IF(A706&lt;=36*25,"PRODUKSI","REJECT")</f>
        <v>PRODUKSI</v>
      </c>
      <c r="C706" s="0" t="n">
        <f aca="false">MOD(A706-1,Pemetaan!$B$3*Pemetaan!$B$4)</f>
        <v>704</v>
      </c>
      <c r="D706" s="0" t="n">
        <f aca="false">INT(C706/Pemetaan!$B$4)</f>
        <v>28</v>
      </c>
      <c r="E706" s="0" t="n">
        <f aca="false">MOD(C706,Pemetaan!$B$4)</f>
        <v>4</v>
      </c>
      <c r="F706" s="0" t="n">
        <f aca="false">IF(B706="PRODUKSI",Pemetaan!$B$5,Pemetaan!$B$6)</f>
        <v>5</v>
      </c>
      <c r="G706" s="0" t="n">
        <f aca="false">F706+2+D706</f>
        <v>35</v>
      </c>
      <c r="H706" s="0" t="n">
        <f aca="false">Pemetaan!$B$2+E706</f>
        <v>9</v>
      </c>
      <c r="I706" s="0" t="str">
        <f aca="false">INDEX(Laporan!$A$1:$AZ$300,G706,1)</f>
        <v>Mixing</v>
      </c>
      <c r="J706" s="0" t="str">
        <f aca="false">INDEX(Laporan!$A$1:$AZ$300,G706,2)</f>
        <v>600 ml</v>
      </c>
      <c r="K706" s="0" t="str">
        <f aca="false">INDEX(Laporan!$A$1:$AZ$300,G706,3)</f>
        <v>Shift 2</v>
      </c>
      <c r="L706" s="0" t="n">
        <f aca="false">INDEX(Laporan!$A$1:$AZ$300,G706,4)</f>
        <v>2</v>
      </c>
      <c r="M706" s="1" t="n">
        <f aca="false">DATE(Pemetaan!$B$1,VALUE(RIGHT(INDEX(Laporan!$A$1:$AZ$300,F706+1,H706),2)),VALUE(LEFT(INDEX(Laporan!$A$1:$AZ$300,F706+1,H706),2)))</f>
        <v>46087</v>
      </c>
      <c r="N706" s="0" t="n">
        <f aca="false">INDEX(Laporan!$A$1:$AZ$300,G706,H706)</f>
        <v>2516</v>
      </c>
      <c r="O706" s="0" t="n">
        <f aca="false">IF(N706="","",IFERROR(VALUE(SUBSTITUTE(SUBSTITUTE(N706," btl",""),".","")),""))</f>
        <v>2516</v>
      </c>
      <c r="P706" s="0" t="str">
        <f aca="false">IF(B706="PRODUKSI","produced","reject")</f>
        <v>produced</v>
      </c>
    </row>
    <row r="707" customFormat="false" ht="15" hidden="false" customHeight="false" outlineLevel="0" collapsed="false">
      <c r="A707" s="0" t="n">
        <v>706</v>
      </c>
      <c r="B707" s="0" t="str">
        <f aca="false">IF(A707&lt;=36*25,"PRODUKSI","REJECT")</f>
        <v>PRODUKSI</v>
      </c>
      <c r="C707" s="0" t="n">
        <f aca="false">MOD(A707-1,Pemetaan!$B$3*Pemetaan!$B$4)</f>
        <v>705</v>
      </c>
      <c r="D707" s="0" t="n">
        <f aca="false">INT(C707/Pemetaan!$B$4)</f>
        <v>28</v>
      </c>
      <c r="E707" s="0" t="n">
        <f aca="false">MOD(C707,Pemetaan!$B$4)</f>
        <v>5</v>
      </c>
      <c r="F707" s="0" t="n">
        <f aca="false">IF(B707="PRODUKSI",Pemetaan!$B$5,Pemetaan!$B$6)</f>
        <v>5</v>
      </c>
      <c r="G707" s="0" t="n">
        <f aca="false">F707+2+D707</f>
        <v>35</v>
      </c>
      <c r="H707" s="0" t="n">
        <f aca="false">Pemetaan!$B$2+E707</f>
        <v>10</v>
      </c>
      <c r="I707" s="0" t="str">
        <f aca="false">INDEX(Laporan!$A$1:$AZ$300,G707,1)</f>
        <v>Mixing</v>
      </c>
      <c r="J707" s="0" t="str">
        <f aca="false">INDEX(Laporan!$A$1:$AZ$300,G707,2)</f>
        <v>600 ml</v>
      </c>
      <c r="K707" s="0" t="str">
        <f aca="false">INDEX(Laporan!$A$1:$AZ$300,G707,3)</f>
        <v>Shift 2</v>
      </c>
      <c r="L707" s="0" t="n">
        <f aca="false">INDEX(Laporan!$A$1:$AZ$300,G707,4)</f>
        <v>2</v>
      </c>
      <c r="M707" s="1" t="n">
        <f aca="false">DATE(Pemetaan!$B$1,VALUE(RIGHT(INDEX(Laporan!$A$1:$AZ$300,F707+1,H707),2)),VALUE(LEFT(INDEX(Laporan!$A$1:$AZ$300,F707+1,H707),2)))</f>
        <v>46090</v>
      </c>
      <c r="N707" s="0" t="n">
        <f aca="false">INDEX(Laporan!$A$1:$AZ$300,G707,H707)</f>
        <v>2828</v>
      </c>
      <c r="O707" s="0" t="n">
        <f aca="false">IF(N707="","",IFERROR(VALUE(SUBSTITUTE(SUBSTITUTE(N707," btl",""),".","")),""))</f>
        <v>2828</v>
      </c>
      <c r="P707" s="0" t="str">
        <f aca="false">IF(B707="PRODUKSI","produced","reject")</f>
        <v>produced</v>
      </c>
    </row>
    <row r="708" customFormat="false" ht="15" hidden="false" customHeight="false" outlineLevel="0" collapsed="false">
      <c r="A708" s="0" t="n">
        <v>707</v>
      </c>
      <c r="B708" s="0" t="str">
        <f aca="false">IF(A708&lt;=36*25,"PRODUKSI","REJECT")</f>
        <v>PRODUKSI</v>
      </c>
      <c r="C708" s="0" t="n">
        <f aca="false">MOD(A708-1,Pemetaan!$B$3*Pemetaan!$B$4)</f>
        <v>706</v>
      </c>
      <c r="D708" s="0" t="n">
        <f aca="false">INT(C708/Pemetaan!$B$4)</f>
        <v>28</v>
      </c>
      <c r="E708" s="0" t="n">
        <f aca="false">MOD(C708,Pemetaan!$B$4)</f>
        <v>6</v>
      </c>
      <c r="F708" s="0" t="n">
        <f aca="false">IF(B708="PRODUKSI",Pemetaan!$B$5,Pemetaan!$B$6)</f>
        <v>5</v>
      </c>
      <c r="G708" s="0" t="n">
        <f aca="false">F708+2+D708</f>
        <v>35</v>
      </c>
      <c r="H708" s="0" t="n">
        <f aca="false">Pemetaan!$B$2+E708</f>
        <v>11</v>
      </c>
      <c r="I708" s="0" t="str">
        <f aca="false">INDEX(Laporan!$A$1:$AZ$300,G708,1)</f>
        <v>Mixing</v>
      </c>
      <c r="J708" s="0" t="str">
        <f aca="false">INDEX(Laporan!$A$1:$AZ$300,G708,2)</f>
        <v>600 ml</v>
      </c>
      <c r="K708" s="0" t="str">
        <f aca="false">INDEX(Laporan!$A$1:$AZ$300,G708,3)</f>
        <v>Shift 2</v>
      </c>
      <c r="L708" s="0" t="n">
        <f aca="false">INDEX(Laporan!$A$1:$AZ$300,G708,4)</f>
        <v>2</v>
      </c>
      <c r="M708" s="1" t="n">
        <f aca="false">DATE(Pemetaan!$B$1,VALUE(RIGHT(INDEX(Laporan!$A$1:$AZ$300,F708+1,H708),2)),VALUE(LEFT(INDEX(Laporan!$A$1:$AZ$300,F708+1,H708),2)))</f>
        <v>46091</v>
      </c>
      <c r="N708" s="0" t="n">
        <f aca="false">INDEX(Laporan!$A$1:$AZ$300,G708,H708)</f>
        <v>2814</v>
      </c>
      <c r="O708" s="0" t="n">
        <f aca="false">IF(N708="","",IFERROR(VALUE(SUBSTITUTE(SUBSTITUTE(N708," btl",""),".","")),""))</f>
        <v>2814</v>
      </c>
      <c r="P708" s="0" t="str">
        <f aca="false">IF(B708="PRODUKSI","produced","reject")</f>
        <v>produced</v>
      </c>
    </row>
    <row r="709" customFormat="false" ht="15" hidden="false" customHeight="false" outlineLevel="0" collapsed="false">
      <c r="A709" s="0" t="n">
        <v>708</v>
      </c>
      <c r="B709" s="0" t="str">
        <f aca="false">IF(A709&lt;=36*25,"PRODUKSI","REJECT")</f>
        <v>PRODUKSI</v>
      </c>
      <c r="C709" s="0" t="n">
        <f aca="false">MOD(A709-1,Pemetaan!$B$3*Pemetaan!$B$4)</f>
        <v>707</v>
      </c>
      <c r="D709" s="0" t="n">
        <f aca="false">INT(C709/Pemetaan!$B$4)</f>
        <v>28</v>
      </c>
      <c r="E709" s="0" t="n">
        <f aca="false">MOD(C709,Pemetaan!$B$4)</f>
        <v>7</v>
      </c>
      <c r="F709" s="0" t="n">
        <f aca="false">IF(B709="PRODUKSI",Pemetaan!$B$5,Pemetaan!$B$6)</f>
        <v>5</v>
      </c>
      <c r="G709" s="0" t="n">
        <f aca="false">F709+2+D709</f>
        <v>35</v>
      </c>
      <c r="H709" s="0" t="n">
        <f aca="false">Pemetaan!$B$2+E709</f>
        <v>12</v>
      </c>
      <c r="I709" s="0" t="str">
        <f aca="false">INDEX(Laporan!$A$1:$AZ$300,G709,1)</f>
        <v>Mixing</v>
      </c>
      <c r="J709" s="0" t="str">
        <f aca="false">INDEX(Laporan!$A$1:$AZ$300,G709,2)</f>
        <v>600 ml</v>
      </c>
      <c r="K709" s="0" t="str">
        <f aca="false">INDEX(Laporan!$A$1:$AZ$300,G709,3)</f>
        <v>Shift 2</v>
      </c>
      <c r="L709" s="0" t="n">
        <f aca="false">INDEX(Laporan!$A$1:$AZ$300,G709,4)</f>
        <v>2</v>
      </c>
      <c r="M709" s="1" t="n">
        <f aca="false">DATE(Pemetaan!$B$1,VALUE(RIGHT(INDEX(Laporan!$A$1:$AZ$300,F709+1,H709),2)),VALUE(LEFT(INDEX(Laporan!$A$1:$AZ$300,F709+1,H709),2)))</f>
        <v>46092</v>
      </c>
      <c r="N709" s="0" t="n">
        <f aca="false">INDEX(Laporan!$A$1:$AZ$300,G709,H709)</f>
        <v>3031</v>
      </c>
      <c r="O709" s="0" t="n">
        <f aca="false">IF(N709="","",IFERROR(VALUE(SUBSTITUTE(SUBSTITUTE(N709," btl",""),".","")),""))</f>
        <v>3031</v>
      </c>
      <c r="P709" s="0" t="str">
        <f aca="false">IF(B709="PRODUKSI","produced","reject")</f>
        <v>produced</v>
      </c>
    </row>
    <row r="710" customFormat="false" ht="15" hidden="false" customHeight="false" outlineLevel="0" collapsed="false">
      <c r="A710" s="0" t="n">
        <v>709</v>
      </c>
      <c r="B710" s="0" t="str">
        <f aca="false">IF(A710&lt;=36*25,"PRODUKSI","REJECT")</f>
        <v>PRODUKSI</v>
      </c>
      <c r="C710" s="0" t="n">
        <f aca="false">MOD(A710-1,Pemetaan!$B$3*Pemetaan!$B$4)</f>
        <v>708</v>
      </c>
      <c r="D710" s="0" t="n">
        <f aca="false">INT(C710/Pemetaan!$B$4)</f>
        <v>28</v>
      </c>
      <c r="E710" s="0" t="n">
        <f aca="false">MOD(C710,Pemetaan!$B$4)</f>
        <v>8</v>
      </c>
      <c r="F710" s="0" t="n">
        <f aca="false">IF(B710="PRODUKSI",Pemetaan!$B$5,Pemetaan!$B$6)</f>
        <v>5</v>
      </c>
      <c r="G710" s="0" t="n">
        <f aca="false">F710+2+D710</f>
        <v>35</v>
      </c>
      <c r="H710" s="0" t="n">
        <f aca="false">Pemetaan!$B$2+E710</f>
        <v>13</v>
      </c>
      <c r="I710" s="0" t="str">
        <f aca="false">INDEX(Laporan!$A$1:$AZ$300,G710,1)</f>
        <v>Mixing</v>
      </c>
      <c r="J710" s="0" t="str">
        <f aca="false">INDEX(Laporan!$A$1:$AZ$300,G710,2)</f>
        <v>600 ml</v>
      </c>
      <c r="K710" s="0" t="str">
        <f aca="false">INDEX(Laporan!$A$1:$AZ$300,G710,3)</f>
        <v>Shift 2</v>
      </c>
      <c r="L710" s="0" t="n">
        <f aca="false">INDEX(Laporan!$A$1:$AZ$300,G710,4)</f>
        <v>2</v>
      </c>
      <c r="M710" s="1" t="n">
        <f aca="false">DATE(Pemetaan!$B$1,VALUE(RIGHT(INDEX(Laporan!$A$1:$AZ$300,F710+1,H710),2)),VALUE(LEFT(INDEX(Laporan!$A$1:$AZ$300,F710+1,H710),2)))</f>
        <v>46093</v>
      </c>
      <c r="N710" s="0" t="str">
        <f aca="false">INDEX(Laporan!$A$1:$AZ$300,G710,H710)</f>
        <v>-</v>
      </c>
      <c r="O710" s="0" t="str">
        <f aca="false">IF(N710="","",IFERROR(VALUE(SUBSTITUTE(SUBSTITUTE(N710," btl",""),".","")),""))</f>
        <v/>
      </c>
      <c r="P710" s="0" t="str">
        <f aca="false">IF(B710="PRODUKSI","produced","reject")</f>
        <v>produced</v>
      </c>
    </row>
    <row r="711" customFormat="false" ht="15" hidden="false" customHeight="false" outlineLevel="0" collapsed="false">
      <c r="A711" s="0" t="n">
        <v>710</v>
      </c>
      <c r="B711" s="0" t="str">
        <f aca="false">IF(A711&lt;=36*25,"PRODUKSI","REJECT")</f>
        <v>PRODUKSI</v>
      </c>
      <c r="C711" s="0" t="n">
        <f aca="false">MOD(A711-1,Pemetaan!$B$3*Pemetaan!$B$4)</f>
        <v>709</v>
      </c>
      <c r="D711" s="0" t="n">
        <f aca="false">INT(C711/Pemetaan!$B$4)</f>
        <v>28</v>
      </c>
      <c r="E711" s="0" t="n">
        <f aca="false">MOD(C711,Pemetaan!$B$4)</f>
        <v>9</v>
      </c>
      <c r="F711" s="0" t="n">
        <f aca="false">IF(B711="PRODUKSI",Pemetaan!$B$5,Pemetaan!$B$6)</f>
        <v>5</v>
      </c>
      <c r="G711" s="0" t="n">
        <f aca="false">F711+2+D711</f>
        <v>35</v>
      </c>
      <c r="H711" s="0" t="n">
        <f aca="false">Pemetaan!$B$2+E711</f>
        <v>14</v>
      </c>
      <c r="I711" s="0" t="str">
        <f aca="false">INDEX(Laporan!$A$1:$AZ$300,G711,1)</f>
        <v>Mixing</v>
      </c>
      <c r="J711" s="0" t="str">
        <f aca="false">INDEX(Laporan!$A$1:$AZ$300,G711,2)</f>
        <v>600 ml</v>
      </c>
      <c r="K711" s="0" t="str">
        <f aca="false">INDEX(Laporan!$A$1:$AZ$300,G711,3)</f>
        <v>Shift 2</v>
      </c>
      <c r="L711" s="0" t="n">
        <f aca="false">INDEX(Laporan!$A$1:$AZ$300,G711,4)</f>
        <v>2</v>
      </c>
      <c r="M711" s="1" t="n">
        <f aca="false">DATE(Pemetaan!$B$1,VALUE(RIGHT(INDEX(Laporan!$A$1:$AZ$300,F711+1,H711),2)),VALUE(LEFT(INDEX(Laporan!$A$1:$AZ$300,F711+1,H711),2)))</f>
        <v>46094</v>
      </c>
      <c r="N711" s="0" t="n">
        <f aca="false">INDEX(Laporan!$A$1:$AZ$300,G711,H711)</f>
        <v>2634</v>
      </c>
      <c r="O711" s="0" t="n">
        <f aca="false">IF(N711="","",IFERROR(VALUE(SUBSTITUTE(SUBSTITUTE(N711," btl",""),".","")),""))</f>
        <v>2634</v>
      </c>
      <c r="P711" s="0" t="str">
        <f aca="false">IF(B711="PRODUKSI","produced","reject")</f>
        <v>produced</v>
      </c>
    </row>
    <row r="712" customFormat="false" ht="15" hidden="false" customHeight="false" outlineLevel="0" collapsed="false">
      <c r="A712" s="0" t="n">
        <v>711</v>
      </c>
      <c r="B712" s="0" t="str">
        <f aca="false">IF(A712&lt;=36*25,"PRODUKSI","REJECT")</f>
        <v>PRODUKSI</v>
      </c>
      <c r="C712" s="0" t="n">
        <f aca="false">MOD(A712-1,Pemetaan!$B$3*Pemetaan!$B$4)</f>
        <v>710</v>
      </c>
      <c r="D712" s="0" t="n">
        <f aca="false">INT(C712/Pemetaan!$B$4)</f>
        <v>28</v>
      </c>
      <c r="E712" s="0" t="n">
        <f aca="false">MOD(C712,Pemetaan!$B$4)</f>
        <v>10</v>
      </c>
      <c r="F712" s="0" t="n">
        <f aca="false">IF(B712="PRODUKSI",Pemetaan!$B$5,Pemetaan!$B$6)</f>
        <v>5</v>
      </c>
      <c r="G712" s="0" t="n">
        <f aca="false">F712+2+D712</f>
        <v>35</v>
      </c>
      <c r="H712" s="0" t="n">
        <f aca="false">Pemetaan!$B$2+E712</f>
        <v>15</v>
      </c>
      <c r="I712" s="0" t="str">
        <f aca="false">INDEX(Laporan!$A$1:$AZ$300,G712,1)</f>
        <v>Mixing</v>
      </c>
      <c r="J712" s="0" t="str">
        <f aca="false">INDEX(Laporan!$A$1:$AZ$300,G712,2)</f>
        <v>600 ml</v>
      </c>
      <c r="K712" s="0" t="str">
        <f aca="false">INDEX(Laporan!$A$1:$AZ$300,G712,3)</f>
        <v>Shift 2</v>
      </c>
      <c r="L712" s="0" t="n">
        <f aca="false">INDEX(Laporan!$A$1:$AZ$300,G712,4)</f>
        <v>2</v>
      </c>
      <c r="M712" s="1" t="n">
        <f aca="false">DATE(Pemetaan!$B$1,VALUE(RIGHT(INDEX(Laporan!$A$1:$AZ$300,F712+1,H712),2)),VALUE(LEFT(INDEX(Laporan!$A$1:$AZ$300,F712+1,H712),2)))</f>
        <v>46097</v>
      </c>
      <c r="N712" s="0" t="n">
        <f aca="false">INDEX(Laporan!$A$1:$AZ$300,G712,H712)</f>
        <v>2692</v>
      </c>
      <c r="O712" s="0" t="n">
        <f aca="false">IF(N712="","",IFERROR(VALUE(SUBSTITUTE(SUBSTITUTE(N712," btl",""),".","")),""))</f>
        <v>2692</v>
      </c>
      <c r="P712" s="0" t="str">
        <f aca="false">IF(B712="PRODUKSI","produced","reject")</f>
        <v>produced</v>
      </c>
    </row>
    <row r="713" customFormat="false" ht="15" hidden="false" customHeight="false" outlineLevel="0" collapsed="false">
      <c r="A713" s="0" t="n">
        <v>712</v>
      </c>
      <c r="B713" s="0" t="str">
        <f aca="false">IF(A713&lt;=36*25,"PRODUKSI","REJECT")</f>
        <v>PRODUKSI</v>
      </c>
      <c r="C713" s="0" t="n">
        <f aca="false">MOD(A713-1,Pemetaan!$B$3*Pemetaan!$B$4)</f>
        <v>711</v>
      </c>
      <c r="D713" s="0" t="n">
        <f aca="false">INT(C713/Pemetaan!$B$4)</f>
        <v>28</v>
      </c>
      <c r="E713" s="0" t="n">
        <f aca="false">MOD(C713,Pemetaan!$B$4)</f>
        <v>11</v>
      </c>
      <c r="F713" s="0" t="n">
        <f aca="false">IF(B713="PRODUKSI",Pemetaan!$B$5,Pemetaan!$B$6)</f>
        <v>5</v>
      </c>
      <c r="G713" s="0" t="n">
        <f aca="false">F713+2+D713</f>
        <v>35</v>
      </c>
      <c r="H713" s="0" t="n">
        <f aca="false">Pemetaan!$B$2+E713</f>
        <v>16</v>
      </c>
      <c r="I713" s="0" t="str">
        <f aca="false">INDEX(Laporan!$A$1:$AZ$300,G713,1)</f>
        <v>Mixing</v>
      </c>
      <c r="J713" s="0" t="str">
        <f aca="false">INDEX(Laporan!$A$1:$AZ$300,G713,2)</f>
        <v>600 ml</v>
      </c>
      <c r="K713" s="0" t="str">
        <f aca="false">INDEX(Laporan!$A$1:$AZ$300,G713,3)</f>
        <v>Shift 2</v>
      </c>
      <c r="L713" s="0" t="n">
        <f aca="false">INDEX(Laporan!$A$1:$AZ$300,G713,4)</f>
        <v>2</v>
      </c>
      <c r="M713" s="1" t="n">
        <f aca="false">DATE(Pemetaan!$B$1,VALUE(RIGHT(INDEX(Laporan!$A$1:$AZ$300,F713+1,H713),2)),VALUE(LEFT(INDEX(Laporan!$A$1:$AZ$300,F713+1,H713),2)))</f>
        <v>46098</v>
      </c>
      <c r="N713" s="0" t="n">
        <f aca="false">INDEX(Laporan!$A$1:$AZ$300,G713,H713)</f>
        <v>2503</v>
      </c>
      <c r="O713" s="0" t="n">
        <f aca="false">IF(N713="","",IFERROR(VALUE(SUBSTITUTE(SUBSTITUTE(N713," btl",""),".","")),""))</f>
        <v>2503</v>
      </c>
      <c r="P713" s="0" t="str">
        <f aca="false">IF(B713="PRODUKSI","produced","reject")</f>
        <v>produced</v>
      </c>
    </row>
    <row r="714" customFormat="false" ht="15" hidden="false" customHeight="false" outlineLevel="0" collapsed="false">
      <c r="A714" s="0" t="n">
        <v>713</v>
      </c>
      <c r="B714" s="0" t="str">
        <f aca="false">IF(A714&lt;=36*25,"PRODUKSI","REJECT")</f>
        <v>PRODUKSI</v>
      </c>
      <c r="C714" s="0" t="n">
        <f aca="false">MOD(A714-1,Pemetaan!$B$3*Pemetaan!$B$4)</f>
        <v>712</v>
      </c>
      <c r="D714" s="0" t="n">
        <f aca="false">INT(C714/Pemetaan!$B$4)</f>
        <v>28</v>
      </c>
      <c r="E714" s="0" t="n">
        <f aca="false">MOD(C714,Pemetaan!$B$4)</f>
        <v>12</v>
      </c>
      <c r="F714" s="0" t="n">
        <f aca="false">IF(B714="PRODUKSI",Pemetaan!$B$5,Pemetaan!$B$6)</f>
        <v>5</v>
      </c>
      <c r="G714" s="0" t="n">
        <f aca="false">F714+2+D714</f>
        <v>35</v>
      </c>
      <c r="H714" s="0" t="n">
        <f aca="false">Pemetaan!$B$2+E714</f>
        <v>17</v>
      </c>
      <c r="I714" s="0" t="str">
        <f aca="false">INDEX(Laporan!$A$1:$AZ$300,G714,1)</f>
        <v>Mixing</v>
      </c>
      <c r="J714" s="0" t="str">
        <f aca="false">INDEX(Laporan!$A$1:$AZ$300,G714,2)</f>
        <v>600 ml</v>
      </c>
      <c r="K714" s="0" t="str">
        <f aca="false">INDEX(Laporan!$A$1:$AZ$300,G714,3)</f>
        <v>Shift 2</v>
      </c>
      <c r="L714" s="0" t="n">
        <f aca="false">INDEX(Laporan!$A$1:$AZ$300,G714,4)</f>
        <v>2</v>
      </c>
      <c r="M714" s="1" t="n">
        <f aca="false">DATE(Pemetaan!$B$1,VALUE(RIGHT(INDEX(Laporan!$A$1:$AZ$300,F714+1,H714),2)),VALUE(LEFT(INDEX(Laporan!$A$1:$AZ$300,F714+1,H714),2)))</f>
        <v>46099</v>
      </c>
      <c r="N714" s="0" t="n">
        <f aca="false">INDEX(Laporan!$A$1:$AZ$300,G714,H714)</f>
        <v>2877</v>
      </c>
      <c r="O714" s="0" t="n">
        <f aca="false">IF(N714="","",IFERROR(VALUE(SUBSTITUTE(SUBSTITUTE(N714," btl",""),".","")),""))</f>
        <v>2877</v>
      </c>
      <c r="P714" s="0" t="str">
        <f aca="false">IF(B714="PRODUKSI","produced","reject")</f>
        <v>produced</v>
      </c>
    </row>
    <row r="715" customFormat="false" ht="15" hidden="false" customHeight="false" outlineLevel="0" collapsed="false">
      <c r="A715" s="0" t="n">
        <v>714</v>
      </c>
      <c r="B715" s="0" t="str">
        <f aca="false">IF(A715&lt;=36*25,"PRODUKSI","REJECT")</f>
        <v>PRODUKSI</v>
      </c>
      <c r="C715" s="0" t="n">
        <f aca="false">MOD(A715-1,Pemetaan!$B$3*Pemetaan!$B$4)</f>
        <v>713</v>
      </c>
      <c r="D715" s="0" t="n">
        <f aca="false">INT(C715/Pemetaan!$B$4)</f>
        <v>28</v>
      </c>
      <c r="E715" s="0" t="n">
        <f aca="false">MOD(C715,Pemetaan!$B$4)</f>
        <v>13</v>
      </c>
      <c r="F715" s="0" t="n">
        <f aca="false">IF(B715="PRODUKSI",Pemetaan!$B$5,Pemetaan!$B$6)</f>
        <v>5</v>
      </c>
      <c r="G715" s="0" t="n">
        <f aca="false">F715+2+D715</f>
        <v>35</v>
      </c>
      <c r="H715" s="0" t="n">
        <f aca="false">Pemetaan!$B$2+E715</f>
        <v>18</v>
      </c>
      <c r="I715" s="0" t="str">
        <f aca="false">INDEX(Laporan!$A$1:$AZ$300,G715,1)</f>
        <v>Mixing</v>
      </c>
      <c r="J715" s="0" t="str">
        <f aca="false">INDEX(Laporan!$A$1:$AZ$300,G715,2)</f>
        <v>600 ml</v>
      </c>
      <c r="K715" s="0" t="str">
        <f aca="false">INDEX(Laporan!$A$1:$AZ$300,G715,3)</f>
        <v>Shift 2</v>
      </c>
      <c r="L715" s="0" t="n">
        <f aca="false">INDEX(Laporan!$A$1:$AZ$300,G715,4)</f>
        <v>2</v>
      </c>
      <c r="M715" s="1" t="n">
        <f aca="false">DATE(Pemetaan!$B$1,VALUE(RIGHT(INDEX(Laporan!$A$1:$AZ$300,F715+1,H715),2)),VALUE(LEFT(INDEX(Laporan!$A$1:$AZ$300,F715+1,H715),2)))</f>
        <v>46100</v>
      </c>
      <c r="N715" s="0" t="n">
        <f aca="false">INDEX(Laporan!$A$1:$AZ$300,G715,H715)</f>
        <v>2678</v>
      </c>
      <c r="O715" s="0" t="n">
        <f aca="false">IF(N715="","",IFERROR(VALUE(SUBSTITUTE(SUBSTITUTE(N715," btl",""),".","")),""))</f>
        <v>2678</v>
      </c>
      <c r="P715" s="0" t="str">
        <f aca="false">IF(B715="PRODUKSI","produced","reject")</f>
        <v>produced</v>
      </c>
    </row>
    <row r="716" customFormat="false" ht="15" hidden="false" customHeight="false" outlineLevel="0" collapsed="false">
      <c r="A716" s="0" t="n">
        <v>715</v>
      </c>
      <c r="B716" s="0" t="str">
        <f aca="false">IF(A716&lt;=36*25,"PRODUKSI","REJECT")</f>
        <v>PRODUKSI</v>
      </c>
      <c r="C716" s="0" t="n">
        <f aca="false">MOD(A716-1,Pemetaan!$B$3*Pemetaan!$B$4)</f>
        <v>714</v>
      </c>
      <c r="D716" s="0" t="n">
        <f aca="false">INT(C716/Pemetaan!$B$4)</f>
        <v>28</v>
      </c>
      <c r="E716" s="0" t="n">
        <f aca="false">MOD(C716,Pemetaan!$B$4)</f>
        <v>14</v>
      </c>
      <c r="F716" s="0" t="n">
        <f aca="false">IF(B716="PRODUKSI",Pemetaan!$B$5,Pemetaan!$B$6)</f>
        <v>5</v>
      </c>
      <c r="G716" s="0" t="n">
        <f aca="false">F716+2+D716</f>
        <v>35</v>
      </c>
      <c r="H716" s="0" t="n">
        <f aca="false">Pemetaan!$B$2+E716</f>
        <v>19</v>
      </c>
      <c r="I716" s="0" t="str">
        <f aca="false">INDEX(Laporan!$A$1:$AZ$300,G716,1)</f>
        <v>Mixing</v>
      </c>
      <c r="J716" s="0" t="str">
        <f aca="false">INDEX(Laporan!$A$1:$AZ$300,G716,2)</f>
        <v>600 ml</v>
      </c>
      <c r="K716" s="0" t="str">
        <f aca="false">INDEX(Laporan!$A$1:$AZ$300,G716,3)</f>
        <v>Shift 2</v>
      </c>
      <c r="L716" s="0" t="n">
        <f aca="false">INDEX(Laporan!$A$1:$AZ$300,G716,4)</f>
        <v>2</v>
      </c>
      <c r="M716" s="1" t="n">
        <f aca="false">DATE(Pemetaan!$B$1,VALUE(RIGHT(INDEX(Laporan!$A$1:$AZ$300,F716+1,H716),2)),VALUE(LEFT(INDEX(Laporan!$A$1:$AZ$300,F716+1,H716),2)))</f>
        <v>46101</v>
      </c>
      <c r="N716" s="0" t="n">
        <f aca="false">INDEX(Laporan!$A$1:$AZ$300,G716,H716)</f>
        <v>2684</v>
      </c>
      <c r="O716" s="0" t="n">
        <f aca="false">IF(N716="","",IFERROR(VALUE(SUBSTITUTE(SUBSTITUTE(N716," btl",""),".","")),""))</f>
        <v>2684</v>
      </c>
      <c r="P716" s="0" t="str">
        <f aca="false">IF(B716="PRODUKSI","produced","reject")</f>
        <v>produced</v>
      </c>
    </row>
    <row r="717" customFormat="false" ht="15" hidden="false" customHeight="false" outlineLevel="0" collapsed="false">
      <c r="A717" s="0" t="n">
        <v>716</v>
      </c>
      <c r="B717" s="0" t="str">
        <f aca="false">IF(A717&lt;=36*25,"PRODUKSI","REJECT")</f>
        <v>PRODUKSI</v>
      </c>
      <c r="C717" s="0" t="n">
        <f aca="false">MOD(A717-1,Pemetaan!$B$3*Pemetaan!$B$4)</f>
        <v>715</v>
      </c>
      <c r="D717" s="0" t="n">
        <f aca="false">INT(C717/Pemetaan!$B$4)</f>
        <v>28</v>
      </c>
      <c r="E717" s="0" t="n">
        <f aca="false">MOD(C717,Pemetaan!$B$4)</f>
        <v>15</v>
      </c>
      <c r="F717" s="0" t="n">
        <f aca="false">IF(B717="PRODUKSI",Pemetaan!$B$5,Pemetaan!$B$6)</f>
        <v>5</v>
      </c>
      <c r="G717" s="0" t="n">
        <f aca="false">F717+2+D717</f>
        <v>35</v>
      </c>
      <c r="H717" s="0" t="n">
        <f aca="false">Pemetaan!$B$2+E717</f>
        <v>20</v>
      </c>
      <c r="I717" s="0" t="str">
        <f aca="false">INDEX(Laporan!$A$1:$AZ$300,G717,1)</f>
        <v>Mixing</v>
      </c>
      <c r="J717" s="0" t="str">
        <f aca="false">INDEX(Laporan!$A$1:$AZ$300,G717,2)</f>
        <v>600 ml</v>
      </c>
      <c r="K717" s="0" t="str">
        <f aca="false">INDEX(Laporan!$A$1:$AZ$300,G717,3)</f>
        <v>Shift 2</v>
      </c>
      <c r="L717" s="0" t="n">
        <f aca="false">INDEX(Laporan!$A$1:$AZ$300,G717,4)</f>
        <v>2</v>
      </c>
      <c r="M717" s="1" t="n">
        <f aca="false">DATE(Pemetaan!$B$1,VALUE(RIGHT(INDEX(Laporan!$A$1:$AZ$300,F717+1,H717),2)),VALUE(LEFT(INDEX(Laporan!$A$1:$AZ$300,F717+1,H717),2)))</f>
        <v>46104</v>
      </c>
      <c r="N717" s="0" t="n">
        <f aca="false">INDEX(Laporan!$A$1:$AZ$300,G717,H717)</f>
        <v>2814</v>
      </c>
      <c r="O717" s="0" t="n">
        <f aca="false">IF(N717="","",IFERROR(VALUE(SUBSTITUTE(SUBSTITUTE(N717," btl",""),".","")),""))</f>
        <v>2814</v>
      </c>
      <c r="P717" s="0" t="str">
        <f aca="false">IF(B717="PRODUKSI","produced","reject")</f>
        <v>produced</v>
      </c>
    </row>
    <row r="718" customFormat="false" ht="15" hidden="false" customHeight="false" outlineLevel="0" collapsed="false">
      <c r="A718" s="0" t="n">
        <v>717</v>
      </c>
      <c r="B718" s="0" t="str">
        <f aca="false">IF(A718&lt;=36*25,"PRODUKSI","REJECT")</f>
        <v>PRODUKSI</v>
      </c>
      <c r="C718" s="0" t="n">
        <f aca="false">MOD(A718-1,Pemetaan!$B$3*Pemetaan!$B$4)</f>
        <v>716</v>
      </c>
      <c r="D718" s="0" t="n">
        <f aca="false">INT(C718/Pemetaan!$B$4)</f>
        <v>28</v>
      </c>
      <c r="E718" s="0" t="n">
        <f aca="false">MOD(C718,Pemetaan!$B$4)</f>
        <v>16</v>
      </c>
      <c r="F718" s="0" t="n">
        <f aca="false">IF(B718="PRODUKSI",Pemetaan!$B$5,Pemetaan!$B$6)</f>
        <v>5</v>
      </c>
      <c r="G718" s="0" t="n">
        <f aca="false">F718+2+D718</f>
        <v>35</v>
      </c>
      <c r="H718" s="0" t="n">
        <f aca="false">Pemetaan!$B$2+E718</f>
        <v>21</v>
      </c>
      <c r="I718" s="0" t="str">
        <f aca="false">INDEX(Laporan!$A$1:$AZ$300,G718,1)</f>
        <v>Mixing</v>
      </c>
      <c r="J718" s="0" t="str">
        <f aca="false">INDEX(Laporan!$A$1:$AZ$300,G718,2)</f>
        <v>600 ml</v>
      </c>
      <c r="K718" s="0" t="str">
        <f aca="false">INDEX(Laporan!$A$1:$AZ$300,G718,3)</f>
        <v>Shift 2</v>
      </c>
      <c r="L718" s="0" t="n">
        <f aca="false">INDEX(Laporan!$A$1:$AZ$300,G718,4)</f>
        <v>2</v>
      </c>
      <c r="M718" s="1" t="n">
        <f aca="false">DATE(Pemetaan!$B$1,VALUE(RIGHT(INDEX(Laporan!$A$1:$AZ$300,F718+1,H718),2)),VALUE(LEFT(INDEX(Laporan!$A$1:$AZ$300,F718+1,H718),2)))</f>
        <v>46105</v>
      </c>
      <c r="N718" s="0" t="n">
        <f aca="false">INDEX(Laporan!$A$1:$AZ$300,G718,H718)</f>
        <v>2825</v>
      </c>
      <c r="O718" s="0" t="n">
        <f aca="false">IF(N718="","",IFERROR(VALUE(SUBSTITUTE(SUBSTITUTE(N718," btl",""),".","")),""))</f>
        <v>2825</v>
      </c>
      <c r="P718" s="0" t="str">
        <f aca="false">IF(B718="PRODUKSI","produced","reject")</f>
        <v>produced</v>
      </c>
    </row>
    <row r="719" customFormat="false" ht="15" hidden="false" customHeight="false" outlineLevel="0" collapsed="false">
      <c r="A719" s="0" t="n">
        <v>718</v>
      </c>
      <c r="B719" s="0" t="str">
        <f aca="false">IF(A719&lt;=36*25,"PRODUKSI","REJECT")</f>
        <v>PRODUKSI</v>
      </c>
      <c r="C719" s="0" t="n">
        <f aca="false">MOD(A719-1,Pemetaan!$B$3*Pemetaan!$B$4)</f>
        <v>717</v>
      </c>
      <c r="D719" s="0" t="n">
        <f aca="false">INT(C719/Pemetaan!$B$4)</f>
        <v>28</v>
      </c>
      <c r="E719" s="0" t="n">
        <f aca="false">MOD(C719,Pemetaan!$B$4)</f>
        <v>17</v>
      </c>
      <c r="F719" s="0" t="n">
        <f aca="false">IF(B719="PRODUKSI",Pemetaan!$B$5,Pemetaan!$B$6)</f>
        <v>5</v>
      </c>
      <c r="G719" s="0" t="n">
        <f aca="false">F719+2+D719</f>
        <v>35</v>
      </c>
      <c r="H719" s="0" t="n">
        <f aca="false">Pemetaan!$B$2+E719</f>
        <v>22</v>
      </c>
      <c r="I719" s="0" t="str">
        <f aca="false">INDEX(Laporan!$A$1:$AZ$300,G719,1)</f>
        <v>Mixing</v>
      </c>
      <c r="J719" s="0" t="str">
        <f aca="false">INDEX(Laporan!$A$1:$AZ$300,G719,2)</f>
        <v>600 ml</v>
      </c>
      <c r="K719" s="0" t="str">
        <f aca="false">INDEX(Laporan!$A$1:$AZ$300,G719,3)</f>
        <v>Shift 2</v>
      </c>
      <c r="L719" s="0" t="n">
        <f aca="false">INDEX(Laporan!$A$1:$AZ$300,G719,4)</f>
        <v>2</v>
      </c>
      <c r="M719" s="1" t="n">
        <f aca="false">DATE(Pemetaan!$B$1,VALUE(RIGHT(INDEX(Laporan!$A$1:$AZ$300,F719+1,H719),2)),VALUE(LEFT(INDEX(Laporan!$A$1:$AZ$300,F719+1,H719),2)))</f>
        <v>46106</v>
      </c>
      <c r="N719" s="0" t="n">
        <f aca="false">INDEX(Laporan!$A$1:$AZ$300,G719,H719)</f>
        <v>2828</v>
      </c>
      <c r="O719" s="0" t="n">
        <f aca="false">IF(N719="","",IFERROR(VALUE(SUBSTITUTE(SUBSTITUTE(N719," btl",""),".","")),""))</f>
        <v>2828</v>
      </c>
      <c r="P719" s="0" t="str">
        <f aca="false">IF(B719="PRODUKSI","produced","reject")</f>
        <v>produced</v>
      </c>
    </row>
    <row r="720" customFormat="false" ht="15" hidden="false" customHeight="false" outlineLevel="0" collapsed="false">
      <c r="A720" s="0" t="n">
        <v>719</v>
      </c>
      <c r="B720" s="0" t="str">
        <f aca="false">IF(A720&lt;=36*25,"PRODUKSI","REJECT")</f>
        <v>PRODUKSI</v>
      </c>
      <c r="C720" s="0" t="n">
        <f aca="false">MOD(A720-1,Pemetaan!$B$3*Pemetaan!$B$4)</f>
        <v>718</v>
      </c>
      <c r="D720" s="0" t="n">
        <f aca="false">INT(C720/Pemetaan!$B$4)</f>
        <v>28</v>
      </c>
      <c r="E720" s="0" t="n">
        <f aca="false">MOD(C720,Pemetaan!$B$4)</f>
        <v>18</v>
      </c>
      <c r="F720" s="0" t="n">
        <f aca="false">IF(B720="PRODUKSI",Pemetaan!$B$5,Pemetaan!$B$6)</f>
        <v>5</v>
      </c>
      <c r="G720" s="0" t="n">
        <f aca="false">F720+2+D720</f>
        <v>35</v>
      </c>
      <c r="H720" s="0" t="n">
        <f aca="false">Pemetaan!$B$2+E720</f>
        <v>23</v>
      </c>
      <c r="I720" s="0" t="str">
        <f aca="false">INDEX(Laporan!$A$1:$AZ$300,G720,1)</f>
        <v>Mixing</v>
      </c>
      <c r="J720" s="0" t="str">
        <f aca="false">INDEX(Laporan!$A$1:$AZ$300,G720,2)</f>
        <v>600 ml</v>
      </c>
      <c r="K720" s="0" t="str">
        <f aca="false">INDEX(Laporan!$A$1:$AZ$300,G720,3)</f>
        <v>Shift 2</v>
      </c>
      <c r="L720" s="0" t="n">
        <f aca="false">INDEX(Laporan!$A$1:$AZ$300,G720,4)</f>
        <v>2</v>
      </c>
      <c r="M720" s="1" t="n">
        <f aca="false">DATE(Pemetaan!$B$1,VALUE(RIGHT(INDEX(Laporan!$A$1:$AZ$300,F720+1,H720),2)),VALUE(LEFT(INDEX(Laporan!$A$1:$AZ$300,F720+1,H720),2)))</f>
        <v>46107</v>
      </c>
      <c r="N720" s="0" t="n">
        <f aca="false">INDEX(Laporan!$A$1:$AZ$300,G720,H720)</f>
        <v>3010</v>
      </c>
      <c r="O720" s="0" t="n">
        <f aca="false">IF(N720="","",IFERROR(VALUE(SUBSTITUTE(SUBSTITUTE(N720," btl",""),".","")),""))</f>
        <v>3010</v>
      </c>
      <c r="P720" s="0" t="str">
        <f aca="false">IF(B720="PRODUKSI","produced","reject")</f>
        <v>produced</v>
      </c>
    </row>
    <row r="721" customFormat="false" ht="15" hidden="false" customHeight="false" outlineLevel="0" collapsed="false">
      <c r="A721" s="0" t="n">
        <v>720</v>
      </c>
      <c r="B721" s="0" t="str">
        <f aca="false">IF(A721&lt;=36*25,"PRODUKSI","REJECT")</f>
        <v>PRODUKSI</v>
      </c>
      <c r="C721" s="0" t="n">
        <f aca="false">MOD(A721-1,Pemetaan!$B$3*Pemetaan!$B$4)</f>
        <v>719</v>
      </c>
      <c r="D721" s="0" t="n">
        <f aca="false">INT(C721/Pemetaan!$B$4)</f>
        <v>28</v>
      </c>
      <c r="E721" s="0" t="n">
        <f aca="false">MOD(C721,Pemetaan!$B$4)</f>
        <v>19</v>
      </c>
      <c r="F721" s="0" t="n">
        <f aca="false">IF(B721="PRODUKSI",Pemetaan!$B$5,Pemetaan!$B$6)</f>
        <v>5</v>
      </c>
      <c r="G721" s="0" t="n">
        <f aca="false">F721+2+D721</f>
        <v>35</v>
      </c>
      <c r="H721" s="0" t="n">
        <f aca="false">Pemetaan!$B$2+E721</f>
        <v>24</v>
      </c>
      <c r="I721" s="0" t="str">
        <f aca="false">INDEX(Laporan!$A$1:$AZ$300,G721,1)</f>
        <v>Mixing</v>
      </c>
      <c r="J721" s="0" t="str">
        <f aca="false">INDEX(Laporan!$A$1:$AZ$300,G721,2)</f>
        <v>600 ml</v>
      </c>
      <c r="K721" s="0" t="str">
        <f aca="false">INDEX(Laporan!$A$1:$AZ$300,G721,3)</f>
        <v>Shift 2</v>
      </c>
      <c r="L721" s="0" t="n">
        <f aca="false">INDEX(Laporan!$A$1:$AZ$300,G721,4)</f>
        <v>2</v>
      </c>
      <c r="M721" s="1" t="n">
        <f aca="false">DATE(Pemetaan!$B$1,VALUE(RIGHT(INDEX(Laporan!$A$1:$AZ$300,F721+1,H721),2)),VALUE(LEFT(INDEX(Laporan!$A$1:$AZ$300,F721+1,H721),2)))</f>
        <v>46108</v>
      </c>
      <c r="N721" s="0" t="n">
        <f aca="false">INDEX(Laporan!$A$1:$AZ$300,G721,H721)</f>
        <v>3108</v>
      </c>
      <c r="O721" s="0" t="n">
        <f aca="false">IF(N721="","",IFERROR(VALUE(SUBSTITUTE(SUBSTITUTE(N721," btl",""),".","")),""))</f>
        <v>3108</v>
      </c>
      <c r="P721" s="0" t="str">
        <f aca="false">IF(B721="PRODUKSI","produced","reject")</f>
        <v>produced</v>
      </c>
    </row>
    <row r="722" customFormat="false" ht="15" hidden="false" customHeight="false" outlineLevel="0" collapsed="false">
      <c r="A722" s="0" t="n">
        <v>721</v>
      </c>
      <c r="B722" s="0" t="str">
        <f aca="false">IF(A722&lt;=36*25,"PRODUKSI","REJECT")</f>
        <v>PRODUKSI</v>
      </c>
      <c r="C722" s="0" t="n">
        <f aca="false">MOD(A722-1,Pemetaan!$B$3*Pemetaan!$B$4)</f>
        <v>720</v>
      </c>
      <c r="D722" s="0" t="n">
        <f aca="false">INT(C722/Pemetaan!$B$4)</f>
        <v>28</v>
      </c>
      <c r="E722" s="0" t="n">
        <f aca="false">MOD(C722,Pemetaan!$B$4)</f>
        <v>20</v>
      </c>
      <c r="F722" s="0" t="n">
        <f aca="false">IF(B722="PRODUKSI",Pemetaan!$B$5,Pemetaan!$B$6)</f>
        <v>5</v>
      </c>
      <c r="G722" s="0" t="n">
        <f aca="false">F722+2+D722</f>
        <v>35</v>
      </c>
      <c r="H722" s="0" t="n">
        <f aca="false">Pemetaan!$B$2+E722</f>
        <v>25</v>
      </c>
      <c r="I722" s="0" t="str">
        <f aca="false">INDEX(Laporan!$A$1:$AZ$300,G722,1)</f>
        <v>Mixing</v>
      </c>
      <c r="J722" s="0" t="str">
        <f aca="false">INDEX(Laporan!$A$1:$AZ$300,G722,2)</f>
        <v>600 ml</v>
      </c>
      <c r="K722" s="0" t="str">
        <f aca="false">INDEX(Laporan!$A$1:$AZ$300,G722,3)</f>
        <v>Shift 2</v>
      </c>
      <c r="L722" s="0" t="n">
        <f aca="false">INDEX(Laporan!$A$1:$AZ$300,G722,4)</f>
        <v>2</v>
      </c>
      <c r="M722" s="1" t="n">
        <f aca="false">DATE(Pemetaan!$B$1,VALUE(RIGHT(INDEX(Laporan!$A$1:$AZ$300,F722+1,H722),2)),VALUE(LEFT(INDEX(Laporan!$A$1:$AZ$300,F722+1,H722),2)))</f>
        <v>46111</v>
      </c>
      <c r="N722" s="0" t="n">
        <f aca="false">INDEX(Laporan!$A$1:$AZ$300,G722,H722)</f>
        <v>2541</v>
      </c>
      <c r="O722" s="0" t="n">
        <f aca="false">IF(N722="","",IFERROR(VALUE(SUBSTITUTE(SUBSTITUTE(N722," btl",""),".","")),""))</f>
        <v>2541</v>
      </c>
      <c r="P722" s="0" t="str">
        <f aca="false">IF(B722="PRODUKSI","produced","reject")</f>
        <v>produced</v>
      </c>
    </row>
    <row r="723" customFormat="false" ht="15" hidden="false" customHeight="false" outlineLevel="0" collapsed="false">
      <c r="A723" s="0" t="n">
        <v>722</v>
      </c>
      <c r="B723" s="0" t="str">
        <f aca="false">IF(A723&lt;=36*25,"PRODUKSI","REJECT")</f>
        <v>PRODUKSI</v>
      </c>
      <c r="C723" s="0" t="n">
        <f aca="false">MOD(A723-1,Pemetaan!$B$3*Pemetaan!$B$4)</f>
        <v>721</v>
      </c>
      <c r="D723" s="0" t="n">
        <f aca="false">INT(C723/Pemetaan!$B$4)</f>
        <v>28</v>
      </c>
      <c r="E723" s="0" t="n">
        <f aca="false">MOD(C723,Pemetaan!$B$4)</f>
        <v>21</v>
      </c>
      <c r="F723" s="0" t="n">
        <f aca="false">IF(B723="PRODUKSI",Pemetaan!$B$5,Pemetaan!$B$6)</f>
        <v>5</v>
      </c>
      <c r="G723" s="0" t="n">
        <f aca="false">F723+2+D723</f>
        <v>35</v>
      </c>
      <c r="H723" s="0" t="n">
        <f aca="false">Pemetaan!$B$2+E723</f>
        <v>26</v>
      </c>
      <c r="I723" s="0" t="str">
        <f aca="false">INDEX(Laporan!$A$1:$AZ$300,G723,1)</f>
        <v>Mixing</v>
      </c>
      <c r="J723" s="0" t="str">
        <f aca="false">INDEX(Laporan!$A$1:$AZ$300,G723,2)</f>
        <v>600 ml</v>
      </c>
      <c r="K723" s="0" t="str">
        <f aca="false">INDEX(Laporan!$A$1:$AZ$300,G723,3)</f>
        <v>Shift 2</v>
      </c>
      <c r="L723" s="0" t="n">
        <f aca="false">INDEX(Laporan!$A$1:$AZ$300,G723,4)</f>
        <v>2</v>
      </c>
      <c r="M723" s="1" t="n">
        <f aca="false">DATE(Pemetaan!$B$1,VALUE(RIGHT(INDEX(Laporan!$A$1:$AZ$300,F723+1,H723),2)),VALUE(LEFT(INDEX(Laporan!$A$1:$AZ$300,F723+1,H723),2)))</f>
        <v>46112</v>
      </c>
      <c r="N723" s="0" t="n">
        <f aca="false">INDEX(Laporan!$A$1:$AZ$300,G723,H723)</f>
        <v>2715</v>
      </c>
      <c r="O723" s="0" t="n">
        <f aca="false">IF(N723="","",IFERROR(VALUE(SUBSTITUTE(SUBSTITUTE(N723," btl",""),".","")),""))</f>
        <v>2715</v>
      </c>
      <c r="P723" s="0" t="str">
        <f aca="false">IF(B723="PRODUKSI","produced","reject")</f>
        <v>produced</v>
      </c>
    </row>
    <row r="724" customFormat="false" ht="15" hidden="false" customHeight="false" outlineLevel="0" collapsed="false">
      <c r="A724" s="0" t="n">
        <v>723</v>
      </c>
      <c r="B724" s="0" t="str">
        <f aca="false">IF(A724&lt;=36*25,"PRODUKSI","REJECT")</f>
        <v>PRODUKSI</v>
      </c>
      <c r="C724" s="0" t="n">
        <f aca="false">MOD(A724-1,Pemetaan!$B$3*Pemetaan!$B$4)</f>
        <v>722</v>
      </c>
      <c r="D724" s="0" t="n">
        <f aca="false">INT(C724/Pemetaan!$B$4)</f>
        <v>28</v>
      </c>
      <c r="E724" s="0" t="n">
        <f aca="false">MOD(C724,Pemetaan!$B$4)</f>
        <v>22</v>
      </c>
      <c r="F724" s="0" t="n">
        <f aca="false">IF(B724="PRODUKSI",Pemetaan!$B$5,Pemetaan!$B$6)</f>
        <v>5</v>
      </c>
      <c r="G724" s="0" t="n">
        <f aca="false">F724+2+D724</f>
        <v>35</v>
      </c>
      <c r="H724" s="0" t="n">
        <f aca="false">Pemetaan!$B$2+E724</f>
        <v>27</v>
      </c>
      <c r="I724" s="0" t="str">
        <f aca="false">INDEX(Laporan!$A$1:$AZ$300,G724,1)</f>
        <v>Mixing</v>
      </c>
      <c r="J724" s="0" t="str">
        <f aca="false">INDEX(Laporan!$A$1:$AZ$300,G724,2)</f>
        <v>600 ml</v>
      </c>
      <c r="K724" s="0" t="str">
        <f aca="false">INDEX(Laporan!$A$1:$AZ$300,G724,3)</f>
        <v>Shift 2</v>
      </c>
      <c r="L724" s="0" t="n">
        <f aca="false">INDEX(Laporan!$A$1:$AZ$300,G724,4)</f>
        <v>2</v>
      </c>
      <c r="M724" s="1" t="n">
        <f aca="false">DATE(Pemetaan!$B$1,VALUE(RIGHT(INDEX(Laporan!$A$1:$AZ$300,F724+1,H724),2)),VALUE(LEFT(INDEX(Laporan!$A$1:$AZ$300,F724+1,H724),2)))</f>
        <v>46113</v>
      </c>
      <c r="N724" s="0" t="n">
        <f aca="false">INDEX(Laporan!$A$1:$AZ$300,G724,H724)</f>
        <v>2816</v>
      </c>
      <c r="O724" s="0" t="n">
        <f aca="false">IF(N724="","",IFERROR(VALUE(SUBSTITUTE(SUBSTITUTE(N724," btl",""),".","")),""))</f>
        <v>2816</v>
      </c>
      <c r="P724" s="0" t="str">
        <f aca="false">IF(B724="PRODUKSI","produced","reject")</f>
        <v>produced</v>
      </c>
    </row>
    <row r="725" customFormat="false" ht="15" hidden="false" customHeight="false" outlineLevel="0" collapsed="false">
      <c r="A725" s="0" t="n">
        <v>724</v>
      </c>
      <c r="B725" s="0" t="str">
        <f aca="false">IF(A725&lt;=36*25,"PRODUKSI","REJECT")</f>
        <v>PRODUKSI</v>
      </c>
      <c r="C725" s="0" t="n">
        <f aca="false">MOD(A725-1,Pemetaan!$B$3*Pemetaan!$B$4)</f>
        <v>723</v>
      </c>
      <c r="D725" s="0" t="n">
        <f aca="false">INT(C725/Pemetaan!$B$4)</f>
        <v>28</v>
      </c>
      <c r="E725" s="0" t="n">
        <f aca="false">MOD(C725,Pemetaan!$B$4)</f>
        <v>23</v>
      </c>
      <c r="F725" s="0" t="n">
        <f aca="false">IF(B725="PRODUKSI",Pemetaan!$B$5,Pemetaan!$B$6)</f>
        <v>5</v>
      </c>
      <c r="G725" s="0" t="n">
        <f aca="false">F725+2+D725</f>
        <v>35</v>
      </c>
      <c r="H725" s="0" t="n">
        <f aca="false">Pemetaan!$B$2+E725</f>
        <v>28</v>
      </c>
      <c r="I725" s="0" t="str">
        <f aca="false">INDEX(Laporan!$A$1:$AZ$300,G725,1)</f>
        <v>Mixing</v>
      </c>
      <c r="J725" s="0" t="str">
        <f aca="false">INDEX(Laporan!$A$1:$AZ$300,G725,2)</f>
        <v>600 ml</v>
      </c>
      <c r="K725" s="0" t="str">
        <f aca="false">INDEX(Laporan!$A$1:$AZ$300,G725,3)</f>
        <v>Shift 2</v>
      </c>
      <c r="L725" s="0" t="n">
        <f aca="false">INDEX(Laporan!$A$1:$AZ$300,G725,4)</f>
        <v>2</v>
      </c>
      <c r="M725" s="1" t="n">
        <f aca="false">DATE(Pemetaan!$B$1,VALUE(RIGHT(INDEX(Laporan!$A$1:$AZ$300,F725+1,H725),2)),VALUE(LEFT(INDEX(Laporan!$A$1:$AZ$300,F725+1,H725),2)))</f>
        <v>46114</v>
      </c>
      <c r="N725" s="0" t="n">
        <f aca="false">INDEX(Laporan!$A$1:$AZ$300,G725,H725)</f>
        <v>2851</v>
      </c>
      <c r="O725" s="0" t="n">
        <f aca="false">IF(N725="","",IFERROR(VALUE(SUBSTITUTE(SUBSTITUTE(N725," btl",""),".","")),""))</f>
        <v>2851</v>
      </c>
      <c r="P725" s="0" t="str">
        <f aca="false">IF(B725="PRODUKSI","produced","reject")</f>
        <v>produced</v>
      </c>
    </row>
    <row r="726" customFormat="false" ht="15" hidden="false" customHeight="false" outlineLevel="0" collapsed="false">
      <c r="A726" s="0" t="n">
        <v>725</v>
      </c>
      <c r="B726" s="0" t="str">
        <f aca="false">IF(A726&lt;=36*25,"PRODUKSI","REJECT")</f>
        <v>PRODUKSI</v>
      </c>
      <c r="C726" s="0" t="n">
        <f aca="false">MOD(A726-1,Pemetaan!$B$3*Pemetaan!$B$4)</f>
        <v>724</v>
      </c>
      <c r="D726" s="0" t="n">
        <f aca="false">INT(C726/Pemetaan!$B$4)</f>
        <v>28</v>
      </c>
      <c r="E726" s="0" t="n">
        <f aca="false">MOD(C726,Pemetaan!$B$4)</f>
        <v>24</v>
      </c>
      <c r="F726" s="0" t="n">
        <f aca="false">IF(B726="PRODUKSI",Pemetaan!$B$5,Pemetaan!$B$6)</f>
        <v>5</v>
      </c>
      <c r="G726" s="0" t="n">
        <f aca="false">F726+2+D726</f>
        <v>35</v>
      </c>
      <c r="H726" s="0" t="n">
        <f aca="false">Pemetaan!$B$2+E726</f>
        <v>29</v>
      </c>
      <c r="I726" s="0" t="str">
        <f aca="false">INDEX(Laporan!$A$1:$AZ$300,G726,1)</f>
        <v>Mixing</v>
      </c>
      <c r="J726" s="0" t="str">
        <f aca="false">INDEX(Laporan!$A$1:$AZ$300,G726,2)</f>
        <v>600 ml</v>
      </c>
      <c r="K726" s="0" t="str">
        <f aca="false">INDEX(Laporan!$A$1:$AZ$300,G726,3)</f>
        <v>Shift 2</v>
      </c>
      <c r="L726" s="0" t="n">
        <f aca="false">INDEX(Laporan!$A$1:$AZ$300,G726,4)</f>
        <v>2</v>
      </c>
      <c r="M726" s="1" t="n">
        <f aca="false">DATE(Pemetaan!$B$1,VALUE(RIGHT(INDEX(Laporan!$A$1:$AZ$300,F726+1,H726),2)),VALUE(LEFT(INDEX(Laporan!$A$1:$AZ$300,F726+1,H726),2)))</f>
        <v>46115</v>
      </c>
      <c r="N726" s="0" t="n">
        <f aca="false">INDEX(Laporan!$A$1:$AZ$300,G726,H726)</f>
        <v>2774</v>
      </c>
      <c r="O726" s="0" t="n">
        <f aca="false">IF(N726="","",IFERROR(VALUE(SUBSTITUTE(SUBSTITUTE(N726," btl",""),".","")),""))</f>
        <v>2774</v>
      </c>
      <c r="P726" s="0" t="str">
        <f aca="false">IF(B726="PRODUKSI","produced","reject")</f>
        <v>produced</v>
      </c>
    </row>
    <row r="727" customFormat="false" ht="15" hidden="false" customHeight="false" outlineLevel="0" collapsed="false">
      <c r="A727" s="0" t="n">
        <v>726</v>
      </c>
      <c r="B727" s="0" t="str">
        <f aca="false">IF(A727&lt;=36*25,"PRODUKSI","REJECT")</f>
        <v>PRODUKSI</v>
      </c>
      <c r="C727" s="0" t="n">
        <f aca="false">MOD(A727-1,Pemetaan!$B$3*Pemetaan!$B$4)</f>
        <v>725</v>
      </c>
      <c r="D727" s="0" t="n">
        <f aca="false">INT(C727/Pemetaan!$B$4)</f>
        <v>29</v>
      </c>
      <c r="E727" s="0" t="n">
        <f aca="false">MOD(C727,Pemetaan!$B$4)</f>
        <v>0</v>
      </c>
      <c r="F727" s="0" t="n">
        <f aca="false">IF(B727="PRODUKSI",Pemetaan!$B$5,Pemetaan!$B$6)</f>
        <v>5</v>
      </c>
      <c r="G727" s="0" t="n">
        <f aca="false">F727+2+D727</f>
        <v>36</v>
      </c>
      <c r="H727" s="0" t="n">
        <f aca="false">Pemetaan!$B$2+E727</f>
        <v>5</v>
      </c>
      <c r="I727" s="0" t="str">
        <f aca="false">INDEX(Laporan!$A$1:$AZ$300,G727,1)</f>
        <v>Mixing</v>
      </c>
      <c r="J727" s="0" t="str">
        <f aca="false">INDEX(Laporan!$A$1:$AZ$300,G727,2)</f>
        <v>600 ml</v>
      </c>
      <c r="K727" s="0" t="str">
        <f aca="false">INDEX(Laporan!$A$1:$AZ$300,G727,3)</f>
        <v>Shift 2</v>
      </c>
      <c r="L727" s="0" t="n">
        <f aca="false">INDEX(Laporan!$A$1:$AZ$300,G727,4)</f>
        <v>3</v>
      </c>
      <c r="M727" s="1" t="n">
        <f aca="false">DATE(Pemetaan!$B$1,VALUE(RIGHT(INDEX(Laporan!$A$1:$AZ$300,F727+1,H727),2)),VALUE(LEFT(INDEX(Laporan!$A$1:$AZ$300,F727+1,H727),2)))</f>
        <v>46083</v>
      </c>
      <c r="N727" s="0" t="n">
        <f aca="false">INDEX(Laporan!$A$1:$AZ$300,G727,H727)</f>
        <v>2504</v>
      </c>
      <c r="O727" s="0" t="n">
        <f aca="false">IF(N727="","",IFERROR(VALUE(SUBSTITUTE(SUBSTITUTE(N727," btl",""),".","")),""))</f>
        <v>2504</v>
      </c>
      <c r="P727" s="0" t="str">
        <f aca="false">IF(B727="PRODUKSI","produced","reject")</f>
        <v>produced</v>
      </c>
    </row>
    <row r="728" customFormat="false" ht="15" hidden="false" customHeight="false" outlineLevel="0" collapsed="false">
      <c r="A728" s="0" t="n">
        <v>727</v>
      </c>
      <c r="B728" s="0" t="str">
        <f aca="false">IF(A728&lt;=36*25,"PRODUKSI","REJECT")</f>
        <v>PRODUKSI</v>
      </c>
      <c r="C728" s="0" t="n">
        <f aca="false">MOD(A728-1,Pemetaan!$B$3*Pemetaan!$B$4)</f>
        <v>726</v>
      </c>
      <c r="D728" s="0" t="n">
        <f aca="false">INT(C728/Pemetaan!$B$4)</f>
        <v>29</v>
      </c>
      <c r="E728" s="0" t="n">
        <f aca="false">MOD(C728,Pemetaan!$B$4)</f>
        <v>1</v>
      </c>
      <c r="F728" s="0" t="n">
        <f aca="false">IF(B728="PRODUKSI",Pemetaan!$B$5,Pemetaan!$B$6)</f>
        <v>5</v>
      </c>
      <c r="G728" s="0" t="n">
        <f aca="false">F728+2+D728</f>
        <v>36</v>
      </c>
      <c r="H728" s="0" t="n">
        <f aca="false">Pemetaan!$B$2+E728</f>
        <v>6</v>
      </c>
      <c r="I728" s="0" t="str">
        <f aca="false">INDEX(Laporan!$A$1:$AZ$300,G728,1)</f>
        <v>Mixing</v>
      </c>
      <c r="J728" s="0" t="str">
        <f aca="false">INDEX(Laporan!$A$1:$AZ$300,G728,2)</f>
        <v>600 ml</v>
      </c>
      <c r="K728" s="0" t="str">
        <f aca="false">INDEX(Laporan!$A$1:$AZ$300,G728,3)</f>
        <v>Shift 2</v>
      </c>
      <c r="L728" s="0" t="n">
        <f aca="false">INDEX(Laporan!$A$1:$AZ$300,G728,4)</f>
        <v>3</v>
      </c>
      <c r="M728" s="1" t="n">
        <f aca="false">DATE(Pemetaan!$B$1,VALUE(RIGHT(INDEX(Laporan!$A$1:$AZ$300,F728+1,H728),2)),VALUE(LEFT(INDEX(Laporan!$A$1:$AZ$300,F728+1,H728),2)))</f>
        <v>46084</v>
      </c>
      <c r="N728" s="0" t="n">
        <f aca="false">INDEX(Laporan!$A$1:$AZ$300,G728,H728)</f>
        <v>3033</v>
      </c>
      <c r="O728" s="0" t="n">
        <f aca="false">IF(N728="","",IFERROR(VALUE(SUBSTITUTE(SUBSTITUTE(N728," btl",""),".","")),""))</f>
        <v>3033</v>
      </c>
      <c r="P728" s="0" t="str">
        <f aca="false">IF(B728="PRODUKSI","produced","reject")</f>
        <v>produced</v>
      </c>
    </row>
    <row r="729" customFormat="false" ht="15" hidden="false" customHeight="false" outlineLevel="0" collapsed="false">
      <c r="A729" s="0" t="n">
        <v>728</v>
      </c>
      <c r="B729" s="0" t="str">
        <f aca="false">IF(A729&lt;=36*25,"PRODUKSI","REJECT")</f>
        <v>PRODUKSI</v>
      </c>
      <c r="C729" s="0" t="n">
        <f aca="false">MOD(A729-1,Pemetaan!$B$3*Pemetaan!$B$4)</f>
        <v>727</v>
      </c>
      <c r="D729" s="0" t="n">
        <f aca="false">INT(C729/Pemetaan!$B$4)</f>
        <v>29</v>
      </c>
      <c r="E729" s="0" t="n">
        <f aca="false">MOD(C729,Pemetaan!$B$4)</f>
        <v>2</v>
      </c>
      <c r="F729" s="0" t="n">
        <f aca="false">IF(B729="PRODUKSI",Pemetaan!$B$5,Pemetaan!$B$6)</f>
        <v>5</v>
      </c>
      <c r="G729" s="0" t="n">
        <f aca="false">F729+2+D729</f>
        <v>36</v>
      </c>
      <c r="H729" s="0" t="n">
        <f aca="false">Pemetaan!$B$2+E729</f>
        <v>7</v>
      </c>
      <c r="I729" s="0" t="str">
        <f aca="false">INDEX(Laporan!$A$1:$AZ$300,G729,1)</f>
        <v>Mixing</v>
      </c>
      <c r="J729" s="0" t="str">
        <f aca="false">INDEX(Laporan!$A$1:$AZ$300,G729,2)</f>
        <v>600 ml</v>
      </c>
      <c r="K729" s="0" t="str">
        <f aca="false">INDEX(Laporan!$A$1:$AZ$300,G729,3)</f>
        <v>Shift 2</v>
      </c>
      <c r="L729" s="0" t="n">
        <f aca="false">INDEX(Laporan!$A$1:$AZ$300,G729,4)</f>
        <v>3</v>
      </c>
      <c r="M729" s="1" t="n">
        <f aca="false">DATE(Pemetaan!$B$1,VALUE(RIGHT(INDEX(Laporan!$A$1:$AZ$300,F729+1,H729),2)),VALUE(LEFT(INDEX(Laporan!$A$1:$AZ$300,F729+1,H729),2)))</f>
        <v>46085</v>
      </c>
      <c r="N729" s="0" t="n">
        <f aca="false">INDEX(Laporan!$A$1:$AZ$300,G729,H729)</f>
        <v>2435</v>
      </c>
      <c r="O729" s="0" t="n">
        <f aca="false">IF(N729="","",IFERROR(VALUE(SUBSTITUTE(SUBSTITUTE(N729," btl",""),".","")),""))</f>
        <v>2435</v>
      </c>
      <c r="P729" s="0" t="str">
        <f aca="false">IF(B729="PRODUKSI","produced","reject")</f>
        <v>produced</v>
      </c>
    </row>
    <row r="730" customFormat="false" ht="15" hidden="false" customHeight="false" outlineLevel="0" collapsed="false">
      <c r="A730" s="0" t="n">
        <v>729</v>
      </c>
      <c r="B730" s="0" t="str">
        <f aca="false">IF(A730&lt;=36*25,"PRODUKSI","REJECT")</f>
        <v>PRODUKSI</v>
      </c>
      <c r="C730" s="0" t="n">
        <f aca="false">MOD(A730-1,Pemetaan!$B$3*Pemetaan!$B$4)</f>
        <v>728</v>
      </c>
      <c r="D730" s="0" t="n">
        <f aca="false">INT(C730/Pemetaan!$B$4)</f>
        <v>29</v>
      </c>
      <c r="E730" s="0" t="n">
        <f aca="false">MOD(C730,Pemetaan!$B$4)</f>
        <v>3</v>
      </c>
      <c r="F730" s="0" t="n">
        <f aca="false">IF(B730="PRODUKSI",Pemetaan!$B$5,Pemetaan!$B$6)</f>
        <v>5</v>
      </c>
      <c r="G730" s="0" t="n">
        <f aca="false">F730+2+D730</f>
        <v>36</v>
      </c>
      <c r="H730" s="0" t="n">
        <f aca="false">Pemetaan!$B$2+E730</f>
        <v>8</v>
      </c>
      <c r="I730" s="0" t="str">
        <f aca="false">INDEX(Laporan!$A$1:$AZ$300,G730,1)</f>
        <v>Mixing</v>
      </c>
      <c r="J730" s="0" t="str">
        <f aca="false">INDEX(Laporan!$A$1:$AZ$300,G730,2)</f>
        <v>600 ml</v>
      </c>
      <c r="K730" s="0" t="str">
        <f aca="false">INDEX(Laporan!$A$1:$AZ$300,G730,3)</f>
        <v>Shift 2</v>
      </c>
      <c r="L730" s="0" t="n">
        <f aca="false">INDEX(Laporan!$A$1:$AZ$300,G730,4)</f>
        <v>3</v>
      </c>
      <c r="M730" s="1" t="n">
        <f aca="false">DATE(Pemetaan!$B$1,VALUE(RIGHT(INDEX(Laporan!$A$1:$AZ$300,F730+1,H730),2)),VALUE(LEFT(INDEX(Laporan!$A$1:$AZ$300,F730+1,H730),2)))</f>
        <v>46086</v>
      </c>
      <c r="N730" s="0" t="n">
        <f aca="false">INDEX(Laporan!$A$1:$AZ$300,G730,H730)</f>
        <v>2530</v>
      </c>
      <c r="O730" s="0" t="n">
        <f aca="false">IF(N730="","",IFERROR(VALUE(SUBSTITUTE(SUBSTITUTE(N730," btl",""),".","")),""))</f>
        <v>2530</v>
      </c>
      <c r="P730" s="0" t="str">
        <f aca="false">IF(B730="PRODUKSI","produced","reject")</f>
        <v>produced</v>
      </c>
    </row>
    <row r="731" customFormat="false" ht="15" hidden="false" customHeight="false" outlineLevel="0" collapsed="false">
      <c r="A731" s="0" t="n">
        <v>730</v>
      </c>
      <c r="B731" s="0" t="str">
        <f aca="false">IF(A731&lt;=36*25,"PRODUKSI","REJECT")</f>
        <v>PRODUKSI</v>
      </c>
      <c r="C731" s="0" t="n">
        <f aca="false">MOD(A731-1,Pemetaan!$B$3*Pemetaan!$B$4)</f>
        <v>729</v>
      </c>
      <c r="D731" s="0" t="n">
        <f aca="false">INT(C731/Pemetaan!$B$4)</f>
        <v>29</v>
      </c>
      <c r="E731" s="0" t="n">
        <f aca="false">MOD(C731,Pemetaan!$B$4)</f>
        <v>4</v>
      </c>
      <c r="F731" s="0" t="n">
        <f aca="false">IF(B731="PRODUKSI",Pemetaan!$B$5,Pemetaan!$B$6)</f>
        <v>5</v>
      </c>
      <c r="G731" s="0" t="n">
        <f aca="false">F731+2+D731</f>
        <v>36</v>
      </c>
      <c r="H731" s="0" t="n">
        <f aca="false">Pemetaan!$B$2+E731</f>
        <v>9</v>
      </c>
      <c r="I731" s="0" t="str">
        <f aca="false">INDEX(Laporan!$A$1:$AZ$300,G731,1)</f>
        <v>Mixing</v>
      </c>
      <c r="J731" s="0" t="str">
        <f aca="false">INDEX(Laporan!$A$1:$AZ$300,G731,2)</f>
        <v>600 ml</v>
      </c>
      <c r="K731" s="0" t="str">
        <f aca="false">INDEX(Laporan!$A$1:$AZ$300,G731,3)</f>
        <v>Shift 2</v>
      </c>
      <c r="L731" s="0" t="n">
        <f aca="false">INDEX(Laporan!$A$1:$AZ$300,G731,4)</f>
        <v>3</v>
      </c>
      <c r="M731" s="1" t="n">
        <f aca="false">DATE(Pemetaan!$B$1,VALUE(RIGHT(INDEX(Laporan!$A$1:$AZ$300,F731+1,H731),2)),VALUE(LEFT(INDEX(Laporan!$A$1:$AZ$300,F731+1,H731),2)))</f>
        <v>46087</v>
      </c>
      <c r="N731" s="0" t="n">
        <f aca="false">INDEX(Laporan!$A$1:$AZ$300,G731,H731)</f>
        <v>3173</v>
      </c>
      <c r="O731" s="0" t="n">
        <f aca="false">IF(N731="","",IFERROR(VALUE(SUBSTITUTE(SUBSTITUTE(N731," btl",""),".","")),""))</f>
        <v>3173</v>
      </c>
      <c r="P731" s="0" t="str">
        <f aca="false">IF(B731="PRODUKSI","produced","reject")</f>
        <v>produced</v>
      </c>
    </row>
    <row r="732" customFormat="false" ht="15" hidden="false" customHeight="false" outlineLevel="0" collapsed="false">
      <c r="A732" s="0" t="n">
        <v>731</v>
      </c>
      <c r="B732" s="0" t="str">
        <f aca="false">IF(A732&lt;=36*25,"PRODUKSI","REJECT")</f>
        <v>PRODUKSI</v>
      </c>
      <c r="C732" s="0" t="n">
        <f aca="false">MOD(A732-1,Pemetaan!$B$3*Pemetaan!$B$4)</f>
        <v>730</v>
      </c>
      <c r="D732" s="0" t="n">
        <f aca="false">INT(C732/Pemetaan!$B$4)</f>
        <v>29</v>
      </c>
      <c r="E732" s="0" t="n">
        <f aca="false">MOD(C732,Pemetaan!$B$4)</f>
        <v>5</v>
      </c>
      <c r="F732" s="0" t="n">
        <f aca="false">IF(B732="PRODUKSI",Pemetaan!$B$5,Pemetaan!$B$6)</f>
        <v>5</v>
      </c>
      <c r="G732" s="0" t="n">
        <f aca="false">F732+2+D732</f>
        <v>36</v>
      </c>
      <c r="H732" s="0" t="n">
        <f aca="false">Pemetaan!$B$2+E732</f>
        <v>10</v>
      </c>
      <c r="I732" s="0" t="str">
        <f aca="false">INDEX(Laporan!$A$1:$AZ$300,G732,1)</f>
        <v>Mixing</v>
      </c>
      <c r="J732" s="0" t="str">
        <f aca="false">INDEX(Laporan!$A$1:$AZ$300,G732,2)</f>
        <v>600 ml</v>
      </c>
      <c r="K732" s="0" t="str">
        <f aca="false">INDEX(Laporan!$A$1:$AZ$300,G732,3)</f>
        <v>Shift 2</v>
      </c>
      <c r="L732" s="0" t="n">
        <f aca="false">INDEX(Laporan!$A$1:$AZ$300,G732,4)</f>
        <v>3</v>
      </c>
      <c r="M732" s="1" t="n">
        <f aca="false">DATE(Pemetaan!$B$1,VALUE(RIGHT(INDEX(Laporan!$A$1:$AZ$300,F732+1,H732),2)),VALUE(LEFT(INDEX(Laporan!$A$1:$AZ$300,F732+1,H732),2)))</f>
        <v>46090</v>
      </c>
      <c r="N732" s="0" t="n">
        <f aca="false">INDEX(Laporan!$A$1:$AZ$300,G732,H732)</f>
        <v>2965</v>
      </c>
      <c r="O732" s="0" t="n">
        <f aca="false">IF(N732="","",IFERROR(VALUE(SUBSTITUTE(SUBSTITUTE(N732," btl",""),".","")),""))</f>
        <v>2965</v>
      </c>
      <c r="P732" s="0" t="str">
        <f aca="false">IF(B732="PRODUKSI","produced","reject")</f>
        <v>produced</v>
      </c>
    </row>
    <row r="733" customFormat="false" ht="15" hidden="false" customHeight="false" outlineLevel="0" collapsed="false">
      <c r="A733" s="0" t="n">
        <v>732</v>
      </c>
      <c r="B733" s="0" t="str">
        <f aca="false">IF(A733&lt;=36*25,"PRODUKSI","REJECT")</f>
        <v>PRODUKSI</v>
      </c>
      <c r="C733" s="0" t="n">
        <f aca="false">MOD(A733-1,Pemetaan!$B$3*Pemetaan!$B$4)</f>
        <v>731</v>
      </c>
      <c r="D733" s="0" t="n">
        <f aca="false">INT(C733/Pemetaan!$B$4)</f>
        <v>29</v>
      </c>
      <c r="E733" s="0" t="n">
        <f aca="false">MOD(C733,Pemetaan!$B$4)</f>
        <v>6</v>
      </c>
      <c r="F733" s="0" t="n">
        <f aca="false">IF(B733="PRODUKSI",Pemetaan!$B$5,Pemetaan!$B$6)</f>
        <v>5</v>
      </c>
      <c r="G733" s="0" t="n">
        <f aca="false">F733+2+D733</f>
        <v>36</v>
      </c>
      <c r="H733" s="0" t="n">
        <f aca="false">Pemetaan!$B$2+E733</f>
        <v>11</v>
      </c>
      <c r="I733" s="0" t="str">
        <f aca="false">INDEX(Laporan!$A$1:$AZ$300,G733,1)</f>
        <v>Mixing</v>
      </c>
      <c r="J733" s="0" t="str">
        <f aca="false">INDEX(Laporan!$A$1:$AZ$300,G733,2)</f>
        <v>600 ml</v>
      </c>
      <c r="K733" s="0" t="str">
        <f aca="false">INDEX(Laporan!$A$1:$AZ$300,G733,3)</f>
        <v>Shift 2</v>
      </c>
      <c r="L733" s="0" t="n">
        <f aca="false">INDEX(Laporan!$A$1:$AZ$300,G733,4)</f>
        <v>3</v>
      </c>
      <c r="M733" s="1" t="n">
        <f aca="false">DATE(Pemetaan!$B$1,VALUE(RIGHT(INDEX(Laporan!$A$1:$AZ$300,F733+1,H733),2)),VALUE(LEFT(INDEX(Laporan!$A$1:$AZ$300,F733+1,H733),2)))</f>
        <v>46091</v>
      </c>
      <c r="N733" s="0" t="n">
        <f aca="false">INDEX(Laporan!$A$1:$AZ$300,G733,H733)</f>
        <v>2984</v>
      </c>
      <c r="O733" s="0" t="n">
        <f aca="false">IF(N733="","",IFERROR(VALUE(SUBSTITUTE(SUBSTITUTE(N733," btl",""),".","")),""))</f>
        <v>2984</v>
      </c>
      <c r="P733" s="0" t="str">
        <f aca="false">IF(B733="PRODUKSI","produced","reject")</f>
        <v>produced</v>
      </c>
    </row>
    <row r="734" customFormat="false" ht="15" hidden="false" customHeight="false" outlineLevel="0" collapsed="false">
      <c r="A734" s="0" t="n">
        <v>733</v>
      </c>
      <c r="B734" s="0" t="str">
        <f aca="false">IF(A734&lt;=36*25,"PRODUKSI","REJECT")</f>
        <v>PRODUKSI</v>
      </c>
      <c r="C734" s="0" t="n">
        <f aca="false">MOD(A734-1,Pemetaan!$B$3*Pemetaan!$B$4)</f>
        <v>732</v>
      </c>
      <c r="D734" s="0" t="n">
        <f aca="false">INT(C734/Pemetaan!$B$4)</f>
        <v>29</v>
      </c>
      <c r="E734" s="0" t="n">
        <f aca="false">MOD(C734,Pemetaan!$B$4)</f>
        <v>7</v>
      </c>
      <c r="F734" s="0" t="n">
        <f aca="false">IF(B734="PRODUKSI",Pemetaan!$B$5,Pemetaan!$B$6)</f>
        <v>5</v>
      </c>
      <c r="G734" s="0" t="n">
        <f aca="false">F734+2+D734</f>
        <v>36</v>
      </c>
      <c r="H734" s="0" t="n">
        <f aca="false">Pemetaan!$B$2+E734</f>
        <v>12</v>
      </c>
      <c r="I734" s="0" t="str">
        <f aca="false">INDEX(Laporan!$A$1:$AZ$300,G734,1)</f>
        <v>Mixing</v>
      </c>
      <c r="J734" s="0" t="str">
        <f aca="false">INDEX(Laporan!$A$1:$AZ$300,G734,2)</f>
        <v>600 ml</v>
      </c>
      <c r="K734" s="0" t="str">
        <f aca="false">INDEX(Laporan!$A$1:$AZ$300,G734,3)</f>
        <v>Shift 2</v>
      </c>
      <c r="L734" s="0" t="n">
        <f aca="false">INDEX(Laporan!$A$1:$AZ$300,G734,4)</f>
        <v>3</v>
      </c>
      <c r="M734" s="1" t="n">
        <f aca="false">DATE(Pemetaan!$B$1,VALUE(RIGHT(INDEX(Laporan!$A$1:$AZ$300,F734+1,H734),2)),VALUE(LEFT(INDEX(Laporan!$A$1:$AZ$300,F734+1,H734),2)))</f>
        <v>46092</v>
      </c>
      <c r="N734" s="0" t="n">
        <f aca="false">INDEX(Laporan!$A$1:$AZ$300,G734,H734)</f>
        <v>2684</v>
      </c>
      <c r="O734" s="0" t="n">
        <f aca="false">IF(N734="","",IFERROR(VALUE(SUBSTITUTE(SUBSTITUTE(N734," btl",""),".","")),""))</f>
        <v>2684</v>
      </c>
      <c r="P734" s="0" t="str">
        <f aca="false">IF(B734="PRODUKSI","produced","reject")</f>
        <v>produced</v>
      </c>
    </row>
    <row r="735" customFormat="false" ht="15" hidden="false" customHeight="false" outlineLevel="0" collapsed="false">
      <c r="A735" s="0" t="n">
        <v>734</v>
      </c>
      <c r="B735" s="0" t="str">
        <f aca="false">IF(A735&lt;=36*25,"PRODUKSI","REJECT")</f>
        <v>PRODUKSI</v>
      </c>
      <c r="C735" s="0" t="n">
        <f aca="false">MOD(A735-1,Pemetaan!$B$3*Pemetaan!$B$4)</f>
        <v>733</v>
      </c>
      <c r="D735" s="0" t="n">
        <f aca="false">INT(C735/Pemetaan!$B$4)</f>
        <v>29</v>
      </c>
      <c r="E735" s="0" t="n">
        <f aca="false">MOD(C735,Pemetaan!$B$4)</f>
        <v>8</v>
      </c>
      <c r="F735" s="0" t="n">
        <f aca="false">IF(B735="PRODUKSI",Pemetaan!$B$5,Pemetaan!$B$6)</f>
        <v>5</v>
      </c>
      <c r="G735" s="0" t="n">
        <f aca="false">F735+2+D735</f>
        <v>36</v>
      </c>
      <c r="H735" s="0" t="n">
        <f aca="false">Pemetaan!$B$2+E735</f>
        <v>13</v>
      </c>
      <c r="I735" s="0" t="str">
        <f aca="false">INDEX(Laporan!$A$1:$AZ$300,G735,1)</f>
        <v>Mixing</v>
      </c>
      <c r="J735" s="0" t="str">
        <f aca="false">INDEX(Laporan!$A$1:$AZ$300,G735,2)</f>
        <v>600 ml</v>
      </c>
      <c r="K735" s="0" t="str">
        <f aca="false">INDEX(Laporan!$A$1:$AZ$300,G735,3)</f>
        <v>Shift 2</v>
      </c>
      <c r="L735" s="0" t="n">
        <f aca="false">INDEX(Laporan!$A$1:$AZ$300,G735,4)</f>
        <v>3</v>
      </c>
      <c r="M735" s="1" t="n">
        <f aca="false">DATE(Pemetaan!$B$1,VALUE(RIGHT(INDEX(Laporan!$A$1:$AZ$300,F735+1,H735),2)),VALUE(LEFT(INDEX(Laporan!$A$1:$AZ$300,F735+1,H735),2)))</f>
        <v>46093</v>
      </c>
      <c r="N735" s="0" t="n">
        <f aca="false">INDEX(Laporan!$A$1:$AZ$300,G735,H735)</f>
        <v>2985</v>
      </c>
      <c r="O735" s="0" t="n">
        <f aca="false">IF(N735="","",IFERROR(VALUE(SUBSTITUTE(SUBSTITUTE(N735," btl",""),".","")),""))</f>
        <v>2985</v>
      </c>
      <c r="P735" s="0" t="str">
        <f aca="false">IF(B735="PRODUKSI","produced","reject")</f>
        <v>produced</v>
      </c>
    </row>
    <row r="736" customFormat="false" ht="15" hidden="false" customHeight="false" outlineLevel="0" collapsed="false">
      <c r="A736" s="0" t="n">
        <v>735</v>
      </c>
      <c r="B736" s="0" t="str">
        <f aca="false">IF(A736&lt;=36*25,"PRODUKSI","REJECT")</f>
        <v>PRODUKSI</v>
      </c>
      <c r="C736" s="0" t="n">
        <f aca="false">MOD(A736-1,Pemetaan!$B$3*Pemetaan!$B$4)</f>
        <v>734</v>
      </c>
      <c r="D736" s="0" t="n">
        <f aca="false">INT(C736/Pemetaan!$B$4)</f>
        <v>29</v>
      </c>
      <c r="E736" s="0" t="n">
        <f aca="false">MOD(C736,Pemetaan!$B$4)</f>
        <v>9</v>
      </c>
      <c r="F736" s="0" t="n">
        <f aca="false">IF(B736="PRODUKSI",Pemetaan!$B$5,Pemetaan!$B$6)</f>
        <v>5</v>
      </c>
      <c r="G736" s="0" t="n">
        <f aca="false">F736+2+D736</f>
        <v>36</v>
      </c>
      <c r="H736" s="0" t="n">
        <f aca="false">Pemetaan!$B$2+E736</f>
        <v>14</v>
      </c>
      <c r="I736" s="0" t="str">
        <f aca="false">INDEX(Laporan!$A$1:$AZ$300,G736,1)</f>
        <v>Mixing</v>
      </c>
      <c r="J736" s="0" t="str">
        <f aca="false">INDEX(Laporan!$A$1:$AZ$300,G736,2)</f>
        <v>600 ml</v>
      </c>
      <c r="K736" s="0" t="str">
        <f aca="false">INDEX(Laporan!$A$1:$AZ$300,G736,3)</f>
        <v>Shift 2</v>
      </c>
      <c r="L736" s="0" t="n">
        <f aca="false">INDEX(Laporan!$A$1:$AZ$300,G736,4)</f>
        <v>3</v>
      </c>
      <c r="M736" s="1" t="n">
        <f aca="false">DATE(Pemetaan!$B$1,VALUE(RIGHT(INDEX(Laporan!$A$1:$AZ$300,F736+1,H736),2)),VALUE(LEFT(INDEX(Laporan!$A$1:$AZ$300,F736+1,H736),2)))</f>
        <v>46094</v>
      </c>
      <c r="N736" s="0" t="n">
        <f aca="false">INDEX(Laporan!$A$1:$AZ$300,G736,H736)</f>
        <v>2972</v>
      </c>
      <c r="O736" s="0" t="n">
        <f aca="false">IF(N736="","",IFERROR(VALUE(SUBSTITUTE(SUBSTITUTE(N736," btl",""),".","")),""))</f>
        <v>2972</v>
      </c>
      <c r="P736" s="0" t="str">
        <f aca="false">IF(B736="PRODUKSI","produced","reject")</f>
        <v>produced</v>
      </c>
    </row>
    <row r="737" customFormat="false" ht="15" hidden="false" customHeight="false" outlineLevel="0" collapsed="false">
      <c r="A737" s="0" t="n">
        <v>736</v>
      </c>
      <c r="B737" s="0" t="str">
        <f aca="false">IF(A737&lt;=36*25,"PRODUKSI","REJECT")</f>
        <v>PRODUKSI</v>
      </c>
      <c r="C737" s="0" t="n">
        <f aca="false">MOD(A737-1,Pemetaan!$B$3*Pemetaan!$B$4)</f>
        <v>735</v>
      </c>
      <c r="D737" s="0" t="n">
        <f aca="false">INT(C737/Pemetaan!$B$4)</f>
        <v>29</v>
      </c>
      <c r="E737" s="0" t="n">
        <f aca="false">MOD(C737,Pemetaan!$B$4)</f>
        <v>10</v>
      </c>
      <c r="F737" s="0" t="n">
        <f aca="false">IF(B737="PRODUKSI",Pemetaan!$B$5,Pemetaan!$B$6)</f>
        <v>5</v>
      </c>
      <c r="G737" s="0" t="n">
        <f aca="false">F737+2+D737</f>
        <v>36</v>
      </c>
      <c r="H737" s="0" t="n">
        <f aca="false">Pemetaan!$B$2+E737</f>
        <v>15</v>
      </c>
      <c r="I737" s="0" t="str">
        <f aca="false">INDEX(Laporan!$A$1:$AZ$300,G737,1)</f>
        <v>Mixing</v>
      </c>
      <c r="J737" s="0" t="str">
        <f aca="false">INDEX(Laporan!$A$1:$AZ$300,G737,2)</f>
        <v>600 ml</v>
      </c>
      <c r="K737" s="0" t="str">
        <f aca="false">INDEX(Laporan!$A$1:$AZ$300,G737,3)</f>
        <v>Shift 2</v>
      </c>
      <c r="L737" s="0" t="n">
        <f aca="false">INDEX(Laporan!$A$1:$AZ$300,G737,4)</f>
        <v>3</v>
      </c>
      <c r="M737" s="1" t="n">
        <f aca="false">DATE(Pemetaan!$B$1,VALUE(RIGHT(INDEX(Laporan!$A$1:$AZ$300,F737+1,H737),2)),VALUE(LEFT(INDEX(Laporan!$A$1:$AZ$300,F737+1,H737),2)))</f>
        <v>46097</v>
      </c>
      <c r="N737" s="0" t="n">
        <f aca="false">INDEX(Laporan!$A$1:$AZ$300,G737,H737)</f>
        <v>3016</v>
      </c>
      <c r="O737" s="0" t="n">
        <f aca="false">IF(N737="","",IFERROR(VALUE(SUBSTITUTE(SUBSTITUTE(N737," btl",""),".","")),""))</f>
        <v>3016</v>
      </c>
      <c r="P737" s="0" t="str">
        <f aca="false">IF(B737="PRODUKSI","produced","reject")</f>
        <v>produced</v>
      </c>
    </row>
    <row r="738" customFormat="false" ht="15" hidden="false" customHeight="false" outlineLevel="0" collapsed="false">
      <c r="A738" s="0" t="n">
        <v>737</v>
      </c>
      <c r="B738" s="0" t="str">
        <f aca="false">IF(A738&lt;=36*25,"PRODUKSI","REJECT")</f>
        <v>PRODUKSI</v>
      </c>
      <c r="C738" s="0" t="n">
        <f aca="false">MOD(A738-1,Pemetaan!$B$3*Pemetaan!$B$4)</f>
        <v>736</v>
      </c>
      <c r="D738" s="0" t="n">
        <f aca="false">INT(C738/Pemetaan!$B$4)</f>
        <v>29</v>
      </c>
      <c r="E738" s="0" t="n">
        <f aca="false">MOD(C738,Pemetaan!$B$4)</f>
        <v>11</v>
      </c>
      <c r="F738" s="0" t="n">
        <f aca="false">IF(B738="PRODUKSI",Pemetaan!$B$5,Pemetaan!$B$6)</f>
        <v>5</v>
      </c>
      <c r="G738" s="0" t="n">
        <f aca="false">F738+2+D738</f>
        <v>36</v>
      </c>
      <c r="H738" s="0" t="n">
        <f aca="false">Pemetaan!$B$2+E738</f>
        <v>16</v>
      </c>
      <c r="I738" s="0" t="str">
        <f aca="false">INDEX(Laporan!$A$1:$AZ$300,G738,1)</f>
        <v>Mixing</v>
      </c>
      <c r="J738" s="0" t="str">
        <f aca="false">INDEX(Laporan!$A$1:$AZ$300,G738,2)</f>
        <v>600 ml</v>
      </c>
      <c r="K738" s="0" t="str">
        <f aca="false">INDEX(Laporan!$A$1:$AZ$300,G738,3)</f>
        <v>Shift 2</v>
      </c>
      <c r="L738" s="0" t="n">
        <f aca="false">INDEX(Laporan!$A$1:$AZ$300,G738,4)</f>
        <v>3</v>
      </c>
      <c r="M738" s="1" t="n">
        <f aca="false">DATE(Pemetaan!$B$1,VALUE(RIGHT(INDEX(Laporan!$A$1:$AZ$300,F738+1,H738),2)),VALUE(LEFT(INDEX(Laporan!$A$1:$AZ$300,F738+1,H738),2)))</f>
        <v>46098</v>
      </c>
      <c r="N738" s="0" t="n">
        <f aca="false">INDEX(Laporan!$A$1:$AZ$300,G738,H738)</f>
        <v>3069</v>
      </c>
      <c r="O738" s="0" t="n">
        <f aca="false">IF(N738="","",IFERROR(VALUE(SUBSTITUTE(SUBSTITUTE(N738," btl",""),".","")),""))</f>
        <v>3069</v>
      </c>
      <c r="P738" s="0" t="str">
        <f aca="false">IF(B738="PRODUKSI","produced","reject")</f>
        <v>produced</v>
      </c>
    </row>
    <row r="739" customFormat="false" ht="15" hidden="false" customHeight="false" outlineLevel="0" collapsed="false">
      <c r="A739" s="0" t="n">
        <v>738</v>
      </c>
      <c r="B739" s="0" t="str">
        <f aca="false">IF(A739&lt;=36*25,"PRODUKSI","REJECT")</f>
        <v>PRODUKSI</v>
      </c>
      <c r="C739" s="0" t="n">
        <f aca="false">MOD(A739-1,Pemetaan!$B$3*Pemetaan!$B$4)</f>
        <v>737</v>
      </c>
      <c r="D739" s="0" t="n">
        <f aca="false">INT(C739/Pemetaan!$B$4)</f>
        <v>29</v>
      </c>
      <c r="E739" s="0" t="n">
        <f aca="false">MOD(C739,Pemetaan!$B$4)</f>
        <v>12</v>
      </c>
      <c r="F739" s="0" t="n">
        <f aca="false">IF(B739="PRODUKSI",Pemetaan!$B$5,Pemetaan!$B$6)</f>
        <v>5</v>
      </c>
      <c r="G739" s="0" t="n">
        <f aca="false">F739+2+D739</f>
        <v>36</v>
      </c>
      <c r="H739" s="0" t="n">
        <f aca="false">Pemetaan!$B$2+E739</f>
        <v>17</v>
      </c>
      <c r="I739" s="0" t="str">
        <f aca="false">INDEX(Laporan!$A$1:$AZ$300,G739,1)</f>
        <v>Mixing</v>
      </c>
      <c r="J739" s="0" t="str">
        <f aca="false">INDEX(Laporan!$A$1:$AZ$300,G739,2)</f>
        <v>600 ml</v>
      </c>
      <c r="K739" s="0" t="str">
        <f aca="false">INDEX(Laporan!$A$1:$AZ$300,G739,3)</f>
        <v>Shift 2</v>
      </c>
      <c r="L739" s="0" t="n">
        <f aca="false">INDEX(Laporan!$A$1:$AZ$300,G739,4)</f>
        <v>3</v>
      </c>
      <c r="M739" s="1" t="n">
        <f aca="false">DATE(Pemetaan!$B$1,VALUE(RIGHT(INDEX(Laporan!$A$1:$AZ$300,F739+1,H739),2)),VALUE(LEFT(INDEX(Laporan!$A$1:$AZ$300,F739+1,H739),2)))</f>
        <v>46099</v>
      </c>
      <c r="N739" s="0" t="n">
        <f aca="false">INDEX(Laporan!$A$1:$AZ$300,G739,H739)</f>
        <v>3008</v>
      </c>
      <c r="O739" s="0" t="n">
        <f aca="false">IF(N739="","",IFERROR(VALUE(SUBSTITUTE(SUBSTITUTE(N739," btl",""),".","")),""))</f>
        <v>3008</v>
      </c>
      <c r="P739" s="0" t="str">
        <f aca="false">IF(B739="PRODUKSI","produced","reject")</f>
        <v>produced</v>
      </c>
    </row>
    <row r="740" customFormat="false" ht="15" hidden="false" customHeight="false" outlineLevel="0" collapsed="false">
      <c r="A740" s="0" t="n">
        <v>739</v>
      </c>
      <c r="B740" s="0" t="str">
        <f aca="false">IF(A740&lt;=36*25,"PRODUKSI","REJECT")</f>
        <v>PRODUKSI</v>
      </c>
      <c r="C740" s="0" t="n">
        <f aca="false">MOD(A740-1,Pemetaan!$B$3*Pemetaan!$B$4)</f>
        <v>738</v>
      </c>
      <c r="D740" s="0" t="n">
        <f aca="false">INT(C740/Pemetaan!$B$4)</f>
        <v>29</v>
      </c>
      <c r="E740" s="0" t="n">
        <f aca="false">MOD(C740,Pemetaan!$B$4)</f>
        <v>13</v>
      </c>
      <c r="F740" s="0" t="n">
        <f aca="false">IF(B740="PRODUKSI",Pemetaan!$B$5,Pemetaan!$B$6)</f>
        <v>5</v>
      </c>
      <c r="G740" s="0" t="n">
        <f aca="false">F740+2+D740</f>
        <v>36</v>
      </c>
      <c r="H740" s="0" t="n">
        <f aca="false">Pemetaan!$B$2+E740</f>
        <v>18</v>
      </c>
      <c r="I740" s="0" t="str">
        <f aca="false">INDEX(Laporan!$A$1:$AZ$300,G740,1)</f>
        <v>Mixing</v>
      </c>
      <c r="J740" s="0" t="str">
        <f aca="false">INDEX(Laporan!$A$1:$AZ$300,G740,2)</f>
        <v>600 ml</v>
      </c>
      <c r="K740" s="0" t="str">
        <f aca="false">INDEX(Laporan!$A$1:$AZ$300,G740,3)</f>
        <v>Shift 2</v>
      </c>
      <c r="L740" s="0" t="n">
        <f aca="false">INDEX(Laporan!$A$1:$AZ$300,G740,4)</f>
        <v>3</v>
      </c>
      <c r="M740" s="1" t="n">
        <f aca="false">DATE(Pemetaan!$B$1,VALUE(RIGHT(INDEX(Laporan!$A$1:$AZ$300,F740+1,H740),2)),VALUE(LEFT(INDEX(Laporan!$A$1:$AZ$300,F740+1,H740),2)))</f>
        <v>46100</v>
      </c>
      <c r="N740" s="0" t="n">
        <f aca="false">INDEX(Laporan!$A$1:$AZ$300,G740,H740)</f>
        <v>2848</v>
      </c>
      <c r="O740" s="0" t="n">
        <f aca="false">IF(N740="","",IFERROR(VALUE(SUBSTITUTE(SUBSTITUTE(N740," btl",""),".","")),""))</f>
        <v>2848</v>
      </c>
      <c r="P740" s="0" t="str">
        <f aca="false">IF(B740="PRODUKSI","produced","reject")</f>
        <v>produced</v>
      </c>
    </row>
    <row r="741" customFormat="false" ht="15" hidden="false" customHeight="false" outlineLevel="0" collapsed="false">
      <c r="A741" s="0" t="n">
        <v>740</v>
      </c>
      <c r="B741" s="0" t="str">
        <f aca="false">IF(A741&lt;=36*25,"PRODUKSI","REJECT")</f>
        <v>PRODUKSI</v>
      </c>
      <c r="C741" s="0" t="n">
        <f aca="false">MOD(A741-1,Pemetaan!$B$3*Pemetaan!$B$4)</f>
        <v>739</v>
      </c>
      <c r="D741" s="0" t="n">
        <f aca="false">INT(C741/Pemetaan!$B$4)</f>
        <v>29</v>
      </c>
      <c r="E741" s="0" t="n">
        <f aca="false">MOD(C741,Pemetaan!$B$4)</f>
        <v>14</v>
      </c>
      <c r="F741" s="0" t="n">
        <f aca="false">IF(B741="PRODUKSI",Pemetaan!$B$5,Pemetaan!$B$6)</f>
        <v>5</v>
      </c>
      <c r="G741" s="0" t="n">
        <f aca="false">F741+2+D741</f>
        <v>36</v>
      </c>
      <c r="H741" s="0" t="n">
        <f aca="false">Pemetaan!$B$2+E741</f>
        <v>19</v>
      </c>
      <c r="I741" s="0" t="str">
        <f aca="false">INDEX(Laporan!$A$1:$AZ$300,G741,1)</f>
        <v>Mixing</v>
      </c>
      <c r="J741" s="0" t="str">
        <f aca="false">INDEX(Laporan!$A$1:$AZ$300,G741,2)</f>
        <v>600 ml</v>
      </c>
      <c r="K741" s="0" t="str">
        <f aca="false">INDEX(Laporan!$A$1:$AZ$300,G741,3)</f>
        <v>Shift 2</v>
      </c>
      <c r="L741" s="0" t="n">
        <f aca="false">INDEX(Laporan!$A$1:$AZ$300,G741,4)</f>
        <v>3</v>
      </c>
      <c r="M741" s="1" t="n">
        <f aca="false">DATE(Pemetaan!$B$1,VALUE(RIGHT(INDEX(Laporan!$A$1:$AZ$300,F741+1,H741),2)),VALUE(LEFT(INDEX(Laporan!$A$1:$AZ$300,F741+1,H741),2)))</f>
        <v>46101</v>
      </c>
      <c r="N741" s="0" t="n">
        <f aca="false">INDEX(Laporan!$A$1:$AZ$300,G741,H741)</f>
        <v>3106</v>
      </c>
      <c r="O741" s="0" t="n">
        <f aca="false">IF(N741="","",IFERROR(VALUE(SUBSTITUTE(SUBSTITUTE(N741," btl",""),".","")),""))</f>
        <v>3106</v>
      </c>
      <c r="P741" s="0" t="str">
        <f aca="false">IF(B741="PRODUKSI","produced","reject")</f>
        <v>produced</v>
      </c>
    </row>
    <row r="742" customFormat="false" ht="15" hidden="false" customHeight="false" outlineLevel="0" collapsed="false">
      <c r="A742" s="0" t="n">
        <v>741</v>
      </c>
      <c r="B742" s="0" t="str">
        <f aca="false">IF(A742&lt;=36*25,"PRODUKSI","REJECT")</f>
        <v>PRODUKSI</v>
      </c>
      <c r="C742" s="0" t="n">
        <f aca="false">MOD(A742-1,Pemetaan!$B$3*Pemetaan!$B$4)</f>
        <v>740</v>
      </c>
      <c r="D742" s="0" t="n">
        <f aca="false">INT(C742/Pemetaan!$B$4)</f>
        <v>29</v>
      </c>
      <c r="E742" s="0" t="n">
        <f aca="false">MOD(C742,Pemetaan!$B$4)</f>
        <v>15</v>
      </c>
      <c r="F742" s="0" t="n">
        <f aca="false">IF(B742="PRODUKSI",Pemetaan!$B$5,Pemetaan!$B$6)</f>
        <v>5</v>
      </c>
      <c r="G742" s="0" t="n">
        <f aca="false">F742+2+D742</f>
        <v>36</v>
      </c>
      <c r="H742" s="0" t="n">
        <f aca="false">Pemetaan!$B$2+E742</f>
        <v>20</v>
      </c>
      <c r="I742" s="0" t="str">
        <f aca="false">INDEX(Laporan!$A$1:$AZ$300,G742,1)</f>
        <v>Mixing</v>
      </c>
      <c r="J742" s="0" t="str">
        <f aca="false">INDEX(Laporan!$A$1:$AZ$300,G742,2)</f>
        <v>600 ml</v>
      </c>
      <c r="K742" s="0" t="str">
        <f aca="false">INDEX(Laporan!$A$1:$AZ$300,G742,3)</f>
        <v>Shift 2</v>
      </c>
      <c r="L742" s="0" t="n">
        <f aca="false">INDEX(Laporan!$A$1:$AZ$300,G742,4)</f>
        <v>3</v>
      </c>
      <c r="M742" s="1" t="n">
        <f aca="false">DATE(Pemetaan!$B$1,VALUE(RIGHT(INDEX(Laporan!$A$1:$AZ$300,F742+1,H742),2)),VALUE(LEFT(INDEX(Laporan!$A$1:$AZ$300,F742+1,H742),2)))</f>
        <v>46104</v>
      </c>
      <c r="N742" s="0" t="n">
        <f aca="false">INDEX(Laporan!$A$1:$AZ$300,G742,H742)</f>
        <v>3068</v>
      </c>
      <c r="O742" s="0" t="n">
        <f aca="false">IF(N742="","",IFERROR(VALUE(SUBSTITUTE(SUBSTITUTE(N742," btl",""),".","")),""))</f>
        <v>3068</v>
      </c>
      <c r="P742" s="0" t="str">
        <f aca="false">IF(B742="PRODUKSI","produced","reject")</f>
        <v>produced</v>
      </c>
    </row>
    <row r="743" customFormat="false" ht="15" hidden="false" customHeight="false" outlineLevel="0" collapsed="false">
      <c r="A743" s="0" t="n">
        <v>742</v>
      </c>
      <c r="B743" s="0" t="str">
        <f aca="false">IF(A743&lt;=36*25,"PRODUKSI","REJECT")</f>
        <v>PRODUKSI</v>
      </c>
      <c r="C743" s="0" t="n">
        <f aca="false">MOD(A743-1,Pemetaan!$B$3*Pemetaan!$B$4)</f>
        <v>741</v>
      </c>
      <c r="D743" s="0" t="n">
        <f aca="false">INT(C743/Pemetaan!$B$4)</f>
        <v>29</v>
      </c>
      <c r="E743" s="0" t="n">
        <f aca="false">MOD(C743,Pemetaan!$B$4)</f>
        <v>16</v>
      </c>
      <c r="F743" s="0" t="n">
        <f aca="false">IF(B743="PRODUKSI",Pemetaan!$B$5,Pemetaan!$B$6)</f>
        <v>5</v>
      </c>
      <c r="G743" s="0" t="n">
        <f aca="false">F743+2+D743</f>
        <v>36</v>
      </c>
      <c r="H743" s="0" t="n">
        <f aca="false">Pemetaan!$B$2+E743</f>
        <v>21</v>
      </c>
      <c r="I743" s="0" t="str">
        <f aca="false">INDEX(Laporan!$A$1:$AZ$300,G743,1)</f>
        <v>Mixing</v>
      </c>
      <c r="J743" s="0" t="str">
        <f aca="false">INDEX(Laporan!$A$1:$AZ$300,G743,2)</f>
        <v>600 ml</v>
      </c>
      <c r="K743" s="0" t="str">
        <f aca="false">INDEX(Laporan!$A$1:$AZ$300,G743,3)</f>
        <v>Shift 2</v>
      </c>
      <c r="L743" s="0" t="n">
        <f aca="false">INDEX(Laporan!$A$1:$AZ$300,G743,4)</f>
        <v>3</v>
      </c>
      <c r="M743" s="1" t="n">
        <f aca="false">DATE(Pemetaan!$B$1,VALUE(RIGHT(INDEX(Laporan!$A$1:$AZ$300,F743+1,H743),2)),VALUE(LEFT(INDEX(Laporan!$A$1:$AZ$300,F743+1,H743),2)))</f>
        <v>46105</v>
      </c>
      <c r="N743" s="0" t="n">
        <f aca="false">INDEX(Laporan!$A$1:$AZ$300,G743,H743)</f>
        <v>2564</v>
      </c>
      <c r="O743" s="0" t="n">
        <f aca="false">IF(N743="","",IFERROR(VALUE(SUBSTITUTE(SUBSTITUTE(N743," btl",""),".","")),""))</f>
        <v>2564</v>
      </c>
      <c r="P743" s="0" t="str">
        <f aca="false">IF(B743="PRODUKSI","produced","reject")</f>
        <v>produced</v>
      </c>
    </row>
    <row r="744" customFormat="false" ht="15" hidden="false" customHeight="false" outlineLevel="0" collapsed="false">
      <c r="A744" s="0" t="n">
        <v>743</v>
      </c>
      <c r="B744" s="0" t="str">
        <f aca="false">IF(A744&lt;=36*25,"PRODUKSI","REJECT")</f>
        <v>PRODUKSI</v>
      </c>
      <c r="C744" s="0" t="n">
        <f aca="false">MOD(A744-1,Pemetaan!$B$3*Pemetaan!$B$4)</f>
        <v>742</v>
      </c>
      <c r="D744" s="0" t="n">
        <f aca="false">INT(C744/Pemetaan!$B$4)</f>
        <v>29</v>
      </c>
      <c r="E744" s="0" t="n">
        <f aca="false">MOD(C744,Pemetaan!$B$4)</f>
        <v>17</v>
      </c>
      <c r="F744" s="0" t="n">
        <f aca="false">IF(B744="PRODUKSI",Pemetaan!$B$5,Pemetaan!$B$6)</f>
        <v>5</v>
      </c>
      <c r="G744" s="0" t="n">
        <f aca="false">F744+2+D744</f>
        <v>36</v>
      </c>
      <c r="H744" s="0" t="n">
        <f aca="false">Pemetaan!$B$2+E744</f>
        <v>22</v>
      </c>
      <c r="I744" s="0" t="str">
        <f aca="false">INDEX(Laporan!$A$1:$AZ$300,G744,1)</f>
        <v>Mixing</v>
      </c>
      <c r="J744" s="0" t="str">
        <f aca="false">INDEX(Laporan!$A$1:$AZ$300,G744,2)</f>
        <v>600 ml</v>
      </c>
      <c r="K744" s="0" t="str">
        <f aca="false">INDEX(Laporan!$A$1:$AZ$300,G744,3)</f>
        <v>Shift 2</v>
      </c>
      <c r="L744" s="0" t="n">
        <f aca="false">INDEX(Laporan!$A$1:$AZ$300,G744,4)</f>
        <v>3</v>
      </c>
      <c r="M744" s="1" t="n">
        <f aca="false">DATE(Pemetaan!$B$1,VALUE(RIGHT(INDEX(Laporan!$A$1:$AZ$300,F744+1,H744),2)),VALUE(LEFT(INDEX(Laporan!$A$1:$AZ$300,F744+1,H744),2)))</f>
        <v>46106</v>
      </c>
      <c r="N744" s="0" t="n">
        <f aca="false">INDEX(Laporan!$A$1:$AZ$300,G744,H744)</f>
        <v>2614</v>
      </c>
      <c r="O744" s="0" t="n">
        <f aca="false">IF(N744="","",IFERROR(VALUE(SUBSTITUTE(SUBSTITUTE(N744," btl",""),".","")),""))</f>
        <v>2614</v>
      </c>
      <c r="P744" s="0" t="str">
        <f aca="false">IF(B744="PRODUKSI","produced","reject")</f>
        <v>produced</v>
      </c>
    </row>
    <row r="745" customFormat="false" ht="15" hidden="false" customHeight="false" outlineLevel="0" collapsed="false">
      <c r="A745" s="0" t="n">
        <v>744</v>
      </c>
      <c r="B745" s="0" t="str">
        <f aca="false">IF(A745&lt;=36*25,"PRODUKSI","REJECT")</f>
        <v>PRODUKSI</v>
      </c>
      <c r="C745" s="0" t="n">
        <f aca="false">MOD(A745-1,Pemetaan!$B$3*Pemetaan!$B$4)</f>
        <v>743</v>
      </c>
      <c r="D745" s="0" t="n">
        <f aca="false">INT(C745/Pemetaan!$B$4)</f>
        <v>29</v>
      </c>
      <c r="E745" s="0" t="n">
        <f aca="false">MOD(C745,Pemetaan!$B$4)</f>
        <v>18</v>
      </c>
      <c r="F745" s="0" t="n">
        <f aca="false">IF(B745="PRODUKSI",Pemetaan!$B$5,Pemetaan!$B$6)</f>
        <v>5</v>
      </c>
      <c r="G745" s="0" t="n">
        <f aca="false">F745+2+D745</f>
        <v>36</v>
      </c>
      <c r="H745" s="0" t="n">
        <f aca="false">Pemetaan!$B$2+E745</f>
        <v>23</v>
      </c>
      <c r="I745" s="0" t="str">
        <f aca="false">INDEX(Laporan!$A$1:$AZ$300,G745,1)</f>
        <v>Mixing</v>
      </c>
      <c r="J745" s="0" t="str">
        <f aca="false">INDEX(Laporan!$A$1:$AZ$300,G745,2)</f>
        <v>600 ml</v>
      </c>
      <c r="K745" s="0" t="str">
        <f aca="false">INDEX(Laporan!$A$1:$AZ$300,G745,3)</f>
        <v>Shift 2</v>
      </c>
      <c r="L745" s="0" t="n">
        <f aca="false">INDEX(Laporan!$A$1:$AZ$300,G745,4)</f>
        <v>3</v>
      </c>
      <c r="M745" s="1" t="n">
        <f aca="false">DATE(Pemetaan!$B$1,VALUE(RIGHT(INDEX(Laporan!$A$1:$AZ$300,F745+1,H745),2)),VALUE(LEFT(INDEX(Laporan!$A$1:$AZ$300,F745+1,H745),2)))</f>
        <v>46107</v>
      </c>
      <c r="N745" s="0" t="n">
        <f aca="false">INDEX(Laporan!$A$1:$AZ$300,G745,H745)</f>
        <v>2874</v>
      </c>
      <c r="O745" s="0" t="n">
        <f aca="false">IF(N745="","",IFERROR(VALUE(SUBSTITUTE(SUBSTITUTE(N745," btl",""),".","")),""))</f>
        <v>2874</v>
      </c>
      <c r="P745" s="0" t="str">
        <f aca="false">IF(B745="PRODUKSI","produced","reject")</f>
        <v>produced</v>
      </c>
    </row>
    <row r="746" customFormat="false" ht="15" hidden="false" customHeight="false" outlineLevel="0" collapsed="false">
      <c r="A746" s="0" t="n">
        <v>745</v>
      </c>
      <c r="B746" s="0" t="str">
        <f aca="false">IF(A746&lt;=36*25,"PRODUKSI","REJECT")</f>
        <v>PRODUKSI</v>
      </c>
      <c r="C746" s="0" t="n">
        <f aca="false">MOD(A746-1,Pemetaan!$B$3*Pemetaan!$B$4)</f>
        <v>744</v>
      </c>
      <c r="D746" s="0" t="n">
        <f aca="false">INT(C746/Pemetaan!$B$4)</f>
        <v>29</v>
      </c>
      <c r="E746" s="0" t="n">
        <f aca="false">MOD(C746,Pemetaan!$B$4)</f>
        <v>19</v>
      </c>
      <c r="F746" s="0" t="n">
        <f aca="false">IF(B746="PRODUKSI",Pemetaan!$B$5,Pemetaan!$B$6)</f>
        <v>5</v>
      </c>
      <c r="G746" s="0" t="n">
        <f aca="false">F746+2+D746</f>
        <v>36</v>
      </c>
      <c r="H746" s="0" t="n">
        <f aca="false">Pemetaan!$B$2+E746</f>
        <v>24</v>
      </c>
      <c r="I746" s="0" t="str">
        <f aca="false">INDEX(Laporan!$A$1:$AZ$300,G746,1)</f>
        <v>Mixing</v>
      </c>
      <c r="J746" s="0" t="str">
        <f aca="false">INDEX(Laporan!$A$1:$AZ$300,G746,2)</f>
        <v>600 ml</v>
      </c>
      <c r="K746" s="0" t="str">
        <f aca="false">INDEX(Laporan!$A$1:$AZ$300,G746,3)</f>
        <v>Shift 2</v>
      </c>
      <c r="L746" s="0" t="n">
        <f aca="false">INDEX(Laporan!$A$1:$AZ$300,G746,4)</f>
        <v>3</v>
      </c>
      <c r="M746" s="1" t="n">
        <f aca="false">DATE(Pemetaan!$B$1,VALUE(RIGHT(INDEX(Laporan!$A$1:$AZ$300,F746+1,H746),2)),VALUE(LEFT(INDEX(Laporan!$A$1:$AZ$300,F746+1,H746),2)))</f>
        <v>46108</v>
      </c>
      <c r="N746" s="0" t="n">
        <f aca="false">INDEX(Laporan!$A$1:$AZ$300,G746,H746)</f>
        <v>3120</v>
      </c>
      <c r="O746" s="0" t="n">
        <f aca="false">IF(N746="","",IFERROR(VALUE(SUBSTITUTE(SUBSTITUTE(N746," btl",""),".","")),""))</f>
        <v>3120</v>
      </c>
      <c r="P746" s="0" t="str">
        <f aca="false">IF(B746="PRODUKSI","produced","reject")</f>
        <v>produced</v>
      </c>
    </row>
    <row r="747" customFormat="false" ht="15" hidden="false" customHeight="false" outlineLevel="0" collapsed="false">
      <c r="A747" s="0" t="n">
        <v>746</v>
      </c>
      <c r="B747" s="0" t="str">
        <f aca="false">IF(A747&lt;=36*25,"PRODUKSI","REJECT")</f>
        <v>PRODUKSI</v>
      </c>
      <c r="C747" s="0" t="n">
        <f aca="false">MOD(A747-1,Pemetaan!$B$3*Pemetaan!$B$4)</f>
        <v>745</v>
      </c>
      <c r="D747" s="0" t="n">
        <f aca="false">INT(C747/Pemetaan!$B$4)</f>
        <v>29</v>
      </c>
      <c r="E747" s="0" t="n">
        <f aca="false">MOD(C747,Pemetaan!$B$4)</f>
        <v>20</v>
      </c>
      <c r="F747" s="0" t="n">
        <f aca="false">IF(B747="PRODUKSI",Pemetaan!$B$5,Pemetaan!$B$6)</f>
        <v>5</v>
      </c>
      <c r="G747" s="0" t="n">
        <f aca="false">F747+2+D747</f>
        <v>36</v>
      </c>
      <c r="H747" s="0" t="n">
        <f aca="false">Pemetaan!$B$2+E747</f>
        <v>25</v>
      </c>
      <c r="I747" s="0" t="str">
        <f aca="false">INDEX(Laporan!$A$1:$AZ$300,G747,1)</f>
        <v>Mixing</v>
      </c>
      <c r="J747" s="0" t="str">
        <f aca="false">INDEX(Laporan!$A$1:$AZ$300,G747,2)</f>
        <v>600 ml</v>
      </c>
      <c r="K747" s="0" t="str">
        <f aca="false">INDEX(Laporan!$A$1:$AZ$300,G747,3)</f>
        <v>Shift 2</v>
      </c>
      <c r="L747" s="0" t="n">
        <f aca="false">INDEX(Laporan!$A$1:$AZ$300,G747,4)</f>
        <v>3</v>
      </c>
      <c r="M747" s="1" t="n">
        <f aca="false">DATE(Pemetaan!$B$1,VALUE(RIGHT(INDEX(Laporan!$A$1:$AZ$300,F747+1,H747),2)),VALUE(LEFT(INDEX(Laporan!$A$1:$AZ$300,F747+1,H747),2)))</f>
        <v>46111</v>
      </c>
      <c r="N747" s="0" t="n">
        <f aca="false">INDEX(Laporan!$A$1:$AZ$300,G747,H747)</f>
        <v>2670</v>
      </c>
      <c r="O747" s="0" t="n">
        <f aca="false">IF(N747="","",IFERROR(VALUE(SUBSTITUTE(SUBSTITUTE(N747," btl",""),".","")),""))</f>
        <v>2670</v>
      </c>
      <c r="P747" s="0" t="str">
        <f aca="false">IF(B747="PRODUKSI","produced","reject")</f>
        <v>produced</v>
      </c>
    </row>
    <row r="748" customFormat="false" ht="15" hidden="false" customHeight="false" outlineLevel="0" collapsed="false">
      <c r="A748" s="0" t="n">
        <v>747</v>
      </c>
      <c r="B748" s="0" t="str">
        <f aca="false">IF(A748&lt;=36*25,"PRODUKSI","REJECT")</f>
        <v>PRODUKSI</v>
      </c>
      <c r="C748" s="0" t="n">
        <f aca="false">MOD(A748-1,Pemetaan!$B$3*Pemetaan!$B$4)</f>
        <v>746</v>
      </c>
      <c r="D748" s="0" t="n">
        <f aca="false">INT(C748/Pemetaan!$B$4)</f>
        <v>29</v>
      </c>
      <c r="E748" s="0" t="n">
        <f aca="false">MOD(C748,Pemetaan!$B$4)</f>
        <v>21</v>
      </c>
      <c r="F748" s="0" t="n">
        <f aca="false">IF(B748="PRODUKSI",Pemetaan!$B$5,Pemetaan!$B$6)</f>
        <v>5</v>
      </c>
      <c r="G748" s="0" t="n">
        <f aca="false">F748+2+D748</f>
        <v>36</v>
      </c>
      <c r="H748" s="0" t="n">
        <f aca="false">Pemetaan!$B$2+E748</f>
        <v>26</v>
      </c>
      <c r="I748" s="0" t="str">
        <f aca="false">INDEX(Laporan!$A$1:$AZ$300,G748,1)</f>
        <v>Mixing</v>
      </c>
      <c r="J748" s="0" t="str">
        <f aca="false">INDEX(Laporan!$A$1:$AZ$300,G748,2)</f>
        <v>600 ml</v>
      </c>
      <c r="K748" s="0" t="str">
        <f aca="false">INDEX(Laporan!$A$1:$AZ$300,G748,3)</f>
        <v>Shift 2</v>
      </c>
      <c r="L748" s="0" t="n">
        <f aca="false">INDEX(Laporan!$A$1:$AZ$300,G748,4)</f>
        <v>3</v>
      </c>
      <c r="M748" s="1" t="n">
        <f aca="false">DATE(Pemetaan!$B$1,VALUE(RIGHT(INDEX(Laporan!$A$1:$AZ$300,F748+1,H748),2)),VALUE(LEFT(INDEX(Laporan!$A$1:$AZ$300,F748+1,H748),2)))</f>
        <v>46112</v>
      </c>
      <c r="N748" s="0" t="n">
        <f aca="false">INDEX(Laporan!$A$1:$AZ$300,G748,H748)</f>
        <v>2653</v>
      </c>
      <c r="O748" s="0" t="n">
        <f aca="false">IF(N748="","",IFERROR(VALUE(SUBSTITUTE(SUBSTITUTE(N748," btl",""),".","")),""))</f>
        <v>2653</v>
      </c>
      <c r="P748" s="0" t="str">
        <f aca="false">IF(B748="PRODUKSI","produced","reject")</f>
        <v>produced</v>
      </c>
    </row>
    <row r="749" customFormat="false" ht="15" hidden="false" customHeight="false" outlineLevel="0" collapsed="false">
      <c r="A749" s="0" t="n">
        <v>748</v>
      </c>
      <c r="B749" s="0" t="str">
        <f aca="false">IF(A749&lt;=36*25,"PRODUKSI","REJECT")</f>
        <v>PRODUKSI</v>
      </c>
      <c r="C749" s="0" t="n">
        <f aca="false">MOD(A749-1,Pemetaan!$B$3*Pemetaan!$B$4)</f>
        <v>747</v>
      </c>
      <c r="D749" s="0" t="n">
        <f aca="false">INT(C749/Pemetaan!$B$4)</f>
        <v>29</v>
      </c>
      <c r="E749" s="0" t="n">
        <f aca="false">MOD(C749,Pemetaan!$B$4)</f>
        <v>22</v>
      </c>
      <c r="F749" s="0" t="n">
        <f aca="false">IF(B749="PRODUKSI",Pemetaan!$B$5,Pemetaan!$B$6)</f>
        <v>5</v>
      </c>
      <c r="G749" s="0" t="n">
        <f aca="false">F749+2+D749</f>
        <v>36</v>
      </c>
      <c r="H749" s="0" t="n">
        <f aca="false">Pemetaan!$B$2+E749</f>
        <v>27</v>
      </c>
      <c r="I749" s="0" t="str">
        <f aca="false">INDEX(Laporan!$A$1:$AZ$300,G749,1)</f>
        <v>Mixing</v>
      </c>
      <c r="J749" s="0" t="str">
        <f aca="false">INDEX(Laporan!$A$1:$AZ$300,G749,2)</f>
        <v>600 ml</v>
      </c>
      <c r="K749" s="0" t="str">
        <f aca="false">INDEX(Laporan!$A$1:$AZ$300,G749,3)</f>
        <v>Shift 2</v>
      </c>
      <c r="L749" s="0" t="n">
        <f aca="false">INDEX(Laporan!$A$1:$AZ$300,G749,4)</f>
        <v>3</v>
      </c>
      <c r="M749" s="1" t="n">
        <f aca="false">DATE(Pemetaan!$B$1,VALUE(RIGHT(INDEX(Laporan!$A$1:$AZ$300,F749+1,H749),2)),VALUE(LEFT(INDEX(Laporan!$A$1:$AZ$300,F749+1,H749),2)))</f>
        <v>46113</v>
      </c>
      <c r="N749" s="0" t="n">
        <f aca="false">INDEX(Laporan!$A$1:$AZ$300,G749,H749)</f>
        <v>2494</v>
      </c>
      <c r="O749" s="0" t="n">
        <f aca="false">IF(N749="","",IFERROR(VALUE(SUBSTITUTE(SUBSTITUTE(N749," btl",""),".","")),""))</f>
        <v>2494</v>
      </c>
      <c r="P749" s="0" t="str">
        <f aca="false">IF(B749="PRODUKSI","produced","reject")</f>
        <v>produced</v>
      </c>
    </row>
    <row r="750" customFormat="false" ht="15" hidden="false" customHeight="false" outlineLevel="0" collapsed="false">
      <c r="A750" s="0" t="n">
        <v>749</v>
      </c>
      <c r="B750" s="0" t="str">
        <f aca="false">IF(A750&lt;=36*25,"PRODUKSI","REJECT")</f>
        <v>PRODUKSI</v>
      </c>
      <c r="C750" s="0" t="n">
        <f aca="false">MOD(A750-1,Pemetaan!$B$3*Pemetaan!$B$4)</f>
        <v>748</v>
      </c>
      <c r="D750" s="0" t="n">
        <f aca="false">INT(C750/Pemetaan!$B$4)</f>
        <v>29</v>
      </c>
      <c r="E750" s="0" t="n">
        <f aca="false">MOD(C750,Pemetaan!$B$4)</f>
        <v>23</v>
      </c>
      <c r="F750" s="0" t="n">
        <f aca="false">IF(B750="PRODUKSI",Pemetaan!$B$5,Pemetaan!$B$6)</f>
        <v>5</v>
      </c>
      <c r="G750" s="0" t="n">
        <f aca="false">F750+2+D750</f>
        <v>36</v>
      </c>
      <c r="H750" s="0" t="n">
        <f aca="false">Pemetaan!$B$2+E750</f>
        <v>28</v>
      </c>
      <c r="I750" s="0" t="str">
        <f aca="false">INDEX(Laporan!$A$1:$AZ$300,G750,1)</f>
        <v>Mixing</v>
      </c>
      <c r="J750" s="0" t="str">
        <f aca="false">INDEX(Laporan!$A$1:$AZ$300,G750,2)</f>
        <v>600 ml</v>
      </c>
      <c r="K750" s="0" t="str">
        <f aca="false">INDEX(Laporan!$A$1:$AZ$300,G750,3)</f>
        <v>Shift 2</v>
      </c>
      <c r="L750" s="0" t="n">
        <f aca="false">INDEX(Laporan!$A$1:$AZ$300,G750,4)</f>
        <v>3</v>
      </c>
      <c r="M750" s="1" t="n">
        <f aca="false">DATE(Pemetaan!$B$1,VALUE(RIGHT(INDEX(Laporan!$A$1:$AZ$300,F750+1,H750),2)),VALUE(LEFT(INDEX(Laporan!$A$1:$AZ$300,F750+1,H750),2)))</f>
        <v>46114</v>
      </c>
      <c r="N750" s="0" t="n">
        <f aca="false">INDEX(Laporan!$A$1:$AZ$300,G750,H750)</f>
        <v>2924</v>
      </c>
      <c r="O750" s="0" t="n">
        <f aca="false">IF(N750="","",IFERROR(VALUE(SUBSTITUTE(SUBSTITUTE(N750," btl",""),".","")),""))</f>
        <v>2924</v>
      </c>
      <c r="P750" s="0" t="str">
        <f aca="false">IF(B750="PRODUKSI","produced","reject")</f>
        <v>produced</v>
      </c>
    </row>
    <row r="751" customFormat="false" ht="15" hidden="false" customHeight="false" outlineLevel="0" collapsed="false">
      <c r="A751" s="0" t="n">
        <v>750</v>
      </c>
      <c r="B751" s="0" t="str">
        <f aca="false">IF(A751&lt;=36*25,"PRODUKSI","REJECT")</f>
        <v>PRODUKSI</v>
      </c>
      <c r="C751" s="0" t="n">
        <f aca="false">MOD(A751-1,Pemetaan!$B$3*Pemetaan!$B$4)</f>
        <v>749</v>
      </c>
      <c r="D751" s="0" t="n">
        <f aca="false">INT(C751/Pemetaan!$B$4)</f>
        <v>29</v>
      </c>
      <c r="E751" s="0" t="n">
        <f aca="false">MOD(C751,Pemetaan!$B$4)</f>
        <v>24</v>
      </c>
      <c r="F751" s="0" t="n">
        <f aca="false">IF(B751="PRODUKSI",Pemetaan!$B$5,Pemetaan!$B$6)</f>
        <v>5</v>
      </c>
      <c r="G751" s="0" t="n">
        <f aca="false">F751+2+D751</f>
        <v>36</v>
      </c>
      <c r="H751" s="0" t="n">
        <f aca="false">Pemetaan!$B$2+E751</f>
        <v>29</v>
      </c>
      <c r="I751" s="0" t="str">
        <f aca="false">INDEX(Laporan!$A$1:$AZ$300,G751,1)</f>
        <v>Mixing</v>
      </c>
      <c r="J751" s="0" t="str">
        <f aca="false">INDEX(Laporan!$A$1:$AZ$300,G751,2)</f>
        <v>600 ml</v>
      </c>
      <c r="K751" s="0" t="str">
        <f aca="false">INDEX(Laporan!$A$1:$AZ$300,G751,3)</f>
        <v>Shift 2</v>
      </c>
      <c r="L751" s="0" t="n">
        <f aca="false">INDEX(Laporan!$A$1:$AZ$300,G751,4)</f>
        <v>3</v>
      </c>
      <c r="M751" s="1" t="n">
        <f aca="false">DATE(Pemetaan!$B$1,VALUE(RIGHT(INDEX(Laporan!$A$1:$AZ$300,F751+1,H751),2)),VALUE(LEFT(INDEX(Laporan!$A$1:$AZ$300,F751+1,H751),2)))</f>
        <v>46115</v>
      </c>
      <c r="N751" s="0" t="n">
        <f aca="false">INDEX(Laporan!$A$1:$AZ$300,G751,H751)</f>
        <v>2836</v>
      </c>
      <c r="O751" s="0" t="n">
        <f aca="false">IF(N751="","",IFERROR(VALUE(SUBSTITUTE(SUBSTITUTE(N751," btl",""),".","")),""))</f>
        <v>2836</v>
      </c>
      <c r="P751" s="0" t="str">
        <f aca="false">IF(B751="PRODUKSI","produced","reject")</f>
        <v>produced</v>
      </c>
    </row>
    <row r="752" customFormat="false" ht="15" hidden="false" customHeight="false" outlineLevel="0" collapsed="false">
      <c r="A752" s="0" t="n">
        <v>751</v>
      </c>
      <c r="B752" s="0" t="str">
        <f aca="false">IF(A752&lt;=36*25,"PRODUKSI","REJECT")</f>
        <v>PRODUKSI</v>
      </c>
      <c r="C752" s="0" t="n">
        <f aca="false">MOD(A752-1,Pemetaan!$B$3*Pemetaan!$B$4)</f>
        <v>750</v>
      </c>
      <c r="D752" s="0" t="n">
        <f aca="false">INT(C752/Pemetaan!$B$4)</f>
        <v>30</v>
      </c>
      <c r="E752" s="0" t="n">
        <f aca="false">MOD(C752,Pemetaan!$B$4)</f>
        <v>0</v>
      </c>
      <c r="F752" s="0" t="n">
        <f aca="false">IF(B752="PRODUKSI",Pemetaan!$B$5,Pemetaan!$B$6)</f>
        <v>5</v>
      </c>
      <c r="G752" s="0" t="n">
        <f aca="false">F752+2+D752</f>
        <v>37</v>
      </c>
      <c r="H752" s="0" t="n">
        <f aca="false">Pemetaan!$B$2+E752</f>
        <v>5</v>
      </c>
      <c r="I752" s="0" t="str">
        <f aca="false">INDEX(Laporan!$A$1:$AZ$300,G752,1)</f>
        <v>Mixing</v>
      </c>
      <c r="J752" s="0" t="str">
        <f aca="false">INDEX(Laporan!$A$1:$AZ$300,G752,2)</f>
        <v>1,5 L</v>
      </c>
      <c r="K752" s="0" t="str">
        <f aca="false">INDEX(Laporan!$A$1:$AZ$300,G752,3)</f>
        <v>Shift 1</v>
      </c>
      <c r="L752" s="0" t="n">
        <f aca="false">INDEX(Laporan!$A$1:$AZ$300,G752,4)</f>
        <v>1</v>
      </c>
      <c r="M752" s="1" t="n">
        <f aca="false">DATE(Pemetaan!$B$1,VALUE(RIGHT(INDEX(Laporan!$A$1:$AZ$300,F752+1,H752),2)),VALUE(LEFT(INDEX(Laporan!$A$1:$AZ$300,F752+1,H752),2)))</f>
        <v>46083</v>
      </c>
      <c r="N752" s="0" t="str">
        <f aca="false">INDEX(Laporan!$A$1:$AZ$300,G752,H752)</f>
        <v>-</v>
      </c>
      <c r="O752" s="0" t="str">
        <f aca="false">IF(N752="","",IFERROR(VALUE(SUBSTITUTE(SUBSTITUTE(N752," btl",""),".","")),""))</f>
        <v/>
      </c>
      <c r="P752" s="0" t="str">
        <f aca="false">IF(B752="PRODUKSI","produced","reject")</f>
        <v>produced</v>
      </c>
    </row>
    <row r="753" customFormat="false" ht="15" hidden="false" customHeight="false" outlineLevel="0" collapsed="false">
      <c r="A753" s="0" t="n">
        <v>752</v>
      </c>
      <c r="B753" s="0" t="str">
        <f aca="false">IF(A753&lt;=36*25,"PRODUKSI","REJECT")</f>
        <v>PRODUKSI</v>
      </c>
      <c r="C753" s="0" t="n">
        <f aca="false">MOD(A753-1,Pemetaan!$B$3*Pemetaan!$B$4)</f>
        <v>751</v>
      </c>
      <c r="D753" s="0" t="n">
        <f aca="false">INT(C753/Pemetaan!$B$4)</f>
        <v>30</v>
      </c>
      <c r="E753" s="0" t="n">
        <f aca="false">MOD(C753,Pemetaan!$B$4)</f>
        <v>1</v>
      </c>
      <c r="F753" s="0" t="n">
        <f aca="false">IF(B753="PRODUKSI",Pemetaan!$B$5,Pemetaan!$B$6)</f>
        <v>5</v>
      </c>
      <c r="G753" s="0" t="n">
        <f aca="false">F753+2+D753</f>
        <v>37</v>
      </c>
      <c r="H753" s="0" t="n">
        <f aca="false">Pemetaan!$B$2+E753</f>
        <v>6</v>
      </c>
      <c r="I753" s="0" t="str">
        <f aca="false">INDEX(Laporan!$A$1:$AZ$300,G753,1)</f>
        <v>Mixing</v>
      </c>
      <c r="J753" s="0" t="str">
        <f aca="false">INDEX(Laporan!$A$1:$AZ$300,G753,2)</f>
        <v>1,5 L</v>
      </c>
      <c r="K753" s="0" t="str">
        <f aca="false">INDEX(Laporan!$A$1:$AZ$300,G753,3)</f>
        <v>Shift 1</v>
      </c>
      <c r="L753" s="0" t="n">
        <f aca="false">INDEX(Laporan!$A$1:$AZ$300,G753,4)</f>
        <v>1</v>
      </c>
      <c r="M753" s="1" t="n">
        <f aca="false">DATE(Pemetaan!$B$1,VALUE(RIGHT(INDEX(Laporan!$A$1:$AZ$300,F753+1,H753),2)),VALUE(LEFT(INDEX(Laporan!$A$1:$AZ$300,F753+1,H753),2)))</f>
        <v>46084</v>
      </c>
      <c r="N753" s="0" t="n">
        <f aca="false">INDEX(Laporan!$A$1:$AZ$300,G753,H753)</f>
        <v>1358</v>
      </c>
      <c r="O753" s="0" t="n">
        <f aca="false">IF(N753="","",IFERROR(VALUE(SUBSTITUTE(SUBSTITUTE(N753," btl",""),".","")),""))</f>
        <v>1358</v>
      </c>
      <c r="P753" s="0" t="str">
        <f aca="false">IF(B753="PRODUKSI","produced","reject")</f>
        <v>produced</v>
      </c>
    </row>
    <row r="754" customFormat="false" ht="15" hidden="false" customHeight="false" outlineLevel="0" collapsed="false">
      <c r="A754" s="0" t="n">
        <v>753</v>
      </c>
      <c r="B754" s="0" t="str">
        <f aca="false">IF(A754&lt;=36*25,"PRODUKSI","REJECT")</f>
        <v>PRODUKSI</v>
      </c>
      <c r="C754" s="0" t="n">
        <f aca="false">MOD(A754-1,Pemetaan!$B$3*Pemetaan!$B$4)</f>
        <v>752</v>
      </c>
      <c r="D754" s="0" t="n">
        <f aca="false">INT(C754/Pemetaan!$B$4)</f>
        <v>30</v>
      </c>
      <c r="E754" s="0" t="n">
        <f aca="false">MOD(C754,Pemetaan!$B$4)</f>
        <v>2</v>
      </c>
      <c r="F754" s="0" t="n">
        <f aca="false">IF(B754="PRODUKSI",Pemetaan!$B$5,Pemetaan!$B$6)</f>
        <v>5</v>
      </c>
      <c r="G754" s="0" t="n">
        <f aca="false">F754+2+D754</f>
        <v>37</v>
      </c>
      <c r="H754" s="0" t="n">
        <f aca="false">Pemetaan!$B$2+E754</f>
        <v>7</v>
      </c>
      <c r="I754" s="0" t="str">
        <f aca="false">INDEX(Laporan!$A$1:$AZ$300,G754,1)</f>
        <v>Mixing</v>
      </c>
      <c r="J754" s="0" t="str">
        <f aca="false">INDEX(Laporan!$A$1:$AZ$300,G754,2)</f>
        <v>1,5 L</v>
      </c>
      <c r="K754" s="0" t="str">
        <f aca="false">INDEX(Laporan!$A$1:$AZ$300,G754,3)</f>
        <v>Shift 1</v>
      </c>
      <c r="L754" s="0" t="n">
        <f aca="false">INDEX(Laporan!$A$1:$AZ$300,G754,4)</f>
        <v>1</v>
      </c>
      <c r="M754" s="1" t="n">
        <f aca="false">DATE(Pemetaan!$B$1,VALUE(RIGHT(INDEX(Laporan!$A$1:$AZ$300,F754+1,H754),2)),VALUE(LEFT(INDEX(Laporan!$A$1:$AZ$300,F754+1,H754),2)))</f>
        <v>46085</v>
      </c>
      <c r="N754" s="0" t="n">
        <f aca="false">INDEX(Laporan!$A$1:$AZ$300,G754,H754)</f>
        <v>13250</v>
      </c>
      <c r="O754" s="0" t="n">
        <f aca="false">IF(N754="","",IFERROR(VALUE(SUBSTITUTE(SUBSTITUTE(N754," btl",""),".","")),""))</f>
        <v>13250</v>
      </c>
      <c r="P754" s="0" t="str">
        <f aca="false">IF(B754="PRODUKSI","produced","reject")</f>
        <v>produced</v>
      </c>
    </row>
    <row r="755" customFormat="false" ht="15" hidden="false" customHeight="false" outlineLevel="0" collapsed="false">
      <c r="A755" s="0" t="n">
        <v>754</v>
      </c>
      <c r="B755" s="0" t="str">
        <f aca="false">IF(A755&lt;=36*25,"PRODUKSI","REJECT")</f>
        <v>PRODUKSI</v>
      </c>
      <c r="C755" s="0" t="n">
        <f aca="false">MOD(A755-1,Pemetaan!$B$3*Pemetaan!$B$4)</f>
        <v>753</v>
      </c>
      <c r="D755" s="0" t="n">
        <f aca="false">INT(C755/Pemetaan!$B$4)</f>
        <v>30</v>
      </c>
      <c r="E755" s="0" t="n">
        <f aca="false">MOD(C755,Pemetaan!$B$4)</f>
        <v>3</v>
      </c>
      <c r="F755" s="0" t="n">
        <f aca="false">IF(B755="PRODUKSI",Pemetaan!$B$5,Pemetaan!$B$6)</f>
        <v>5</v>
      </c>
      <c r="G755" s="0" t="n">
        <f aca="false">F755+2+D755</f>
        <v>37</v>
      </c>
      <c r="H755" s="0" t="n">
        <f aca="false">Pemetaan!$B$2+E755</f>
        <v>8</v>
      </c>
      <c r="I755" s="0" t="str">
        <f aca="false">INDEX(Laporan!$A$1:$AZ$300,G755,1)</f>
        <v>Mixing</v>
      </c>
      <c r="J755" s="0" t="str">
        <f aca="false">INDEX(Laporan!$A$1:$AZ$300,G755,2)</f>
        <v>1,5 L</v>
      </c>
      <c r="K755" s="0" t="str">
        <f aca="false">INDEX(Laporan!$A$1:$AZ$300,G755,3)</f>
        <v>Shift 1</v>
      </c>
      <c r="L755" s="0" t="n">
        <f aca="false">INDEX(Laporan!$A$1:$AZ$300,G755,4)</f>
        <v>1</v>
      </c>
      <c r="M755" s="1" t="n">
        <f aca="false">DATE(Pemetaan!$B$1,VALUE(RIGHT(INDEX(Laporan!$A$1:$AZ$300,F755+1,H755),2)),VALUE(LEFT(INDEX(Laporan!$A$1:$AZ$300,F755+1,H755),2)))</f>
        <v>46086</v>
      </c>
      <c r="N755" s="0" t="n">
        <f aca="false">INDEX(Laporan!$A$1:$AZ$300,G755,H755)</f>
        <v>1348</v>
      </c>
      <c r="O755" s="0" t="n">
        <f aca="false">IF(N755="","",IFERROR(VALUE(SUBSTITUTE(SUBSTITUTE(N755," btl",""),".","")),""))</f>
        <v>1348</v>
      </c>
      <c r="P755" s="0" t="str">
        <f aca="false">IF(B755="PRODUKSI","produced","reject")</f>
        <v>produced</v>
      </c>
    </row>
    <row r="756" customFormat="false" ht="15" hidden="false" customHeight="false" outlineLevel="0" collapsed="false">
      <c r="A756" s="0" t="n">
        <v>755</v>
      </c>
      <c r="B756" s="0" t="str">
        <f aca="false">IF(A756&lt;=36*25,"PRODUKSI","REJECT")</f>
        <v>PRODUKSI</v>
      </c>
      <c r="C756" s="0" t="n">
        <f aca="false">MOD(A756-1,Pemetaan!$B$3*Pemetaan!$B$4)</f>
        <v>754</v>
      </c>
      <c r="D756" s="0" t="n">
        <f aca="false">INT(C756/Pemetaan!$B$4)</f>
        <v>30</v>
      </c>
      <c r="E756" s="0" t="n">
        <f aca="false">MOD(C756,Pemetaan!$B$4)</f>
        <v>4</v>
      </c>
      <c r="F756" s="0" t="n">
        <f aca="false">IF(B756="PRODUKSI",Pemetaan!$B$5,Pemetaan!$B$6)</f>
        <v>5</v>
      </c>
      <c r="G756" s="0" t="n">
        <f aca="false">F756+2+D756</f>
        <v>37</v>
      </c>
      <c r="H756" s="0" t="n">
        <f aca="false">Pemetaan!$B$2+E756</f>
        <v>9</v>
      </c>
      <c r="I756" s="0" t="str">
        <f aca="false">INDEX(Laporan!$A$1:$AZ$300,G756,1)</f>
        <v>Mixing</v>
      </c>
      <c r="J756" s="0" t="str">
        <f aca="false">INDEX(Laporan!$A$1:$AZ$300,G756,2)</f>
        <v>1,5 L</v>
      </c>
      <c r="K756" s="0" t="str">
        <f aca="false">INDEX(Laporan!$A$1:$AZ$300,G756,3)</f>
        <v>Shift 1</v>
      </c>
      <c r="L756" s="0" t="n">
        <f aca="false">INDEX(Laporan!$A$1:$AZ$300,G756,4)</f>
        <v>1</v>
      </c>
      <c r="M756" s="1" t="n">
        <f aca="false">DATE(Pemetaan!$B$1,VALUE(RIGHT(INDEX(Laporan!$A$1:$AZ$300,F756+1,H756),2)),VALUE(LEFT(INDEX(Laporan!$A$1:$AZ$300,F756+1,H756),2)))</f>
        <v>46087</v>
      </c>
      <c r="N756" s="0" t="n">
        <f aca="false">INDEX(Laporan!$A$1:$AZ$300,G756,H756)</f>
        <v>1466</v>
      </c>
      <c r="O756" s="0" t="n">
        <f aca="false">IF(N756="","",IFERROR(VALUE(SUBSTITUTE(SUBSTITUTE(N756," btl",""),".","")),""))</f>
        <v>1466</v>
      </c>
      <c r="P756" s="0" t="str">
        <f aca="false">IF(B756="PRODUKSI","produced","reject")</f>
        <v>produced</v>
      </c>
    </row>
    <row r="757" customFormat="false" ht="15" hidden="false" customHeight="false" outlineLevel="0" collapsed="false">
      <c r="A757" s="0" t="n">
        <v>756</v>
      </c>
      <c r="B757" s="0" t="str">
        <f aca="false">IF(A757&lt;=36*25,"PRODUKSI","REJECT")</f>
        <v>PRODUKSI</v>
      </c>
      <c r="C757" s="0" t="n">
        <f aca="false">MOD(A757-1,Pemetaan!$B$3*Pemetaan!$B$4)</f>
        <v>755</v>
      </c>
      <c r="D757" s="0" t="n">
        <f aca="false">INT(C757/Pemetaan!$B$4)</f>
        <v>30</v>
      </c>
      <c r="E757" s="0" t="n">
        <f aca="false">MOD(C757,Pemetaan!$B$4)</f>
        <v>5</v>
      </c>
      <c r="F757" s="0" t="n">
        <f aca="false">IF(B757="PRODUKSI",Pemetaan!$B$5,Pemetaan!$B$6)</f>
        <v>5</v>
      </c>
      <c r="G757" s="0" t="n">
        <f aca="false">F757+2+D757</f>
        <v>37</v>
      </c>
      <c r="H757" s="0" t="n">
        <f aca="false">Pemetaan!$B$2+E757</f>
        <v>10</v>
      </c>
      <c r="I757" s="0" t="str">
        <f aca="false">INDEX(Laporan!$A$1:$AZ$300,G757,1)</f>
        <v>Mixing</v>
      </c>
      <c r="J757" s="0" t="str">
        <f aca="false">INDEX(Laporan!$A$1:$AZ$300,G757,2)</f>
        <v>1,5 L</v>
      </c>
      <c r="K757" s="0" t="str">
        <f aca="false">INDEX(Laporan!$A$1:$AZ$300,G757,3)</f>
        <v>Shift 1</v>
      </c>
      <c r="L757" s="0" t="n">
        <f aca="false">INDEX(Laporan!$A$1:$AZ$300,G757,4)</f>
        <v>1</v>
      </c>
      <c r="M757" s="1" t="n">
        <f aca="false">DATE(Pemetaan!$B$1,VALUE(RIGHT(INDEX(Laporan!$A$1:$AZ$300,F757+1,H757),2)),VALUE(LEFT(INDEX(Laporan!$A$1:$AZ$300,F757+1,H757),2)))</f>
        <v>46090</v>
      </c>
      <c r="N757" s="0" t="n">
        <f aca="false">INDEX(Laporan!$A$1:$AZ$300,G757,H757)</f>
        <v>1437</v>
      </c>
      <c r="O757" s="0" t="n">
        <f aca="false">IF(N757="","",IFERROR(VALUE(SUBSTITUTE(SUBSTITUTE(N757," btl",""),".","")),""))</f>
        <v>1437</v>
      </c>
      <c r="P757" s="0" t="str">
        <f aca="false">IF(B757="PRODUKSI","produced","reject")</f>
        <v>produced</v>
      </c>
    </row>
    <row r="758" customFormat="false" ht="15" hidden="false" customHeight="false" outlineLevel="0" collapsed="false">
      <c r="A758" s="0" t="n">
        <v>757</v>
      </c>
      <c r="B758" s="0" t="str">
        <f aca="false">IF(A758&lt;=36*25,"PRODUKSI","REJECT")</f>
        <v>PRODUKSI</v>
      </c>
      <c r="C758" s="0" t="n">
        <f aca="false">MOD(A758-1,Pemetaan!$B$3*Pemetaan!$B$4)</f>
        <v>756</v>
      </c>
      <c r="D758" s="0" t="n">
        <f aca="false">INT(C758/Pemetaan!$B$4)</f>
        <v>30</v>
      </c>
      <c r="E758" s="0" t="n">
        <f aca="false">MOD(C758,Pemetaan!$B$4)</f>
        <v>6</v>
      </c>
      <c r="F758" s="0" t="n">
        <f aca="false">IF(B758="PRODUKSI",Pemetaan!$B$5,Pemetaan!$B$6)</f>
        <v>5</v>
      </c>
      <c r="G758" s="0" t="n">
        <f aca="false">F758+2+D758</f>
        <v>37</v>
      </c>
      <c r="H758" s="0" t="n">
        <f aca="false">Pemetaan!$B$2+E758</f>
        <v>11</v>
      </c>
      <c r="I758" s="0" t="str">
        <f aca="false">INDEX(Laporan!$A$1:$AZ$300,G758,1)</f>
        <v>Mixing</v>
      </c>
      <c r="J758" s="0" t="str">
        <f aca="false">INDEX(Laporan!$A$1:$AZ$300,G758,2)</f>
        <v>1,5 L</v>
      </c>
      <c r="K758" s="0" t="str">
        <f aca="false">INDEX(Laporan!$A$1:$AZ$300,G758,3)</f>
        <v>Shift 1</v>
      </c>
      <c r="L758" s="0" t="n">
        <f aca="false">INDEX(Laporan!$A$1:$AZ$300,G758,4)</f>
        <v>1</v>
      </c>
      <c r="M758" s="1" t="n">
        <f aca="false">DATE(Pemetaan!$B$1,VALUE(RIGHT(INDEX(Laporan!$A$1:$AZ$300,F758+1,H758),2)),VALUE(LEFT(INDEX(Laporan!$A$1:$AZ$300,F758+1,H758),2)))</f>
        <v>46091</v>
      </c>
      <c r="N758" s="0" t="n">
        <f aca="false">INDEX(Laporan!$A$1:$AZ$300,G758,H758)</f>
        <v>1460</v>
      </c>
      <c r="O758" s="0" t="n">
        <f aca="false">IF(N758="","",IFERROR(VALUE(SUBSTITUTE(SUBSTITUTE(N758," btl",""),".","")),""))</f>
        <v>1460</v>
      </c>
      <c r="P758" s="0" t="str">
        <f aca="false">IF(B758="PRODUKSI","produced","reject")</f>
        <v>produced</v>
      </c>
    </row>
    <row r="759" customFormat="false" ht="15" hidden="false" customHeight="false" outlineLevel="0" collapsed="false">
      <c r="A759" s="0" t="n">
        <v>758</v>
      </c>
      <c r="B759" s="0" t="str">
        <f aca="false">IF(A759&lt;=36*25,"PRODUKSI","REJECT")</f>
        <v>PRODUKSI</v>
      </c>
      <c r="C759" s="0" t="n">
        <f aca="false">MOD(A759-1,Pemetaan!$B$3*Pemetaan!$B$4)</f>
        <v>757</v>
      </c>
      <c r="D759" s="0" t="n">
        <f aca="false">INT(C759/Pemetaan!$B$4)</f>
        <v>30</v>
      </c>
      <c r="E759" s="0" t="n">
        <f aca="false">MOD(C759,Pemetaan!$B$4)</f>
        <v>7</v>
      </c>
      <c r="F759" s="0" t="n">
        <f aca="false">IF(B759="PRODUKSI",Pemetaan!$B$5,Pemetaan!$B$6)</f>
        <v>5</v>
      </c>
      <c r="G759" s="0" t="n">
        <f aca="false">F759+2+D759</f>
        <v>37</v>
      </c>
      <c r="H759" s="0" t="n">
        <f aca="false">Pemetaan!$B$2+E759</f>
        <v>12</v>
      </c>
      <c r="I759" s="0" t="str">
        <f aca="false">INDEX(Laporan!$A$1:$AZ$300,G759,1)</f>
        <v>Mixing</v>
      </c>
      <c r="J759" s="0" t="str">
        <f aca="false">INDEX(Laporan!$A$1:$AZ$300,G759,2)</f>
        <v>1,5 L</v>
      </c>
      <c r="K759" s="0" t="str">
        <f aca="false">INDEX(Laporan!$A$1:$AZ$300,G759,3)</f>
        <v>Shift 1</v>
      </c>
      <c r="L759" s="0" t="n">
        <f aca="false">INDEX(Laporan!$A$1:$AZ$300,G759,4)</f>
        <v>1</v>
      </c>
      <c r="M759" s="1" t="n">
        <f aca="false">DATE(Pemetaan!$B$1,VALUE(RIGHT(INDEX(Laporan!$A$1:$AZ$300,F759+1,H759),2)),VALUE(LEFT(INDEX(Laporan!$A$1:$AZ$300,F759+1,H759),2)))</f>
        <v>46092</v>
      </c>
      <c r="N759" s="0" t="n">
        <f aca="false">INDEX(Laporan!$A$1:$AZ$300,G759,H759)</f>
        <v>1503</v>
      </c>
      <c r="O759" s="0" t="n">
        <f aca="false">IF(N759="","",IFERROR(VALUE(SUBSTITUTE(SUBSTITUTE(N759," btl",""),".","")),""))</f>
        <v>1503</v>
      </c>
      <c r="P759" s="0" t="str">
        <f aca="false">IF(B759="PRODUKSI","produced","reject")</f>
        <v>produced</v>
      </c>
    </row>
    <row r="760" customFormat="false" ht="15" hidden="false" customHeight="false" outlineLevel="0" collapsed="false">
      <c r="A760" s="0" t="n">
        <v>759</v>
      </c>
      <c r="B760" s="0" t="str">
        <f aca="false">IF(A760&lt;=36*25,"PRODUKSI","REJECT")</f>
        <v>PRODUKSI</v>
      </c>
      <c r="C760" s="0" t="n">
        <f aca="false">MOD(A760-1,Pemetaan!$B$3*Pemetaan!$B$4)</f>
        <v>758</v>
      </c>
      <c r="D760" s="0" t="n">
        <f aca="false">INT(C760/Pemetaan!$B$4)</f>
        <v>30</v>
      </c>
      <c r="E760" s="0" t="n">
        <f aca="false">MOD(C760,Pemetaan!$B$4)</f>
        <v>8</v>
      </c>
      <c r="F760" s="0" t="n">
        <f aca="false">IF(B760="PRODUKSI",Pemetaan!$B$5,Pemetaan!$B$6)</f>
        <v>5</v>
      </c>
      <c r="G760" s="0" t="n">
        <f aca="false">F760+2+D760</f>
        <v>37</v>
      </c>
      <c r="H760" s="0" t="n">
        <f aca="false">Pemetaan!$B$2+E760</f>
        <v>13</v>
      </c>
      <c r="I760" s="0" t="str">
        <f aca="false">INDEX(Laporan!$A$1:$AZ$300,G760,1)</f>
        <v>Mixing</v>
      </c>
      <c r="J760" s="0" t="str">
        <f aca="false">INDEX(Laporan!$A$1:$AZ$300,G760,2)</f>
        <v>1,5 L</v>
      </c>
      <c r="K760" s="0" t="str">
        <f aca="false">INDEX(Laporan!$A$1:$AZ$300,G760,3)</f>
        <v>Shift 1</v>
      </c>
      <c r="L760" s="0" t="n">
        <f aca="false">INDEX(Laporan!$A$1:$AZ$300,G760,4)</f>
        <v>1</v>
      </c>
      <c r="M760" s="1" t="n">
        <f aca="false">DATE(Pemetaan!$B$1,VALUE(RIGHT(INDEX(Laporan!$A$1:$AZ$300,F760+1,H760),2)),VALUE(LEFT(INDEX(Laporan!$A$1:$AZ$300,F760+1,H760),2)))</f>
        <v>46093</v>
      </c>
      <c r="N760" s="0" t="n">
        <f aca="false">INDEX(Laporan!$A$1:$AZ$300,G760,H760)</f>
        <v>1468</v>
      </c>
      <c r="O760" s="0" t="n">
        <f aca="false">IF(N760="","",IFERROR(VALUE(SUBSTITUTE(SUBSTITUTE(N760," btl",""),".","")),""))</f>
        <v>1468</v>
      </c>
      <c r="P760" s="0" t="str">
        <f aca="false">IF(B760="PRODUKSI","produced","reject")</f>
        <v>produced</v>
      </c>
    </row>
    <row r="761" customFormat="false" ht="15" hidden="false" customHeight="false" outlineLevel="0" collapsed="false">
      <c r="A761" s="0" t="n">
        <v>760</v>
      </c>
      <c r="B761" s="0" t="str">
        <f aca="false">IF(A761&lt;=36*25,"PRODUKSI","REJECT")</f>
        <v>PRODUKSI</v>
      </c>
      <c r="C761" s="0" t="n">
        <f aca="false">MOD(A761-1,Pemetaan!$B$3*Pemetaan!$B$4)</f>
        <v>759</v>
      </c>
      <c r="D761" s="0" t="n">
        <f aca="false">INT(C761/Pemetaan!$B$4)</f>
        <v>30</v>
      </c>
      <c r="E761" s="0" t="n">
        <f aca="false">MOD(C761,Pemetaan!$B$4)</f>
        <v>9</v>
      </c>
      <c r="F761" s="0" t="n">
        <f aca="false">IF(B761="PRODUKSI",Pemetaan!$B$5,Pemetaan!$B$6)</f>
        <v>5</v>
      </c>
      <c r="G761" s="0" t="n">
        <f aca="false">F761+2+D761</f>
        <v>37</v>
      </c>
      <c r="H761" s="0" t="n">
        <f aca="false">Pemetaan!$B$2+E761</f>
        <v>14</v>
      </c>
      <c r="I761" s="0" t="str">
        <f aca="false">INDEX(Laporan!$A$1:$AZ$300,G761,1)</f>
        <v>Mixing</v>
      </c>
      <c r="J761" s="0" t="str">
        <f aca="false">INDEX(Laporan!$A$1:$AZ$300,G761,2)</f>
        <v>1,5 L</v>
      </c>
      <c r="K761" s="0" t="str">
        <f aca="false">INDEX(Laporan!$A$1:$AZ$300,G761,3)</f>
        <v>Shift 1</v>
      </c>
      <c r="L761" s="0" t="n">
        <f aca="false">INDEX(Laporan!$A$1:$AZ$300,G761,4)</f>
        <v>1</v>
      </c>
      <c r="M761" s="1" t="n">
        <f aca="false">DATE(Pemetaan!$B$1,VALUE(RIGHT(INDEX(Laporan!$A$1:$AZ$300,F761+1,H761),2)),VALUE(LEFT(INDEX(Laporan!$A$1:$AZ$300,F761+1,H761),2)))</f>
        <v>46094</v>
      </c>
      <c r="N761" s="0" t="n">
        <f aca="false">INDEX(Laporan!$A$1:$AZ$300,G761,H761)</f>
        <v>1452</v>
      </c>
      <c r="O761" s="0" t="n">
        <f aca="false">IF(N761="","",IFERROR(VALUE(SUBSTITUTE(SUBSTITUTE(N761," btl",""),".","")),""))</f>
        <v>1452</v>
      </c>
      <c r="P761" s="0" t="str">
        <f aca="false">IF(B761="PRODUKSI","produced","reject")</f>
        <v>produced</v>
      </c>
    </row>
    <row r="762" customFormat="false" ht="15" hidden="false" customHeight="false" outlineLevel="0" collapsed="false">
      <c r="A762" s="0" t="n">
        <v>761</v>
      </c>
      <c r="B762" s="0" t="str">
        <f aca="false">IF(A762&lt;=36*25,"PRODUKSI","REJECT")</f>
        <v>PRODUKSI</v>
      </c>
      <c r="C762" s="0" t="n">
        <f aca="false">MOD(A762-1,Pemetaan!$B$3*Pemetaan!$B$4)</f>
        <v>760</v>
      </c>
      <c r="D762" s="0" t="n">
        <f aca="false">INT(C762/Pemetaan!$B$4)</f>
        <v>30</v>
      </c>
      <c r="E762" s="0" t="n">
        <f aca="false">MOD(C762,Pemetaan!$B$4)</f>
        <v>10</v>
      </c>
      <c r="F762" s="0" t="n">
        <f aca="false">IF(B762="PRODUKSI",Pemetaan!$B$5,Pemetaan!$B$6)</f>
        <v>5</v>
      </c>
      <c r="G762" s="0" t="n">
        <f aca="false">F762+2+D762</f>
        <v>37</v>
      </c>
      <c r="H762" s="0" t="n">
        <f aca="false">Pemetaan!$B$2+E762</f>
        <v>15</v>
      </c>
      <c r="I762" s="0" t="str">
        <f aca="false">INDEX(Laporan!$A$1:$AZ$300,G762,1)</f>
        <v>Mixing</v>
      </c>
      <c r="J762" s="0" t="str">
        <f aca="false">INDEX(Laporan!$A$1:$AZ$300,G762,2)</f>
        <v>1,5 L</v>
      </c>
      <c r="K762" s="0" t="str">
        <f aca="false">INDEX(Laporan!$A$1:$AZ$300,G762,3)</f>
        <v>Shift 1</v>
      </c>
      <c r="L762" s="0" t="n">
        <f aca="false">INDEX(Laporan!$A$1:$AZ$300,G762,4)</f>
        <v>1</v>
      </c>
      <c r="M762" s="1" t="n">
        <f aca="false">DATE(Pemetaan!$B$1,VALUE(RIGHT(INDEX(Laporan!$A$1:$AZ$300,F762+1,H762),2)),VALUE(LEFT(INDEX(Laporan!$A$1:$AZ$300,F762+1,H762),2)))</f>
        <v>46097</v>
      </c>
      <c r="N762" s="0" t="n">
        <f aca="false">INDEX(Laporan!$A$1:$AZ$300,G762,H762)</f>
        <v>1557</v>
      </c>
      <c r="O762" s="0" t="n">
        <f aca="false">IF(N762="","",IFERROR(VALUE(SUBSTITUTE(SUBSTITUTE(N762," btl",""),".","")),""))</f>
        <v>1557</v>
      </c>
      <c r="P762" s="0" t="str">
        <f aca="false">IF(B762="PRODUKSI","produced","reject")</f>
        <v>produced</v>
      </c>
    </row>
    <row r="763" customFormat="false" ht="15" hidden="false" customHeight="false" outlineLevel="0" collapsed="false">
      <c r="A763" s="0" t="n">
        <v>762</v>
      </c>
      <c r="B763" s="0" t="str">
        <f aca="false">IF(A763&lt;=36*25,"PRODUKSI","REJECT")</f>
        <v>PRODUKSI</v>
      </c>
      <c r="C763" s="0" t="n">
        <f aca="false">MOD(A763-1,Pemetaan!$B$3*Pemetaan!$B$4)</f>
        <v>761</v>
      </c>
      <c r="D763" s="0" t="n">
        <f aca="false">INT(C763/Pemetaan!$B$4)</f>
        <v>30</v>
      </c>
      <c r="E763" s="0" t="n">
        <f aca="false">MOD(C763,Pemetaan!$B$4)</f>
        <v>11</v>
      </c>
      <c r="F763" s="0" t="n">
        <f aca="false">IF(B763="PRODUKSI",Pemetaan!$B$5,Pemetaan!$B$6)</f>
        <v>5</v>
      </c>
      <c r="G763" s="0" t="n">
        <f aca="false">F763+2+D763</f>
        <v>37</v>
      </c>
      <c r="H763" s="0" t="n">
        <f aca="false">Pemetaan!$B$2+E763</f>
        <v>16</v>
      </c>
      <c r="I763" s="0" t="str">
        <f aca="false">INDEX(Laporan!$A$1:$AZ$300,G763,1)</f>
        <v>Mixing</v>
      </c>
      <c r="J763" s="0" t="str">
        <f aca="false">INDEX(Laporan!$A$1:$AZ$300,G763,2)</f>
        <v>1,5 L</v>
      </c>
      <c r="K763" s="0" t="str">
        <f aca="false">INDEX(Laporan!$A$1:$AZ$300,G763,3)</f>
        <v>Shift 1</v>
      </c>
      <c r="L763" s="0" t="n">
        <f aca="false">INDEX(Laporan!$A$1:$AZ$300,G763,4)</f>
        <v>1</v>
      </c>
      <c r="M763" s="1" t="n">
        <f aca="false">DATE(Pemetaan!$B$1,VALUE(RIGHT(INDEX(Laporan!$A$1:$AZ$300,F763+1,H763),2)),VALUE(LEFT(INDEX(Laporan!$A$1:$AZ$300,F763+1,H763),2)))</f>
        <v>46098</v>
      </c>
      <c r="N763" s="0" t="n">
        <f aca="false">INDEX(Laporan!$A$1:$AZ$300,G763,H763)</f>
        <v>1627</v>
      </c>
      <c r="O763" s="0" t="n">
        <f aca="false">IF(N763="","",IFERROR(VALUE(SUBSTITUTE(SUBSTITUTE(N763," btl",""),".","")),""))</f>
        <v>1627</v>
      </c>
      <c r="P763" s="0" t="str">
        <f aca="false">IF(B763="PRODUKSI","produced","reject")</f>
        <v>produced</v>
      </c>
    </row>
    <row r="764" customFormat="false" ht="15" hidden="false" customHeight="false" outlineLevel="0" collapsed="false">
      <c r="A764" s="0" t="n">
        <v>763</v>
      </c>
      <c r="B764" s="0" t="str">
        <f aca="false">IF(A764&lt;=36*25,"PRODUKSI","REJECT")</f>
        <v>PRODUKSI</v>
      </c>
      <c r="C764" s="0" t="n">
        <f aca="false">MOD(A764-1,Pemetaan!$B$3*Pemetaan!$B$4)</f>
        <v>762</v>
      </c>
      <c r="D764" s="0" t="n">
        <f aca="false">INT(C764/Pemetaan!$B$4)</f>
        <v>30</v>
      </c>
      <c r="E764" s="0" t="n">
        <f aca="false">MOD(C764,Pemetaan!$B$4)</f>
        <v>12</v>
      </c>
      <c r="F764" s="0" t="n">
        <f aca="false">IF(B764="PRODUKSI",Pemetaan!$B$5,Pemetaan!$B$6)</f>
        <v>5</v>
      </c>
      <c r="G764" s="0" t="n">
        <f aca="false">F764+2+D764</f>
        <v>37</v>
      </c>
      <c r="H764" s="0" t="n">
        <f aca="false">Pemetaan!$B$2+E764</f>
        <v>17</v>
      </c>
      <c r="I764" s="0" t="str">
        <f aca="false">INDEX(Laporan!$A$1:$AZ$300,G764,1)</f>
        <v>Mixing</v>
      </c>
      <c r="J764" s="0" t="str">
        <f aca="false">INDEX(Laporan!$A$1:$AZ$300,G764,2)</f>
        <v>1,5 L</v>
      </c>
      <c r="K764" s="0" t="str">
        <f aca="false">INDEX(Laporan!$A$1:$AZ$300,G764,3)</f>
        <v>Shift 1</v>
      </c>
      <c r="L764" s="0" t="n">
        <f aca="false">INDEX(Laporan!$A$1:$AZ$300,G764,4)</f>
        <v>1</v>
      </c>
      <c r="M764" s="1" t="n">
        <f aca="false">DATE(Pemetaan!$B$1,VALUE(RIGHT(INDEX(Laporan!$A$1:$AZ$300,F764+1,H764),2)),VALUE(LEFT(INDEX(Laporan!$A$1:$AZ$300,F764+1,H764),2)))</f>
        <v>46099</v>
      </c>
      <c r="N764" s="0" t="n">
        <f aca="false">INDEX(Laporan!$A$1:$AZ$300,G764,H764)</f>
        <v>1383</v>
      </c>
      <c r="O764" s="0" t="n">
        <f aca="false">IF(N764="","",IFERROR(VALUE(SUBSTITUTE(SUBSTITUTE(N764," btl",""),".","")),""))</f>
        <v>1383</v>
      </c>
      <c r="P764" s="0" t="str">
        <f aca="false">IF(B764="PRODUKSI","produced","reject")</f>
        <v>produced</v>
      </c>
    </row>
    <row r="765" customFormat="false" ht="15" hidden="false" customHeight="false" outlineLevel="0" collapsed="false">
      <c r="A765" s="0" t="n">
        <v>764</v>
      </c>
      <c r="B765" s="0" t="str">
        <f aca="false">IF(A765&lt;=36*25,"PRODUKSI","REJECT")</f>
        <v>PRODUKSI</v>
      </c>
      <c r="C765" s="0" t="n">
        <f aca="false">MOD(A765-1,Pemetaan!$B$3*Pemetaan!$B$4)</f>
        <v>763</v>
      </c>
      <c r="D765" s="0" t="n">
        <f aca="false">INT(C765/Pemetaan!$B$4)</f>
        <v>30</v>
      </c>
      <c r="E765" s="0" t="n">
        <f aca="false">MOD(C765,Pemetaan!$B$4)</f>
        <v>13</v>
      </c>
      <c r="F765" s="0" t="n">
        <f aca="false">IF(B765="PRODUKSI",Pemetaan!$B$5,Pemetaan!$B$6)</f>
        <v>5</v>
      </c>
      <c r="G765" s="0" t="n">
        <f aca="false">F765+2+D765</f>
        <v>37</v>
      </c>
      <c r="H765" s="0" t="n">
        <f aca="false">Pemetaan!$B$2+E765</f>
        <v>18</v>
      </c>
      <c r="I765" s="0" t="str">
        <f aca="false">INDEX(Laporan!$A$1:$AZ$300,G765,1)</f>
        <v>Mixing</v>
      </c>
      <c r="J765" s="0" t="str">
        <f aca="false">INDEX(Laporan!$A$1:$AZ$300,G765,2)</f>
        <v>1,5 L</v>
      </c>
      <c r="K765" s="0" t="str">
        <f aca="false">INDEX(Laporan!$A$1:$AZ$300,G765,3)</f>
        <v>Shift 1</v>
      </c>
      <c r="L765" s="0" t="n">
        <f aca="false">INDEX(Laporan!$A$1:$AZ$300,G765,4)</f>
        <v>1</v>
      </c>
      <c r="M765" s="1" t="n">
        <f aca="false">DATE(Pemetaan!$B$1,VALUE(RIGHT(INDEX(Laporan!$A$1:$AZ$300,F765+1,H765),2)),VALUE(LEFT(INDEX(Laporan!$A$1:$AZ$300,F765+1,H765),2)))</f>
        <v>46100</v>
      </c>
      <c r="N765" s="0" t="n">
        <f aca="false">INDEX(Laporan!$A$1:$AZ$300,G765,H765)</f>
        <v>1593</v>
      </c>
      <c r="O765" s="0" t="n">
        <f aca="false">IF(N765="","",IFERROR(VALUE(SUBSTITUTE(SUBSTITUTE(N765," btl",""),".","")),""))</f>
        <v>1593</v>
      </c>
      <c r="P765" s="0" t="str">
        <f aca="false">IF(B765="PRODUKSI","produced","reject")</f>
        <v>produced</v>
      </c>
    </row>
    <row r="766" customFormat="false" ht="15" hidden="false" customHeight="false" outlineLevel="0" collapsed="false">
      <c r="A766" s="0" t="n">
        <v>765</v>
      </c>
      <c r="B766" s="0" t="str">
        <f aca="false">IF(A766&lt;=36*25,"PRODUKSI","REJECT")</f>
        <v>PRODUKSI</v>
      </c>
      <c r="C766" s="0" t="n">
        <f aca="false">MOD(A766-1,Pemetaan!$B$3*Pemetaan!$B$4)</f>
        <v>764</v>
      </c>
      <c r="D766" s="0" t="n">
        <f aca="false">INT(C766/Pemetaan!$B$4)</f>
        <v>30</v>
      </c>
      <c r="E766" s="0" t="n">
        <f aca="false">MOD(C766,Pemetaan!$B$4)</f>
        <v>14</v>
      </c>
      <c r="F766" s="0" t="n">
        <f aca="false">IF(B766="PRODUKSI",Pemetaan!$B$5,Pemetaan!$B$6)</f>
        <v>5</v>
      </c>
      <c r="G766" s="0" t="n">
        <f aca="false">F766+2+D766</f>
        <v>37</v>
      </c>
      <c r="H766" s="0" t="n">
        <f aca="false">Pemetaan!$B$2+E766</f>
        <v>19</v>
      </c>
      <c r="I766" s="0" t="str">
        <f aca="false">INDEX(Laporan!$A$1:$AZ$300,G766,1)</f>
        <v>Mixing</v>
      </c>
      <c r="J766" s="0" t="str">
        <f aca="false">INDEX(Laporan!$A$1:$AZ$300,G766,2)</f>
        <v>1,5 L</v>
      </c>
      <c r="K766" s="0" t="str">
        <f aca="false">INDEX(Laporan!$A$1:$AZ$300,G766,3)</f>
        <v>Shift 1</v>
      </c>
      <c r="L766" s="0" t="n">
        <f aca="false">INDEX(Laporan!$A$1:$AZ$300,G766,4)</f>
        <v>1</v>
      </c>
      <c r="M766" s="1" t="n">
        <f aca="false">DATE(Pemetaan!$B$1,VALUE(RIGHT(INDEX(Laporan!$A$1:$AZ$300,F766+1,H766),2)),VALUE(LEFT(INDEX(Laporan!$A$1:$AZ$300,F766+1,H766),2)))</f>
        <v>46101</v>
      </c>
      <c r="N766" s="0" t="n">
        <f aca="false">INDEX(Laporan!$A$1:$AZ$300,G766,H766)</f>
        <v>1598</v>
      </c>
      <c r="O766" s="0" t="n">
        <f aca="false">IF(N766="","",IFERROR(VALUE(SUBSTITUTE(SUBSTITUTE(N766," btl",""),".","")),""))</f>
        <v>1598</v>
      </c>
      <c r="P766" s="0" t="str">
        <f aca="false">IF(B766="PRODUKSI","produced","reject")</f>
        <v>produced</v>
      </c>
    </row>
    <row r="767" customFormat="false" ht="15" hidden="false" customHeight="false" outlineLevel="0" collapsed="false">
      <c r="A767" s="0" t="n">
        <v>766</v>
      </c>
      <c r="B767" s="0" t="str">
        <f aca="false">IF(A767&lt;=36*25,"PRODUKSI","REJECT")</f>
        <v>PRODUKSI</v>
      </c>
      <c r="C767" s="0" t="n">
        <f aca="false">MOD(A767-1,Pemetaan!$B$3*Pemetaan!$B$4)</f>
        <v>765</v>
      </c>
      <c r="D767" s="0" t="n">
        <f aca="false">INT(C767/Pemetaan!$B$4)</f>
        <v>30</v>
      </c>
      <c r="E767" s="0" t="n">
        <f aca="false">MOD(C767,Pemetaan!$B$4)</f>
        <v>15</v>
      </c>
      <c r="F767" s="0" t="n">
        <f aca="false">IF(B767="PRODUKSI",Pemetaan!$B$5,Pemetaan!$B$6)</f>
        <v>5</v>
      </c>
      <c r="G767" s="0" t="n">
        <f aca="false">F767+2+D767</f>
        <v>37</v>
      </c>
      <c r="H767" s="0" t="n">
        <f aca="false">Pemetaan!$B$2+E767</f>
        <v>20</v>
      </c>
      <c r="I767" s="0" t="str">
        <f aca="false">INDEX(Laporan!$A$1:$AZ$300,G767,1)</f>
        <v>Mixing</v>
      </c>
      <c r="J767" s="0" t="str">
        <f aca="false">INDEX(Laporan!$A$1:$AZ$300,G767,2)</f>
        <v>1,5 L</v>
      </c>
      <c r="K767" s="0" t="str">
        <f aca="false">INDEX(Laporan!$A$1:$AZ$300,G767,3)</f>
        <v>Shift 1</v>
      </c>
      <c r="L767" s="0" t="n">
        <f aca="false">INDEX(Laporan!$A$1:$AZ$300,G767,4)</f>
        <v>1</v>
      </c>
      <c r="M767" s="1" t="n">
        <f aca="false">DATE(Pemetaan!$B$1,VALUE(RIGHT(INDEX(Laporan!$A$1:$AZ$300,F767+1,H767),2)),VALUE(LEFT(INDEX(Laporan!$A$1:$AZ$300,F767+1,H767),2)))</f>
        <v>46104</v>
      </c>
      <c r="N767" s="0" t="n">
        <f aca="false">INDEX(Laporan!$A$1:$AZ$300,G767,H767)</f>
        <v>1518</v>
      </c>
      <c r="O767" s="0" t="n">
        <f aca="false">IF(N767="","",IFERROR(VALUE(SUBSTITUTE(SUBSTITUTE(N767," btl",""),".","")),""))</f>
        <v>1518</v>
      </c>
      <c r="P767" s="0" t="str">
        <f aca="false">IF(B767="PRODUKSI","produced","reject")</f>
        <v>produced</v>
      </c>
    </row>
    <row r="768" customFormat="false" ht="15" hidden="false" customHeight="false" outlineLevel="0" collapsed="false">
      <c r="A768" s="0" t="n">
        <v>767</v>
      </c>
      <c r="B768" s="0" t="str">
        <f aca="false">IF(A768&lt;=36*25,"PRODUKSI","REJECT")</f>
        <v>PRODUKSI</v>
      </c>
      <c r="C768" s="0" t="n">
        <f aca="false">MOD(A768-1,Pemetaan!$B$3*Pemetaan!$B$4)</f>
        <v>766</v>
      </c>
      <c r="D768" s="0" t="n">
        <f aca="false">INT(C768/Pemetaan!$B$4)</f>
        <v>30</v>
      </c>
      <c r="E768" s="0" t="n">
        <f aca="false">MOD(C768,Pemetaan!$B$4)</f>
        <v>16</v>
      </c>
      <c r="F768" s="0" t="n">
        <f aca="false">IF(B768="PRODUKSI",Pemetaan!$B$5,Pemetaan!$B$6)</f>
        <v>5</v>
      </c>
      <c r="G768" s="0" t="n">
        <f aca="false">F768+2+D768</f>
        <v>37</v>
      </c>
      <c r="H768" s="0" t="n">
        <f aca="false">Pemetaan!$B$2+E768</f>
        <v>21</v>
      </c>
      <c r="I768" s="0" t="str">
        <f aca="false">INDEX(Laporan!$A$1:$AZ$300,G768,1)</f>
        <v>Mixing</v>
      </c>
      <c r="J768" s="0" t="str">
        <f aca="false">INDEX(Laporan!$A$1:$AZ$300,G768,2)</f>
        <v>1,5 L</v>
      </c>
      <c r="K768" s="0" t="str">
        <f aca="false">INDEX(Laporan!$A$1:$AZ$300,G768,3)</f>
        <v>Shift 1</v>
      </c>
      <c r="L768" s="0" t="n">
        <f aca="false">INDEX(Laporan!$A$1:$AZ$300,G768,4)</f>
        <v>1</v>
      </c>
      <c r="M768" s="1" t="n">
        <f aca="false">DATE(Pemetaan!$B$1,VALUE(RIGHT(INDEX(Laporan!$A$1:$AZ$300,F768+1,H768),2)),VALUE(LEFT(INDEX(Laporan!$A$1:$AZ$300,F768+1,H768),2)))</f>
        <v>46105</v>
      </c>
      <c r="N768" s="0" t="n">
        <f aca="false">INDEX(Laporan!$A$1:$AZ$300,G768,H768)</f>
        <v>15340</v>
      </c>
      <c r="O768" s="0" t="n">
        <f aca="false">IF(N768="","",IFERROR(VALUE(SUBSTITUTE(SUBSTITUTE(N768," btl",""),".","")),""))</f>
        <v>15340</v>
      </c>
      <c r="P768" s="0" t="str">
        <f aca="false">IF(B768="PRODUKSI","produced","reject")</f>
        <v>produced</v>
      </c>
    </row>
    <row r="769" customFormat="false" ht="15" hidden="false" customHeight="false" outlineLevel="0" collapsed="false">
      <c r="A769" s="0" t="n">
        <v>768</v>
      </c>
      <c r="B769" s="0" t="str">
        <f aca="false">IF(A769&lt;=36*25,"PRODUKSI","REJECT")</f>
        <v>PRODUKSI</v>
      </c>
      <c r="C769" s="0" t="n">
        <f aca="false">MOD(A769-1,Pemetaan!$B$3*Pemetaan!$B$4)</f>
        <v>767</v>
      </c>
      <c r="D769" s="0" t="n">
        <f aca="false">INT(C769/Pemetaan!$B$4)</f>
        <v>30</v>
      </c>
      <c r="E769" s="0" t="n">
        <f aca="false">MOD(C769,Pemetaan!$B$4)</f>
        <v>17</v>
      </c>
      <c r="F769" s="0" t="n">
        <f aca="false">IF(B769="PRODUKSI",Pemetaan!$B$5,Pemetaan!$B$6)</f>
        <v>5</v>
      </c>
      <c r="G769" s="0" t="n">
        <f aca="false">F769+2+D769</f>
        <v>37</v>
      </c>
      <c r="H769" s="0" t="n">
        <f aca="false">Pemetaan!$B$2+E769</f>
        <v>22</v>
      </c>
      <c r="I769" s="0" t="str">
        <f aca="false">INDEX(Laporan!$A$1:$AZ$300,G769,1)</f>
        <v>Mixing</v>
      </c>
      <c r="J769" s="0" t="str">
        <f aca="false">INDEX(Laporan!$A$1:$AZ$300,G769,2)</f>
        <v>1,5 L</v>
      </c>
      <c r="K769" s="0" t="str">
        <f aca="false">INDEX(Laporan!$A$1:$AZ$300,G769,3)</f>
        <v>Shift 1</v>
      </c>
      <c r="L769" s="0" t="n">
        <f aca="false">INDEX(Laporan!$A$1:$AZ$300,G769,4)</f>
        <v>1</v>
      </c>
      <c r="M769" s="1" t="n">
        <f aca="false">DATE(Pemetaan!$B$1,VALUE(RIGHT(INDEX(Laporan!$A$1:$AZ$300,F769+1,H769),2)),VALUE(LEFT(INDEX(Laporan!$A$1:$AZ$300,F769+1,H769),2)))</f>
        <v>46106</v>
      </c>
      <c r="N769" s="0" t="n">
        <f aca="false">INDEX(Laporan!$A$1:$AZ$300,G769,H769)</f>
        <v>1518</v>
      </c>
      <c r="O769" s="0" t="n">
        <f aca="false">IF(N769="","",IFERROR(VALUE(SUBSTITUTE(SUBSTITUTE(N769," btl",""),".","")),""))</f>
        <v>1518</v>
      </c>
      <c r="P769" s="0" t="str">
        <f aca="false">IF(B769="PRODUKSI","produced","reject")</f>
        <v>produced</v>
      </c>
    </row>
    <row r="770" customFormat="false" ht="15" hidden="false" customHeight="false" outlineLevel="0" collapsed="false">
      <c r="A770" s="0" t="n">
        <v>769</v>
      </c>
      <c r="B770" s="0" t="str">
        <f aca="false">IF(A770&lt;=36*25,"PRODUKSI","REJECT")</f>
        <v>PRODUKSI</v>
      </c>
      <c r="C770" s="0" t="n">
        <f aca="false">MOD(A770-1,Pemetaan!$B$3*Pemetaan!$B$4)</f>
        <v>768</v>
      </c>
      <c r="D770" s="0" t="n">
        <f aca="false">INT(C770/Pemetaan!$B$4)</f>
        <v>30</v>
      </c>
      <c r="E770" s="0" t="n">
        <f aca="false">MOD(C770,Pemetaan!$B$4)</f>
        <v>18</v>
      </c>
      <c r="F770" s="0" t="n">
        <f aca="false">IF(B770="PRODUKSI",Pemetaan!$B$5,Pemetaan!$B$6)</f>
        <v>5</v>
      </c>
      <c r="G770" s="0" t="n">
        <f aca="false">F770+2+D770</f>
        <v>37</v>
      </c>
      <c r="H770" s="0" t="n">
        <f aca="false">Pemetaan!$B$2+E770</f>
        <v>23</v>
      </c>
      <c r="I770" s="0" t="str">
        <f aca="false">INDEX(Laporan!$A$1:$AZ$300,G770,1)</f>
        <v>Mixing</v>
      </c>
      <c r="J770" s="0" t="str">
        <f aca="false">INDEX(Laporan!$A$1:$AZ$300,G770,2)</f>
        <v>1,5 L</v>
      </c>
      <c r="K770" s="0" t="str">
        <f aca="false">INDEX(Laporan!$A$1:$AZ$300,G770,3)</f>
        <v>Shift 1</v>
      </c>
      <c r="L770" s="0" t="n">
        <f aca="false">INDEX(Laporan!$A$1:$AZ$300,G770,4)</f>
        <v>1</v>
      </c>
      <c r="M770" s="1" t="n">
        <f aca="false">DATE(Pemetaan!$B$1,VALUE(RIGHT(INDEX(Laporan!$A$1:$AZ$300,F770+1,H770),2)),VALUE(LEFT(INDEX(Laporan!$A$1:$AZ$300,F770+1,H770),2)))</f>
        <v>46107</v>
      </c>
      <c r="N770" s="0" t="n">
        <f aca="false">INDEX(Laporan!$A$1:$AZ$300,G770,H770)</f>
        <v>1394</v>
      </c>
      <c r="O770" s="0" t="n">
        <f aca="false">IF(N770="","",IFERROR(VALUE(SUBSTITUTE(SUBSTITUTE(N770," btl",""),".","")),""))</f>
        <v>1394</v>
      </c>
      <c r="P770" s="0" t="str">
        <f aca="false">IF(B770="PRODUKSI","produced","reject")</f>
        <v>produced</v>
      </c>
    </row>
    <row r="771" customFormat="false" ht="15" hidden="false" customHeight="false" outlineLevel="0" collapsed="false">
      <c r="A771" s="0" t="n">
        <v>770</v>
      </c>
      <c r="B771" s="0" t="str">
        <f aca="false">IF(A771&lt;=36*25,"PRODUKSI","REJECT")</f>
        <v>PRODUKSI</v>
      </c>
      <c r="C771" s="0" t="n">
        <f aca="false">MOD(A771-1,Pemetaan!$B$3*Pemetaan!$B$4)</f>
        <v>769</v>
      </c>
      <c r="D771" s="0" t="n">
        <f aca="false">INT(C771/Pemetaan!$B$4)</f>
        <v>30</v>
      </c>
      <c r="E771" s="0" t="n">
        <f aca="false">MOD(C771,Pemetaan!$B$4)</f>
        <v>19</v>
      </c>
      <c r="F771" s="0" t="n">
        <f aca="false">IF(B771="PRODUKSI",Pemetaan!$B$5,Pemetaan!$B$6)</f>
        <v>5</v>
      </c>
      <c r="G771" s="0" t="n">
        <f aca="false">F771+2+D771</f>
        <v>37</v>
      </c>
      <c r="H771" s="0" t="n">
        <f aca="false">Pemetaan!$B$2+E771</f>
        <v>24</v>
      </c>
      <c r="I771" s="0" t="str">
        <f aca="false">INDEX(Laporan!$A$1:$AZ$300,G771,1)</f>
        <v>Mixing</v>
      </c>
      <c r="J771" s="0" t="str">
        <f aca="false">INDEX(Laporan!$A$1:$AZ$300,G771,2)</f>
        <v>1,5 L</v>
      </c>
      <c r="K771" s="0" t="str">
        <f aca="false">INDEX(Laporan!$A$1:$AZ$300,G771,3)</f>
        <v>Shift 1</v>
      </c>
      <c r="L771" s="0" t="n">
        <f aca="false">INDEX(Laporan!$A$1:$AZ$300,G771,4)</f>
        <v>1</v>
      </c>
      <c r="M771" s="1" t="n">
        <f aca="false">DATE(Pemetaan!$B$1,VALUE(RIGHT(INDEX(Laporan!$A$1:$AZ$300,F771+1,H771),2)),VALUE(LEFT(INDEX(Laporan!$A$1:$AZ$300,F771+1,H771),2)))</f>
        <v>46108</v>
      </c>
      <c r="N771" s="0" t="n">
        <f aca="false">INDEX(Laporan!$A$1:$AZ$300,G771,H771)</f>
        <v>1636</v>
      </c>
      <c r="O771" s="0" t="n">
        <f aca="false">IF(N771="","",IFERROR(VALUE(SUBSTITUTE(SUBSTITUTE(N771," btl",""),".","")),""))</f>
        <v>1636</v>
      </c>
      <c r="P771" s="0" t="str">
        <f aca="false">IF(B771="PRODUKSI","produced","reject")</f>
        <v>produced</v>
      </c>
    </row>
    <row r="772" customFormat="false" ht="15" hidden="false" customHeight="false" outlineLevel="0" collapsed="false">
      <c r="A772" s="0" t="n">
        <v>771</v>
      </c>
      <c r="B772" s="0" t="str">
        <f aca="false">IF(A772&lt;=36*25,"PRODUKSI","REJECT")</f>
        <v>PRODUKSI</v>
      </c>
      <c r="C772" s="0" t="n">
        <f aca="false">MOD(A772-1,Pemetaan!$B$3*Pemetaan!$B$4)</f>
        <v>770</v>
      </c>
      <c r="D772" s="0" t="n">
        <f aca="false">INT(C772/Pemetaan!$B$4)</f>
        <v>30</v>
      </c>
      <c r="E772" s="0" t="n">
        <f aca="false">MOD(C772,Pemetaan!$B$4)</f>
        <v>20</v>
      </c>
      <c r="F772" s="0" t="n">
        <f aca="false">IF(B772="PRODUKSI",Pemetaan!$B$5,Pemetaan!$B$6)</f>
        <v>5</v>
      </c>
      <c r="G772" s="0" t="n">
        <f aca="false">F772+2+D772</f>
        <v>37</v>
      </c>
      <c r="H772" s="0" t="n">
        <f aca="false">Pemetaan!$B$2+E772</f>
        <v>25</v>
      </c>
      <c r="I772" s="0" t="str">
        <f aca="false">INDEX(Laporan!$A$1:$AZ$300,G772,1)</f>
        <v>Mixing</v>
      </c>
      <c r="J772" s="0" t="str">
        <f aca="false">INDEX(Laporan!$A$1:$AZ$300,G772,2)</f>
        <v>1,5 L</v>
      </c>
      <c r="K772" s="0" t="str">
        <f aca="false">INDEX(Laporan!$A$1:$AZ$300,G772,3)</f>
        <v>Shift 1</v>
      </c>
      <c r="L772" s="0" t="n">
        <f aca="false">INDEX(Laporan!$A$1:$AZ$300,G772,4)</f>
        <v>1</v>
      </c>
      <c r="M772" s="1" t="n">
        <f aca="false">DATE(Pemetaan!$B$1,VALUE(RIGHT(INDEX(Laporan!$A$1:$AZ$300,F772+1,H772),2)),VALUE(LEFT(INDEX(Laporan!$A$1:$AZ$300,F772+1,H772),2)))</f>
        <v>46111</v>
      </c>
      <c r="N772" s="0" t="n">
        <f aca="false">INDEX(Laporan!$A$1:$AZ$300,G772,H772)</f>
        <v>1469</v>
      </c>
      <c r="O772" s="0" t="n">
        <f aca="false">IF(N772="","",IFERROR(VALUE(SUBSTITUTE(SUBSTITUTE(N772," btl",""),".","")),""))</f>
        <v>1469</v>
      </c>
      <c r="P772" s="0" t="str">
        <f aca="false">IF(B772="PRODUKSI","produced","reject")</f>
        <v>produced</v>
      </c>
    </row>
    <row r="773" customFormat="false" ht="15" hidden="false" customHeight="false" outlineLevel="0" collapsed="false">
      <c r="A773" s="0" t="n">
        <v>772</v>
      </c>
      <c r="B773" s="0" t="str">
        <f aca="false">IF(A773&lt;=36*25,"PRODUKSI","REJECT")</f>
        <v>PRODUKSI</v>
      </c>
      <c r="C773" s="0" t="n">
        <f aca="false">MOD(A773-1,Pemetaan!$B$3*Pemetaan!$B$4)</f>
        <v>771</v>
      </c>
      <c r="D773" s="0" t="n">
        <f aca="false">INT(C773/Pemetaan!$B$4)</f>
        <v>30</v>
      </c>
      <c r="E773" s="0" t="n">
        <f aca="false">MOD(C773,Pemetaan!$B$4)</f>
        <v>21</v>
      </c>
      <c r="F773" s="0" t="n">
        <f aca="false">IF(B773="PRODUKSI",Pemetaan!$B$5,Pemetaan!$B$6)</f>
        <v>5</v>
      </c>
      <c r="G773" s="0" t="n">
        <f aca="false">F773+2+D773</f>
        <v>37</v>
      </c>
      <c r="H773" s="0" t="n">
        <f aca="false">Pemetaan!$B$2+E773</f>
        <v>26</v>
      </c>
      <c r="I773" s="0" t="str">
        <f aca="false">INDEX(Laporan!$A$1:$AZ$300,G773,1)</f>
        <v>Mixing</v>
      </c>
      <c r="J773" s="0" t="str">
        <f aca="false">INDEX(Laporan!$A$1:$AZ$300,G773,2)</f>
        <v>1,5 L</v>
      </c>
      <c r="K773" s="0" t="str">
        <f aca="false">INDEX(Laporan!$A$1:$AZ$300,G773,3)</f>
        <v>Shift 1</v>
      </c>
      <c r="L773" s="0" t="n">
        <f aca="false">INDEX(Laporan!$A$1:$AZ$300,G773,4)</f>
        <v>1</v>
      </c>
      <c r="M773" s="1" t="n">
        <f aca="false">DATE(Pemetaan!$B$1,VALUE(RIGHT(INDEX(Laporan!$A$1:$AZ$300,F773+1,H773),2)),VALUE(LEFT(INDEX(Laporan!$A$1:$AZ$300,F773+1,H773),2)))</f>
        <v>46112</v>
      </c>
      <c r="N773" s="0" t="n">
        <f aca="false">INDEX(Laporan!$A$1:$AZ$300,G773,H773)</f>
        <v>1490</v>
      </c>
      <c r="O773" s="0" t="n">
        <f aca="false">IF(N773="","",IFERROR(VALUE(SUBSTITUTE(SUBSTITUTE(N773," btl",""),".","")),""))</f>
        <v>1490</v>
      </c>
      <c r="P773" s="0" t="str">
        <f aca="false">IF(B773="PRODUKSI","produced","reject")</f>
        <v>produced</v>
      </c>
    </row>
    <row r="774" customFormat="false" ht="15" hidden="false" customHeight="false" outlineLevel="0" collapsed="false">
      <c r="A774" s="0" t="n">
        <v>773</v>
      </c>
      <c r="B774" s="0" t="str">
        <f aca="false">IF(A774&lt;=36*25,"PRODUKSI","REJECT")</f>
        <v>PRODUKSI</v>
      </c>
      <c r="C774" s="0" t="n">
        <f aca="false">MOD(A774-1,Pemetaan!$B$3*Pemetaan!$B$4)</f>
        <v>772</v>
      </c>
      <c r="D774" s="0" t="n">
        <f aca="false">INT(C774/Pemetaan!$B$4)</f>
        <v>30</v>
      </c>
      <c r="E774" s="0" t="n">
        <f aca="false">MOD(C774,Pemetaan!$B$4)</f>
        <v>22</v>
      </c>
      <c r="F774" s="0" t="n">
        <f aca="false">IF(B774="PRODUKSI",Pemetaan!$B$5,Pemetaan!$B$6)</f>
        <v>5</v>
      </c>
      <c r="G774" s="0" t="n">
        <f aca="false">F774+2+D774</f>
        <v>37</v>
      </c>
      <c r="H774" s="0" t="n">
        <f aca="false">Pemetaan!$B$2+E774</f>
        <v>27</v>
      </c>
      <c r="I774" s="0" t="str">
        <f aca="false">INDEX(Laporan!$A$1:$AZ$300,G774,1)</f>
        <v>Mixing</v>
      </c>
      <c r="J774" s="0" t="str">
        <f aca="false">INDEX(Laporan!$A$1:$AZ$300,G774,2)</f>
        <v>1,5 L</v>
      </c>
      <c r="K774" s="0" t="str">
        <f aca="false">INDEX(Laporan!$A$1:$AZ$300,G774,3)</f>
        <v>Shift 1</v>
      </c>
      <c r="L774" s="0" t="n">
        <f aca="false">INDEX(Laporan!$A$1:$AZ$300,G774,4)</f>
        <v>1</v>
      </c>
      <c r="M774" s="1" t="n">
        <f aca="false">DATE(Pemetaan!$B$1,VALUE(RIGHT(INDEX(Laporan!$A$1:$AZ$300,F774+1,H774),2)),VALUE(LEFT(INDEX(Laporan!$A$1:$AZ$300,F774+1,H774),2)))</f>
        <v>46113</v>
      </c>
      <c r="N774" s="0" t="n">
        <f aca="false">INDEX(Laporan!$A$1:$AZ$300,G774,H774)</f>
        <v>1472</v>
      </c>
      <c r="O774" s="0" t="n">
        <f aca="false">IF(N774="","",IFERROR(VALUE(SUBSTITUTE(SUBSTITUTE(N774," btl",""),".","")),""))</f>
        <v>1472</v>
      </c>
      <c r="P774" s="0" t="str">
        <f aca="false">IF(B774="PRODUKSI","produced","reject")</f>
        <v>produced</v>
      </c>
    </row>
    <row r="775" customFormat="false" ht="15" hidden="false" customHeight="false" outlineLevel="0" collapsed="false">
      <c r="A775" s="0" t="n">
        <v>774</v>
      </c>
      <c r="B775" s="0" t="str">
        <f aca="false">IF(A775&lt;=36*25,"PRODUKSI","REJECT")</f>
        <v>PRODUKSI</v>
      </c>
      <c r="C775" s="0" t="n">
        <f aca="false">MOD(A775-1,Pemetaan!$B$3*Pemetaan!$B$4)</f>
        <v>773</v>
      </c>
      <c r="D775" s="0" t="n">
        <f aca="false">INT(C775/Pemetaan!$B$4)</f>
        <v>30</v>
      </c>
      <c r="E775" s="0" t="n">
        <f aca="false">MOD(C775,Pemetaan!$B$4)</f>
        <v>23</v>
      </c>
      <c r="F775" s="0" t="n">
        <f aca="false">IF(B775="PRODUKSI",Pemetaan!$B$5,Pemetaan!$B$6)</f>
        <v>5</v>
      </c>
      <c r="G775" s="0" t="n">
        <f aca="false">F775+2+D775</f>
        <v>37</v>
      </c>
      <c r="H775" s="0" t="n">
        <f aca="false">Pemetaan!$B$2+E775</f>
        <v>28</v>
      </c>
      <c r="I775" s="0" t="str">
        <f aca="false">INDEX(Laporan!$A$1:$AZ$300,G775,1)</f>
        <v>Mixing</v>
      </c>
      <c r="J775" s="0" t="str">
        <f aca="false">INDEX(Laporan!$A$1:$AZ$300,G775,2)</f>
        <v>1,5 L</v>
      </c>
      <c r="K775" s="0" t="str">
        <f aca="false">INDEX(Laporan!$A$1:$AZ$300,G775,3)</f>
        <v>Shift 1</v>
      </c>
      <c r="L775" s="0" t="n">
        <f aca="false">INDEX(Laporan!$A$1:$AZ$300,G775,4)</f>
        <v>1</v>
      </c>
      <c r="M775" s="1" t="n">
        <f aca="false">DATE(Pemetaan!$B$1,VALUE(RIGHT(INDEX(Laporan!$A$1:$AZ$300,F775+1,H775),2)),VALUE(LEFT(INDEX(Laporan!$A$1:$AZ$300,F775+1,H775),2)))</f>
        <v>46114</v>
      </c>
      <c r="N775" s="0" t="n">
        <f aca="false">INDEX(Laporan!$A$1:$AZ$300,G775,H775)</f>
        <v>1650</v>
      </c>
      <c r="O775" s="0" t="n">
        <f aca="false">IF(N775="","",IFERROR(VALUE(SUBSTITUTE(SUBSTITUTE(N775," btl",""),".","")),""))</f>
        <v>1650</v>
      </c>
      <c r="P775" s="0" t="str">
        <f aca="false">IF(B775="PRODUKSI","produced","reject")</f>
        <v>produced</v>
      </c>
    </row>
    <row r="776" customFormat="false" ht="15" hidden="false" customHeight="false" outlineLevel="0" collapsed="false">
      <c r="A776" s="0" t="n">
        <v>775</v>
      </c>
      <c r="B776" s="0" t="str">
        <f aca="false">IF(A776&lt;=36*25,"PRODUKSI","REJECT")</f>
        <v>PRODUKSI</v>
      </c>
      <c r="C776" s="0" t="n">
        <f aca="false">MOD(A776-1,Pemetaan!$B$3*Pemetaan!$B$4)</f>
        <v>774</v>
      </c>
      <c r="D776" s="0" t="n">
        <f aca="false">INT(C776/Pemetaan!$B$4)</f>
        <v>30</v>
      </c>
      <c r="E776" s="0" t="n">
        <f aca="false">MOD(C776,Pemetaan!$B$4)</f>
        <v>24</v>
      </c>
      <c r="F776" s="0" t="n">
        <f aca="false">IF(B776="PRODUKSI",Pemetaan!$B$5,Pemetaan!$B$6)</f>
        <v>5</v>
      </c>
      <c r="G776" s="0" t="n">
        <f aca="false">F776+2+D776</f>
        <v>37</v>
      </c>
      <c r="H776" s="0" t="n">
        <f aca="false">Pemetaan!$B$2+E776</f>
        <v>29</v>
      </c>
      <c r="I776" s="0" t="str">
        <f aca="false">INDEX(Laporan!$A$1:$AZ$300,G776,1)</f>
        <v>Mixing</v>
      </c>
      <c r="J776" s="0" t="str">
        <f aca="false">INDEX(Laporan!$A$1:$AZ$300,G776,2)</f>
        <v>1,5 L</v>
      </c>
      <c r="K776" s="0" t="str">
        <f aca="false">INDEX(Laporan!$A$1:$AZ$300,G776,3)</f>
        <v>Shift 1</v>
      </c>
      <c r="L776" s="0" t="n">
        <f aca="false">INDEX(Laporan!$A$1:$AZ$300,G776,4)</f>
        <v>1</v>
      </c>
      <c r="M776" s="1" t="n">
        <f aca="false">DATE(Pemetaan!$B$1,VALUE(RIGHT(INDEX(Laporan!$A$1:$AZ$300,F776+1,H776),2)),VALUE(LEFT(INDEX(Laporan!$A$1:$AZ$300,F776+1,H776),2)))</f>
        <v>46115</v>
      </c>
      <c r="N776" s="0" t="n">
        <f aca="false">INDEX(Laporan!$A$1:$AZ$300,G776,H776)</f>
        <v>1401</v>
      </c>
      <c r="O776" s="0" t="n">
        <f aca="false">IF(N776="","",IFERROR(VALUE(SUBSTITUTE(SUBSTITUTE(N776," btl",""),".","")),""))</f>
        <v>1401</v>
      </c>
      <c r="P776" s="0" t="str">
        <f aca="false">IF(B776="PRODUKSI","produced","reject")</f>
        <v>produced</v>
      </c>
    </row>
    <row r="777" customFormat="false" ht="15" hidden="false" customHeight="false" outlineLevel="0" collapsed="false">
      <c r="A777" s="0" t="n">
        <v>776</v>
      </c>
      <c r="B777" s="0" t="str">
        <f aca="false">IF(A777&lt;=36*25,"PRODUKSI","REJECT")</f>
        <v>PRODUKSI</v>
      </c>
      <c r="C777" s="0" t="n">
        <f aca="false">MOD(A777-1,Pemetaan!$B$3*Pemetaan!$B$4)</f>
        <v>775</v>
      </c>
      <c r="D777" s="0" t="n">
        <f aca="false">INT(C777/Pemetaan!$B$4)</f>
        <v>31</v>
      </c>
      <c r="E777" s="0" t="n">
        <f aca="false">MOD(C777,Pemetaan!$B$4)</f>
        <v>0</v>
      </c>
      <c r="F777" s="0" t="n">
        <f aca="false">IF(B777="PRODUKSI",Pemetaan!$B$5,Pemetaan!$B$6)</f>
        <v>5</v>
      </c>
      <c r="G777" s="0" t="n">
        <f aca="false">F777+2+D777</f>
        <v>38</v>
      </c>
      <c r="H777" s="0" t="n">
        <f aca="false">Pemetaan!$B$2+E777</f>
        <v>5</v>
      </c>
      <c r="I777" s="0" t="str">
        <f aca="false">INDEX(Laporan!$A$1:$AZ$300,G777,1)</f>
        <v>Mixing</v>
      </c>
      <c r="J777" s="0" t="str">
        <f aca="false">INDEX(Laporan!$A$1:$AZ$300,G777,2)</f>
        <v>1,5 L</v>
      </c>
      <c r="K777" s="0" t="str">
        <f aca="false">INDEX(Laporan!$A$1:$AZ$300,G777,3)</f>
        <v>Shift 1</v>
      </c>
      <c r="L777" s="0" t="n">
        <f aca="false">INDEX(Laporan!$A$1:$AZ$300,G777,4)</f>
        <v>2</v>
      </c>
      <c r="M777" s="1" t="n">
        <f aca="false">DATE(Pemetaan!$B$1,VALUE(RIGHT(INDEX(Laporan!$A$1:$AZ$300,F777+1,H777),2)),VALUE(LEFT(INDEX(Laporan!$A$1:$AZ$300,F777+1,H777),2)))</f>
        <v>46083</v>
      </c>
      <c r="N777" s="0" t="n">
        <f aca="false">INDEX(Laporan!$A$1:$AZ$300,G777,H777)</f>
        <v>1503</v>
      </c>
      <c r="O777" s="0" t="n">
        <f aca="false">IF(N777="","",IFERROR(VALUE(SUBSTITUTE(SUBSTITUTE(N777," btl",""),".","")),""))</f>
        <v>1503</v>
      </c>
      <c r="P777" s="0" t="str">
        <f aca="false">IF(B777="PRODUKSI","produced","reject")</f>
        <v>produced</v>
      </c>
    </row>
    <row r="778" customFormat="false" ht="15" hidden="false" customHeight="false" outlineLevel="0" collapsed="false">
      <c r="A778" s="0" t="n">
        <v>777</v>
      </c>
      <c r="B778" s="0" t="str">
        <f aca="false">IF(A778&lt;=36*25,"PRODUKSI","REJECT")</f>
        <v>PRODUKSI</v>
      </c>
      <c r="C778" s="0" t="n">
        <f aca="false">MOD(A778-1,Pemetaan!$B$3*Pemetaan!$B$4)</f>
        <v>776</v>
      </c>
      <c r="D778" s="0" t="n">
        <f aca="false">INT(C778/Pemetaan!$B$4)</f>
        <v>31</v>
      </c>
      <c r="E778" s="0" t="n">
        <f aca="false">MOD(C778,Pemetaan!$B$4)</f>
        <v>1</v>
      </c>
      <c r="F778" s="0" t="n">
        <f aca="false">IF(B778="PRODUKSI",Pemetaan!$B$5,Pemetaan!$B$6)</f>
        <v>5</v>
      </c>
      <c r="G778" s="0" t="n">
        <f aca="false">F778+2+D778</f>
        <v>38</v>
      </c>
      <c r="H778" s="0" t="n">
        <f aca="false">Pemetaan!$B$2+E778</f>
        <v>6</v>
      </c>
      <c r="I778" s="0" t="str">
        <f aca="false">INDEX(Laporan!$A$1:$AZ$300,G778,1)</f>
        <v>Mixing</v>
      </c>
      <c r="J778" s="0" t="str">
        <f aca="false">INDEX(Laporan!$A$1:$AZ$300,G778,2)</f>
        <v>1,5 L</v>
      </c>
      <c r="K778" s="0" t="str">
        <f aca="false">INDEX(Laporan!$A$1:$AZ$300,G778,3)</f>
        <v>Shift 1</v>
      </c>
      <c r="L778" s="0" t="n">
        <f aca="false">INDEX(Laporan!$A$1:$AZ$300,G778,4)</f>
        <v>2</v>
      </c>
      <c r="M778" s="1" t="n">
        <f aca="false">DATE(Pemetaan!$B$1,VALUE(RIGHT(INDEX(Laporan!$A$1:$AZ$300,F778+1,H778),2)),VALUE(LEFT(INDEX(Laporan!$A$1:$AZ$300,F778+1,H778),2)))</f>
        <v>46084</v>
      </c>
      <c r="N778" s="0" t="n">
        <f aca="false">INDEX(Laporan!$A$1:$AZ$300,G778,H778)</f>
        <v>1445</v>
      </c>
      <c r="O778" s="0" t="n">
        <f aca="false">IF(N778="","",IFERROR(VALUE(SUBSTITUTE(SUBSTITUTE(N778," btl",""),".","")),""))</f>
        <v>1445</v>
      </c>
      <c r="P778" s="0" t="str">
        <f aca="false">IF(B778="PRODUKSI","produced","reject")</f>
        <v>produced</v>
      </c>
    </row>
    <row r="779" customFormat="false" ht="15" hidden="false" customHeight="false" outlineLevel="0" collapsed="false">
      <c r="A779" s="0" t="n">
        <v>778</v>
      </c>
      <c r="B779" s="0" t="str">
        <f aca="false">IF(A779&lt;=36*25,"PRODUKSI","REJECT")</f>
        <v>PRODUKSI</v>
      </c>
      <c r="C779" s="0" t="n">
        <f aca="false">MOD(A779-1,Pemetaan!$B$3*Pemetaan!$B$4)</f>
        <v>777</v>
      </c>
      <c r="D779" s="0" t="n">
        <f aca="false">INT(C779/Pemetaan!$B$4)</f>
        <v>31</v>
      </c>
      <c r="E779" s="0" t="n">
        <f aca="false">MOD(C779,Pemetaan!$B$4)</f>
        <v>2</v>
      </c>
      <c r="F779" s="0" t="n">
        <f aca="false">IF(B779="PRODUKSI",Pemetaan!$B$5,Pemetaan!$B$6)</f>
        <v>5</v>
      </c>
      <c r="G779" s="0" t="n">
        <f aca="false">F779+2+D779</f>
        <v>38</v>
      </c>
      <c r="H779" s="0" t="n">
        <f aca="false">Pemetaan!$B$2+E779</f>
        <v>7</v>
      </c>
      <c r="I779" s="0" t="str">
        <f aca="false">INDEX(Laporan!$A$1:$AZ$300,G779,1)</f>
        <v>Mixing</v>
      </c>
      <c r="J779" s="0" t="str">
        <f aca="false">INDEX(Laporan!$A$1:$AZ$300,G779,2)</f>
        <v>1,5 L</v>
      </c>
      <c r="K779" s="0" t="str">
        <f aca="false">INDEX(Laporan!$A$1:$AZ$300,G779,3)</f>
        <v>Shift 1</v>
      </c>
      <c r="L779" s="0" t="n">
        <f aca="false">INDEX(Laporan!$A$1:$AZ$300,G779,4)</f>
        <v>2</v>
      </c>
      <c r="M779" s="1" t="n">
        <f aca="false">DATE(Pemetaan!$B$1,VALUE(RIGHT(INDEX(Laporan!$A$1:$AZ$300,F779+1,H779),2)),VALUE(LEFT(INDEX(Laporan!$A$1:$AZ$300,F779+1,H779),2)))</f>
        <v>46085</v>
      </c>
      <c r="N779" s="0" t="n">
        <f aca="false">INDEX(Laporan!$A$1:$AZ$300,G779,H779)</f>
        <v>1615</v>
      </c>
      <c r="O779" s="0" t="n">
        <f aca="false">IF(N779="","",IFERROR(VALUE(SUBSTITUTE(SUBSTITUTE(N779," btl",""),".","")),""))</f>
        <v>1615</v>
      </c>
      <c r="P779" s="0" t="str">
        <f aca="false">IF(B779="PRODUKSI","produced","reject")</f>
        <v>produced</v>
      </c>
    </row>
    <row r="780" customFormat="false" ht="15" hidden="false" customHeight="false" outlineLevel="0" collapsed="false">
      <c r="A780" s="0" t="n">
        <v>779</v>
      </c>
      <c r="B780" s="0" t="str">
        <f aca="false">IF(A780&lt;=36*25,"PRODUKSI","REJECT")</f>
        <v>PRODUKSI</v>
      </c>
      <c r="C780" s="0" t="n">
        <f aca="false">MOD(A780-1,Pemetaan!$B$3*Pemetaan!$B$4)</f>
        <v>778</v>
      </c>
      <c r="D780" s="0" t="n">
        <f aca="false">INT(C780/Pemetaan!$B$4)</f>
        <v>31</v>
      </c>
      <c r="E780" s="0" t="n">
        <f aca="false">MOD(C780,Pemetaan!$B$4)</f>
        <v>3</v>
      </c>
      <c r="F780" s="0" t="n">
        <f aca="false">IF(B780="PRODUKSI",Pemetaan!$B$5,Pemetaan!$B$6)</f>
        <v>5</v>
      </c>
      <c r="G780" s="0" t="n">
        <f aca="false">F780+2+D780</f>
        <v>38</v>
      </c>
      <c r="H780" s="0" t="n">
        <f aca="false">Pemetaan!$B$2+E780</f>
        <v>8</v>
      </c>
      <c r="I780" s="0" t="str">
        <f aca="false">INDEX(Laporan!$A$1:$AZ$300,G780,1)</f>
        <v>Mixing</v>
      </c>
      <c r="J780" s="0" t="str">
        <f aca="false">INDEX(Laporan!$A$1:$AZ$300,G780,2)</f>
        <v>1,5 L</v>
      </c>
      <c r="K780" s="0" t="str">
        <f aca="false">INDEX(Laporan!$A$1:$AZ$300,G780,3)</f>
        <v>Shift 1</v>
      </c>
      <c r="L780" s="0" t="n">
        <f aca="false">INDEX(Laporan!$A$1:$AZ$300,G780,4)</f>
        <v>2</v>
      </c>
      <c r="M780" s="1" t="n">
        <f aca="false">DATE(Pemetaan!$B$1,VALUE(RIGHT(INDEX(Laporan!$A$1:$AZ$300,F780+1,H780),2)),VALUE(LEFT(INDEX(Laporan!$A$1:$AZ$300,F780+1,H780),2)))</f>
        <v>46086</v>
      </c>
      <c r="N780" s="0" t="n">
        <f aca="false">INDEX(Laporan!$A$1:$AZ$300,G780,H780)</f>
        <v>1468</v>
      </c>
      <c r="O780" s="0" t="n">
        <f aca="false">IF(N780="","",IFERROR(VALUE(SUBSTITUTE(SUBSTITUTE(N780," btl",""),".","")),""))</f>
        <v>1468</v>
      </c>
      <c r="P780" s="0" t="str">
        <f aca="false">IF(B780="PRODUKSI","produced","reject")</f>
        <v>produced</v>
      </c>
    </row>
    <row r="781" customFormat="false" ht="15" hidden="false" customHeight="false" outlineLevel="0" collapsed="false">
      <c r="A781" s="0" t="n">
        <v>780</v>
      </c>
      <c r="B781" s="0" t="str">
        <f aca="false">IF(A781&lt;=36*25,"PRODUKSI","REJECT")</f>
        <v>PRODUKSI</v>
      </c>
      <c r="C781" s="0" t="n">
        <f aca="false">MOD(A781-1,Pemetaan!$B$3*Pemetaan!$B$4)</f>
        <v>779</v>
      </c>
      <c r="D781" s="0" t="n">
        <f aca="false">INT(C781/Pemetaan!$B$4)</f>
        <v>31</v>
      </c>
      <c r="E781" s="0" t="n">
        <f aca="false">MOD(C781,Pemetaan!$B$4)</f>
        <v>4</v>
      </c>
      <c r="F781" s="0" t="n">
        <f aca="false">IF(B781="PRODUKSI",Pemetaan!$B$5,Pemetaan!$B$6)</f>
        <v>5</v>
      </c>
      <c r="G781" s="0" t="n">
        <f aca="false">F781+2+D781</f>
        <v>38</v>
      </c>
      <c r="H781" s="0" t="n">
        <f aca="false">Pemetaan!$B$2+E781</f>
        <v>9</v>
      </c>
      <c r="I781" s="0" t="str">
        <f aca="false">INDEX(Laporan!$A$1:$AZ$300,G781,1)</f>
        <v>Mixing</v>
      </c>
      <c r="J781" s="0" t="str">
        <f aca="false">INDEX(Laporan!$A$1:$AZ$300,G781,2)</f>
        <v>1,5 L</v>
      </c>
      <c r="K781" s="0" t="str">
        <f aca="false">INDEX(Laporan!$A$1:$AZ$300,G781,3)</f>
        <v>Shift 1</v>
      </c>
      <c r="L781" s="0" t="n">
        <f aca="false">INDEX(Laporan!$A$1:$AZ$300,G781,4)</f>
        <v>2</v>
      </c>
      <c r="M781" s="1" t="n">
        <f aca="false">DATE(Pemetaan!$B$1,VALUE(RIGHT(INDEX(Laporan!$A$1:$AZ$300,F781+1,H781),2)),VALUE(LEFT(INDEX(Laporan!$A$1:$AZ$300,F781+1,H781),2)))</f>
        <v>46087</v>
      </c>
      <c r="N781" s="0" t="n">
        <f aca="false">INDEX(Laporan!$A$1:$AZ$300,G781,H781)</f>
        <v>1403</v>
      </c>
      <c r="O781" s="0" t="n">
        <f aca="false">IF(N781="","",IFERROR(VALUE(SUBSTITUTE(SUBSTITUTE(N781," btl",""),".","")),""))</f>
        <v>1403</v>
      </c>
      <c r="P781" s="0" t="str">
        <f aca="false">IF(B781="PRODUKSI","produced","reject")</f>
        <v>produced</v>
      </c>
    </row>
    <row r="782" customFormat="false" ht="15" hidden="false" customHeight="false" outlineLevel="0" collapsed="false">
      <c r="A782" s="0" t="n">
        <v>781</v>
      </c>
      <c r="B782" s="0" t="str">
        <f aca="false">IF(A782&lt;=36*25,"PRODUKSI","REJECT")</f>
        <v>PRODUKSI</v>
      </c>
      <c r="C782" s="0" t="n">
        <f aca="false">MOD(A782-1,Pemetaan!$B$3*Pemetaan!$B$4)</f>
        <v>780</v>
      </c>
      <c r="D782" s="0" t="n">
        <f aca="false">INT(C782/Pemetaan!$B$4)</f>
        <v>31</v>
      </c>
      <c r="E782" s="0" t="n">
        <f aca="false">MOD(C782,Pemetaan!$B$4)</f>
        <v>5</v>
      </c>
      <c r="F782" s="0" t="n">
        <f aca="false">IF(B782="PRODUKSI",Pemetaan!$B$5,Pemetaan!$B$6)</f>
        <v>5</v>
      </c>
      <c r="G782" s="0" t="n">
        <f aca="false">F782+2+D782</f>
        <v>38</v>
      </c>
      <c r="H782" s="0" t="n">
        <f aca="false">Pemetaan!$B$2+E782</f>
        <v>10</v>
      </c>
      <c r="I782" s="0" t="str">
        <f aca="false">INDEX(Laporan!$A$1:$AZ$300,G782,1)</f>
        <v>Mixing</v>
      </c>
      <c r="J782" s="0" t="str">
        <f aca="false">INDEX(Laporan!$A$1:$AZ$300,G782,2)</f>
        <v>1,5 L</v>
      </c>
      <c r="K782" s="0" t="str">
        <f aca="false">INDEX(Laporan!$A$1:$AZ$300,G782,3)</f>
        <v>Shift 1</v>
      </c>
      <c r="L782" s="0" t="n">
        <f aca="false">INDEX(Laporan!$A$1:$AZ$300,G782,4)</f>
        <v>2</v>
      </c>
      <c r="M782" s="1" t="n">
        <f aca="false">DATE(Pemetaan!$B$1,VALUE(RIGHT(INDEX(Laporan!$A$1:$AZ$300,F782+1,H782),2)),VALUE(LEFT(INDEX(Laporan!$A$1:$AZ$300,F782+1,H782),2)))</f>
        <v>46090</v>
      </c>
      <c r="N782" s="0" t="n">
        <f aca="false">INDEX(Laporan!$A$1:$AZ$300,G782,H782)</f>
        <v>1609</v>
      </c>
      <c r="O782" s="0" t="n">
        <f aca="false">IF(N782="","",IFERROR(VALUE(SUBSTITUTE(SUBSTITUTE(N782," btl",""),".","")),""))</f>
        <v>1609</v>
      </c>
      <c r="P782" s="0" t="str">
        <f aca="false">IF(B782="PRODUKSI","produced","reject")</f>
        <v>produced</v>
      </c>
    </row>
    <row r="783" customFormat="false" ht="15" hidden="false" customHeight="false" outlineLevel="0" collapsed="false">
      <c r="A783" s="0" t="n">
        <v>782</v>
      </c>
      <c r="B783" s="0" t="str">
        <f aca="false">IF(A783&lt;=36*25,"PRODUKSI","REJECT")</f>
        <v>PRODUKSI</v>
      </c>
      <c r="C783" s="0" t="n">
        <f aca="false">MOD(A783-1,Pemetaan!$B$3*Pemetaan!$B$4)</f>
        <v>781</v>
      </c>
      <c r="D783" s="0" t="n">
        <f aca="false">INT(C783/Pemetaan!$B$4)</f>
        <v>31</v>
      </c>
      <c r="E783" s="0" t="n">
        <f aca="false">MOD(C783,Pemetaan!$B$4)</f>
        <v>6</v>
      </c>
      <c r="F783" s="0" t="n">
        <f aca="false">IF(B783="PRODUKSI",Pemetaan!$B$5,Pemetaan!$B$6)</f>
        <v>5</v>
      </c>
      <c r="G783" s="0" t="n">
        <f aca="false">F783+2+D783</f>
        <v>38</v>
      </c>
      <c r="H783" s="0" t="n">
        <f aca="false">Pemetaan!$B$2+E783</f>
        <v>11</v>
      </c>
      <c r="I783" s="0" t="str">
        <f aca="false">INDEX(Laporan!$A$1:$AZ$300,G783,1)</f>
        <v>Mixing</v>
      </c>
      <c r="J783" s="0" t="str">
        <f aca="false">INDEX(Laporan!$A$1:$AZ$300,G783,2)</f>
        <v>1,5 L</v>
      </c>
      <c r="K783" s="0" t="str">
        <f aca="false">INDEX(Laporan!$A$1:$AZ$300,G783,3)</f>
        <v>Shift 1</v>
      </c>
      <c r="L783" s="0" t="n">
        <f aca="false">INDEX(Laporan!$A$1:$AZ$300,G783,4)</f>
        <v>2</v>
      </c>
      <c r="M783" s="1" t="n">
        <f aca="false">DATE(Pemetaan!$B$1,VALUE(RIGHT(INDEX(Laporan!$A$1:$AZ$300,F783+1,H783),2)),VALUE(LEFT(INDEX(Laporan!$A$1:$AZ$300,F783+1,H783),2)))</f>
        <v>46091</v>
      </c>
      <c r="N783" s="0" t="n">
        <f aca="false">INDEX(Laporan!$A$1:$AZ$300,G783,H783)</f>
        <v>1547</v>
      </c>
      <c r="O783" s="0" t="n">
        <f aca="false">IF(N783="","",IFERROR(VALUE(SUBSTITUTE(SUBSTITUTE(N783," btl",""),".","")),""))</f>
        <v>1547</v>
      </c>
      <c r="P783" s="0" t="str">
        <f aca="false">IF(B783="PRODUKSI","produced","reject")</f>
        <v>produced</v>
      </c>
    </row>
    <row r="784" customFormat="false" ht="15" hidden="false" customHeight="false" outlineLevel="0" collapsed="false">
      <c r="A784" s="0" t="n">
        <v>783</v>
      </c>
      <c r="B784" s="0" t="str">
        <f aca="false">IF(A784&lt;=36*25,"PRODUKSI","REJECT")</f>
        <v>PRODUKSI</v>
      </c>
      <c r="C784" s="0" t="n">
        <f aca="false">MOD(A784-1,Pemetaan!$B$3*Pemetaan!$B$4)</f>
        <v>782</v>
      </c>
      <c r="D784" s="0" t="n">
        <f aca="false">INT(C784/Pemetaan!$B$4)</f>
        <v>31</v>
      </c>
      <c r="E784" s="0" t="n">
        <f aca="false">MOD(C784,Pemetaan!$B$4)</f>
        <v>7</v>
      </c>
      <c r="F784" s="0" t="n">
        <f aca="false">IF(B784="PRODUKSI",Pemetaan!$B$5,Pemetaan!$B$6)</f>
        <v>5</v>
      </c>
      <c r="G784" s="0" t="n">
        <f aca="false">F784+2+D784</f>
        <v>38</v>
      </c>
      <c r="H784" s="0" t="n">
        <f aca="false">Pemetaan!$B$2+E784</f>
        <v>12</v>
      </c>
      <c r="I784" s="0" t="str">
        <f aca="false">INDEX(Laporan!$A$1:$AZ$300,G784,1)</f>
        <v>Mixing</v>
      </c>
      <c r="J784" s="0" t="str">
        <f aca="false">INDEX(Laporan!$A$1:$AZ$300,G784,2)</f>
        <v>1,5 L</v>
      </c>
      <c r="K784" s="0" t="str">
        <f aca="false">INDEX(Laporan!$A$1:$AZ$300,G784,3)</f>
        <v>Shift 1</v>
      </c>
      <c r="L784" s="0" t="n">
        <f aca="false">INDEX(Laporan!$A$1:$AZ$300,G784,4)</f>
        <v>2</v>
      </c>
      <c r="M784" s="1" t="n">
        <f aca="false">DATE(Pemetaan!$B$1,VALUE(RIGHT(INDEX(Laporan!$A$1:$AZ$300,F784+1,H784),2)),VALUE(LEFT(INDEX(Laporan!$A$1:$AZ$300,F784+1,H784),2)))</f>
        <v>46092</v>
      </c>
      <c r="N784" s="0" t="n">
        <f aca="false">INDEX(Laporan!$A$1:$AZ$300,G784,H784)</f>
        <v>1612</v>
      </c>
      <c r="O784" s="0" t="n">
        <f aca="false">IF(N784="","",IFERROR(VALUE(SUBSTITUTE(SUBSTITUTE(N784," btl",""),".","")),""))</f>
        <v>1612</v>
      </c>
      <c r="P784" s="0" t="str">
        <f aca="false">IF(B784="PRODUKSI","produced","reject")</f>
        <v>produced</v>
      </c>
    </row>
    <row r="785" customFormat="false" ht="15" hidden="false" customHeight="false" outlineLevel="0" collapsed="false">
      <c r="A785" s="0" t="n">
        <v>784</v>
      </c>
      <c r="B785" s="0" t="str">
        <f aca="false">IF(A785&lt;=36*25,"PRODUKSI","REJECT")</f>
        <v>PRODUKSI</v>
      </c>
      <c r="C785" s="0" t="n">
        <f aca="false">MOD(A785-1,Pemetaan!$B$3*Pemetaan!$B$4)</f>
        <v>783</v>
      </c>
      <c r="D785" s="0" t="n">
        <f aca="false">INT(C785/Pemetaan!$B$4)</f>
        <v>31</v>
      </c>
      <c r="E785" s="0" t="n">
        <f aca="false">MOD(C785,Pemetaan!$B$4)</f>
        <v>8</v>
      </c>
      <c r="F785" s="0" t="n">
        <f aca="false">IF(B785="PRODUKSI",Pemetaan!$B$5,Pemetaan!$B$6)</f>
        <v>5</v>
      </c>
      <c r="G785" s="0" t="n">
        <f aca="false">F785+2+D785</f>
        <v>38</v>
      </c>
      <c r="H785" s="0" t="n">
        <f aca="false">Pemetaan!$B$2+E785</f>
        <v>13</v>
      </c>
      <c r="I785" s="0" t="str">
        <f aca="false">INDEX(Laporan!$A$1:$AZ$300,G785,1)</f>
        <v>Mixing</v>
      </c>
      <c r="J785" s="0" t="str">
        <f aca="false">INDEX(Laporan!$A$1:$AZ$300,G785,2)</f>
        <v>1,5 L</v>
      </c>
      <c r="K785" s="0" t="str">
        <f aca="false">INDEX(Laporan!$A$1:$AZ$300,G785,3)</f>
        <v>Shift 1</v>
      </c>
      <c r="L785" s="0" t="n">
        <f aca="false">INDEX(Laporan!$A$1:$AZ$300,G785,4)</f>
        <v>2</v>
      </c>
      <c r="M785" s="1" t="n">
        <f aca="false">DATE(Pemetaan!$B$1,VALUE(RIGHT(INDEX(Laporan!$A$1:$AZ$300,F785+1,H785),2)),VALUE(LEFT(INDEX(Laporan!$A$1:$AZ$300,F785+1,H785),2)))</f>
        <v>46093</v>
      </c>
      <c r="N785" s="0" t="n">
        <f aca="false">INDEX(Laporan!$A$1:$AZ$300,G785,H785)</f>
        <v>1720</v>
      </c>
      <c r="O785" s="0" t="n">
        <f aca="false">IF(N785="","",IFERROR(VALUE(SUBSTITUTE(SUBSTITUTE(N785," btl",""),".","")),""))</f>
        <v>1720</v>
      </c>
      <c r="P785" s="0" t="str">
        <f aca="false">IF(B785="PRODUKSI","produced","reject")</f>
        <v>produced</v>
      </c>
    </row>
    <row r="786" customFormat="false" ht="15" hidden="false" customHeight="false" outlineLevel="0" collapsed="false">
      <c r="A786" s="0" t="n">
        <v>785</v>
      </c>
      <c r="B786" s="0" t="str">
        <f aca="false">IF(A786&lt;=36*25,"PRODUKSI","REJECT")</f>
        <v>PRODUKSI</v>
      </c>
      <c r="C786" s="0" t="n">
        <f aca="false">MOD(A786-1,Pemetaan!$B$3*Pemetaan!$B$4)</f>
        <v>784</v>
      </c>
      <c r="D786" s="0" t="n">
        <f aca="false">INT(C786/Pemetaan!$B$4)</f>
        <v>31</v>
      </c>
      <c r="E786" s="0" t="n">
        <f aca="false">MOD(C786,Pemetaan!$B$4)</f>
        <v>9</v>
      </c>
      <c r="F786" s="0" t="n">
        <f aca="false">IF(B786="PRODUKSI",Pemetaan!$B$5,Pemetaan!$B$6)</f>
        <v>5</v>
      </c>
      <c r="G786" s="0" t="n">
        <f aca="false">F786+2+D786</f>
        <v>38</v>
      </c>
      <c r="H786" s="0" t="n">
        <f aca="false">Pemetaan!$B$2+E786</f>
        <v>14</v>
      </c>
      <c r="I786" s="0" t="str">
        <f aca="false">INDEX(Laporan!$A$1:$AZ$300,G786,1)</f>
        <v>Mixing</v>
      </c>
      <c r="J786" s="0" t="str">
        <f aca="false">INDEX(Laporan!$A$1:$AZ$300,G786,2)</f>
        <v>1,5 L</v>
      </c>
      <c r="K786" s="0" t="str">
        <f aca="false">INDEX(Laporan!$A$1:$AZ$300,G786,3)</f>
        <v>Shift 1</v>
      </c>
      <c r="L786" s="0" t="n">
        <f aca="false">INDEX(Laporan!$A$1:$AZ$300,G786,4)</f>
        <v>2</v>
      </c>
      <c r="M786" s="1" t="n">
        <f aca="false">DATE(Pemetaan!$B$1,VALUE(RIGHT(INDEX(Laporan!$A$1:$AZ$300,F786+1,H786),2)),VALUE(LEFT(INDEX(Laporan!$A$1:$AZ$300,F786+1,H786),2)))</f>
        <v>46094</v>
      </c>
      <c r="N786" s="0" t="n">
        <f aca="false">INDEX(Laporan!$A$1:$AZ$300,G786,H786)</f>
        <v>1559</v>
      </c>
      <c r="O786" s="0" t="n">
        <f aca="false">IF(N786="","",IFERROR(VALUE(SUBSTITUTE(SUBSTITUTE(N786," btl",""),".","")),""))</f>
        <v>1559</v>
      </c>
      <c r="P786" s="0" t="str">
        <f aca="false">IF(B786="PRODUKSI","produced","reject")</f>
        <v>produced</v>
      </c>
    </row>
    <row r="787" customFormat="false" ht="15" hidden="false" customHeight="false" outlineLevel="0" collapsed="false">
      <c r="A787" s="0" t="n">
        <v>786</v>
      </c>
      <c r="B787" s="0" t="str">
        <f aca="false">IF(A787&lt;=36*25,"PRODUKSI","REJECT")</f>
        <v>PRODUKSI</v>
      </c>
      <c r="C787" s="0" t="n">
        <f aca="false">MOD(A787-1,Pemetaan!$B$3*Pemetaan!$B$4)</f>
        <v>785</v>
      </c>
      <c r="D787" s="0" t="n">
        <f aca="false">INT(C787/Pemetaan!$B$4)</f>
        <v>31</v>
      </c>
      <c r="E787" s="0" t="n">
        <f aca="false">MOD(C787,Pemetaan!$B$4)</f>
        <v>10</v>
      </c>
      <c r="F787" s="0" t="n">
        <f aca="false">IF(B787="PRODUKSI",Pemetaan!$B$5,Pemetaan!$B$6)</f>
        <v>5</v>
      </c>
      <c r="G787" s="0" t="n">
        <f aca="false">F787+2+D787</f>
        <v>38</v>
      </c>
      <c r="H787" s="0" t="n">
        <f aca="false">Pemetaan!$B$2+E787</f>
        <v>15</v>
      </c>
      <c r="I787" s="0" t="str">
        <f aca="false">INDEX(Laporan!$A$1:$AZ$300,G787,1)</f>
        <v>Mixing</v>
      </c>
      <c r="J787" s="0" t="str">
        <f aca="false">INDEX(Laporan!$A$1:$AZ$300,G787,2)</f>
        <v>1,5 L</v>
      </c>
      <c r="K787" s="0" t="str">
        <f aca="false">INDEX(Laporan!$A$1:$AZ$300,G787,3)</f>
        <v>Shift 1</v>
      </c>
      <c r="L787" s="0" t="n">
        <f aca="false">INDEX(Laporan!$A$1:$AZ$300,G787,4)</f>
        <v>2</v>
      </c>
      <c r="M787" s="1" t="n">
        <f aca="false">DATE(Pemetaan!$B$1,VALUE(RIGHT(INDEX(Laporan!$A$1:$AZ$300,F787+1,H787),2)),VALUE(LEFT(INDEX(Laporan!$A$1:$AZ$300,F787+1,H787),2)))</f>
        <v>46097</v>
      </c>
      <c r="N787" s="0" t="n">
        <f aca="false">INDEX(Laporan!$A$1:$AZ$300,G787,H787)</f>
        <v>1408</v>
      </c>
      <c r="O787" s="0" t="n">
        <f aca="false">IF(N787="","",IFERROR(VALUE(SUBSTITUTE(SUBSTITUTE(N787," btl",""),".","")),""))</f>
        <v>1408</v>
      </c>
      <c r="P787" s="0" t="str">
        <f aca="false">IF(B787="PRODUKSI","produced","reject")</f>
        <v>produced</v>
      </c>
    </row>
    <row r="788" customFormat="false" ht="15" hidden="false" customHeight="false" outlineLevel="0" collapsed="false">
      <c r="A788" s="0" t="n">
        <v>787</v>
      </c>
      <c r="B788" s="0" t="str">
        <f aca="false">IF(A788&lt;=36*25,"PRODUKSI","REJECT")</f>
        <v>PRODUKSI</v>
      </c>
      <c r="C788" s="0" t="n">
        <f aca="false">MOD(A788-1,Pemetaan!$B$3*Pemetaan!$B$4)</f>
        <v>786</v>
      </c>
      <c r="D788" s="0" t="n">
        <f aca="false">INT(C788/Pemetaan!$B$4)</f>
        <v>31</v>
      </c>
      <c r="E788" s="0" t="n">
        <f aca="false">MOD(C788,Pemetaan!$B$4)</f>
        <v>11</v>
      </c>
      <c r="F788" s="0" t="n">
        <f aca="false">IF(B788="PRODUKSI",Pemetaan!$B$5,Pemetaan!$B$6)</f>
        <v>5</v>
      </c>
      <c r="G788" s="0" t="n">
        <f aca="false">F788+2+D788</f>
        <v>38</v>
      </c>
      <c r="H788" s="0" t="n">
        <f aca="false">Pemetaan!$B$2+E788</f>
        <v>16</v>
      </c>
      <c r="I788" s="0" t="str">
        <f aca="false">INDEX(Laporan!$A$1:$AZ$300,G788,1)</f>
        <v>Mixing</v>
      </c>
      <c r="J788" s="0" t="str">
        <f aca="false">INDEX(Laporan!$A$1:$AZ$300,G788,2)</f>
        <v>1,5 L</v>
      </c>
      <c r="K788" s="0" t="str">
        <f aca="false">INDEX(Laporan!$A$1:$AZ$300,G788,3)</f>
        <v>Shift 1</v>
      </c>
      <c r="L788" s="0" t="n">
        <f aca="false">INDEX(Laporan!$A$1:$AZ$300,G788,4)</f>
        <v>2</v>
      </c>
      <c r="M788" s="1" t="n">
        <f aca="false">DATE(Pemetaan!$B$1,VALUE(RIGHT(INDEX(Laporan!$A$1:$AZ$300,F788+1,H788),2)),VALUE(LEFT(INDEX(Laporan!$A$1:$AZ$300,F788+1,H788),2)))</f>
        <v>46098</v>
      </c>
      <c r="N788" s="0" t="n">
        <f aca="false">INDEX(Laporan!$A$1:$AZ$300,G788,H788)</f>
        <v>1510</v>
      </c>
      <c r="O788" s="0" t="n">
        <f aca="false">IF(N788="","",IFERROR(VALUE(SUBSTITUTE(SUBSTITUTE(N788," btl",""),".","")),""))</f>
        <v>1510</v>
      </c>
      <c r="P788" s="0" t="str">
        <f aca="false">IF(B788="PRODUKSI","produced","reject")</f>
        <v>produced</v>
      </c>
    </row>
    <row r="789" customFormat="false" ht="15" hidden="false" customHeight="false" outlineLevel="0" collapsed="false">
      <c r="A789" s="0" t="n">
        <v>788</v>
      </c>
      <c r="B789" s="0" t="str">
        <f aca="false">IF(A789&lt;=36*25,"PRODUKSI","REJECT")</f>
        <v>PRODUKSI</v>
      </c>
      <c r="C789" s="0" t="n">
        <f aca="false">MOD(A789-1,Pemetaan!$B$3*Pemetaan!$B$4)</f>
        <v>787</v>
      </c>
      <c r="D789" s="0" t="n">
        <f aca="false">INT(C789/Pemetaan!$B$4)</f>
        <v>31</v>
      </c>
      <c r="E789" s="0" t="n">
        <f aca="false">MOD(C789,Pemetaan!$B$4)</f>
        <v>12</v>
      </c>
      <c r="F789" s="0" t="n">
        <f aca="false">IF(B789="PRODUKSI",Pemetaan!$B$5,Pemetaan!$B$6)</f>
        <v>5</v>
      </c>
      <c r="G789" s="0" t="n">
        <f aca="false">F789+2+D789</f>
        <v>38</v>
      </c>
      <c r="H789" s="0" t="n">
        <f aca="false">Pemetaan!$B$2+E789</f>
        <v>17</v>
      </c>
      <c r="I789" s="0" t="str">
        <f aca="false">INDEX(Laporan!$A$1:$AZ$300,G789,1)</f>
        <v>Mixing</v>
      </c>
      <c r="J789" s="0" t="str">
        <f aca="false">INDEX(Laporan!$A$1:$AZ$300,G789,2)</f>
        <v>1,5 L</v>
      </c>
      <c r="K789" s="0" t="str">
        <f aca="false">INDEX(Laporan!$A$1:$AZ$300,G789,3)</f>
        <v>Shift 1</v>
      </c>
      <c r="L789" s="0" t="n">
        <f aca="false">INDEX(Laporan!$A$1:$AZ$300,G789,4)</f>
        <v>2</v>
      </c>
      <c r="M789" s="1" t="n">
        <f aca="false">DATE(Pemetaan!$B$1,VALUE(RIGHT(INDEX(Laporan!$A$1:$AZ$300,F789+1,H789),2)),VALUE(LEFT(INDEX(Laporan!$A$1:$AZ$300,F789+1,H789),2)))</f>
        <v>46099</v>
      </c>
      <c r="N789" s="0" t="n">
        <f aca="false">INDEX(Laporan!$A$1:$AZ$300,G789,H789)</f>
        <v>1555</v>
      </c>
      <c r="O789" s="0" t="n">
        <f aca="false">IF(N789="","",IFERROR(VALUE(SUBSTITUTE(SUBSTITUTE(N789," btl",""),".","")),""))</f>
        <v>1555</v>
      </c>
      <c r="P789" s="0" t="str">
        <f aca="false">IF(B789="PRODUKSI","produced","reject")</f>
        <v>produced</v>
      </c>
    </row>
    <row r="790" customFormat="false" ht="15" hidden="false" customHeight="false" outlineLevel="0" collapsed="false">
      <c r="A790" s="0" t="n">
        <v>789</v>
      </c>
      <c r="B790" s="0" t="str">
        <f aca="false">IF(A790&lt;=36*25,"PRODUKSI","REJECT")</f>
        <v>PRODUKSI</v>
      </c>
      <c r="C790" s="0" t="n">
        <f aca="false">MOD(A790-1,Pemetaan!$B$3*Pemetaan!$B$4)</f>
        <v>788</v>
      </c>
      <c r="D790" s="0" t="n">
        <f aca="false">INT(C790/Pemetaan!$B$4)</f>
        <v>31</v>
      </c>
      <c r="E790" s="0" t="n">
        <f aca="false">MOD(C790,Pemetaan!$B$4)</f>
        <v>13</v>
      </c>
      <c r="F790" s="0" t="n">
        <f aca="false">IF(B790="PRODUKSI",Pemetaan!$B$5,Pemetaan!$B$6)</f>
        <v>5</v>
      </c>
      <c r="G790" s="0" t="n">
        <f aca="false">F790+2+D790</f>
        <v>38</v>
      </c>
      <c r="H790" s="0" t="n">
        <f aca="false">Pemetaan!$B$2+E790</f>
        <v>18</v>
      </c>
      <c r="I790" s="0" t="str">
        <f aca="false">INDEX(Laporan!$A$1:$AZ$300,G790,1)</f>
        <v>Mixing</v>
      </c>
      <c r="J790" s="0" t="str">
        <f aca="false">INDEX(Laporan!$A$1:$AZ$300,G790,2)</f>
        <v>1,5 L</v>
      </c>
      <c r="K790" s="0" t="str">
        <f aca="false">INDEX(Laporan!$A$1:$AZ$300,G790,3)</f>
        <v>Shift 1</v>
      </c>
      <c r="L790" s="0" t="n">
        <f aca="false">INDEX(Laporan!$A$1:$AZ$300,G790,4)</f>
        <v>2</v>
      </c>
      <c r="M790" s="1" t="n">
        <f aca="false">DATE(Pemetaan!$B$1,VALUE(RIGHT(INDEX(Laporan!$A$1:$AZ$300,F790+1,H790),2)),VALUE(LEFT(INDEX(Laporan!$A$1:$AZ$300,F790+1,H790),2)))</f>
        <v>46100</v>
      </c>
      <c r="N790" s="0" t="n">
        <f aca="false">INDEX(Laporan!$A$1:$AZ$300,G790,H790)</f>
        <v>1550</v>
      </c>
      <c r="O790" s="0" t="n">
        <f aca="false">IF(N790="","",IFERROR(VALUE(SUBSTITUTE(SUBSTITUTE(N790," btl",""),".","")),""))</f>
        <v>1550</v>
      </c>
      <c r="P790" s="0" t="str">
        <f aca="false">IF(B790="PRODUKSI","produced","reject")</f>
        <v>produced</v>
      </c>
    </row>
    <row r="791" customFormat="false" ht="15" hidden="false" customHeight="false" outlineLevel="0" collapsed="false">
      <c r="A791" s="0" t="n">
        <v>790</v>
      </c>
      <c r="B791" s="0" t="str">
        <f aca="false">IF(A791&lt;=36*25,"PRODUKSI","REJECT")</f>
        <v>PRODUKSI</v>
      </c>
      <c r="C791" s="0" t="n">
        <f aca="false">MOD(A791-1,Pemetaan!$B$3*Pemetaan!$B$4)</f>
        <v>789</v>
      </c>
      <c r="D791" s="0" t="n">
        <f aca="false">INT(C791/Pemetaan!$B$4)</f>
        <v>31</v>
      </c>
      <c r="E791" s="0" t="n">
        <f aca="false">MOD(C791,Pemetaan!$B$4)</f>
        <v>14</v>
      </c>
      <c r="F791" s="0" t="n">
        <f aca="false">IF(B791="PRODUKSI",Pemetaan!$B$5,Pemetaan!$B$6)</f>
        <v>5</v>
      </c>
      <c r="G791" s="0" t="n">
        <f aca="false">F791+2+D791</f>
        <v>38</v>
      </c>
      <c r="H791" s="0" t="n">
        <f aca="false">Pemetaan!$B$2+E791</f>
        <v>19</v>
      </c>
      <c r="I791" s="0" t="str">
        <f aca="false">INDEX(Laporan!$A$1:$AZ$300,G791,1)</f>
        <v>Mixing</v>
      </c>
      <c r="J791" s="0" t="str">
        <f aca="false">INDEX(Laporan!$A$1:$AZ$300,G791,2)</f>
        <v>1,5 L</v>
      </c>
      <c r="K791" s="0" t="str">
        <f aca="false">INDEX(Laporan!$A$1:$AZ$300,G791,3)</f>
        <v>Shift 1</v>
      </c>
      <c r="L791" s="0" t="n">
        <f aca="false">INDEX(Laporan!$A$1:$AZ$300,G791,4)</f>
        <v>2</v>
      </c>
      <c r="M791" s="1" t="n">
        <f aca="false">DATE(Pemetaan!$B$1,VALUE(RIGHT(INDEX(Laporan!$A$1:$AZ$300,F791+1,H791),2)),VALUE(LEFT(INDEX(Laporan!$A$1:$AZ$300,F791+1,H791),2)))</f>
        <v>46101</v>
      </c>
      <c r="N791" s="0" t="n">
        <f aca="false">INDEX(Laporan!$A$1:$AZ$300,G791,H791)</f>
        <v>1538</v>
      </c>
      <c r="O791" s="0" t="n">
        <f aca="false">IF(N791="","",IFERROR(VALUE(SUBSTITUTE(SUBSTITUTE(N791," btl",""),".","")),""))</f>
        <v>1538</v>
      </c>
      <c r="P791" s="0" t="str">
        <f aca="false">IF(B791="PRODUKSI","produced","reject")</f>
        <v>produced</v>
      </c>
    </row>
    <row r="792" customFormat="false" ht="15" hidden="false" customHeight="false" outlineLevel="0" collapsed="false">
      <c r="A792" s="0" t="n">
        <v>791</v>
      </c>
      <c r="B792" s="0" t="str">
        <f aca="false">IF(A792&lt;=36*25,"PRODUKSI","REJECT")</f>
        <v>PRODUKSI</v>
      </c>
      <c r="C792" s="0" t="n">
        <f aca="false">MOD(A792-1,Pemetaan!$B$3*Pemetaan!$B$4)</f>
        <v>790</v>
      </c>
      <c r="D792" s="0" t="n">
        <f aca="false">INT(C792/Pemetaan!$B$4)</f>
        <v>31</v>
      </c>
      <c r="E792" s="0" t="n">
        <f aca="false">MOD(C792,Pemetaan!$B$4)</f>
        <v>15</v>
      </c>
      <c r="F792" s="0" t="n">
        <f aca="false">IF(B792="PRODUKSI",Pemetaan!$B$5,Pemetaan!$B$6)</f>
        <v>5</v>
      </c>
      <c r="G792" s="0" t="n">
        <f aca="false">F792+2+D792</f>
        <v>38</v>
      </c>
      <c r="H792" s="0" t="n">
        <f aca="false">Pemetaan!$B$2+E792</f>
        <v>20</v>
      </c>
      <c r="I792" s="0" t="str">
        <f aca="false">INDEX(Laporan!$A$1:$AZ$300,G792,1)</f>
        <v>Mixing</v>
      </c>
      <c r="J792" s="0" t="str">
        <f aca="false">INDEX(Laporan!$A$1:$AZ$300,G792,2)</f>
        <v>1,5 L</v>
      </c>
      <c r="K792" s="0" t="str">
        <f aca="false">INDEX(Laporan!$A$1:$AZ$300,G792,3)</f>
        <v>Shift 1</v>
      </c>
      <c r="L792" s="0" t="n">
        <f aca="false">INDEX(Laporan!$A$1:$AZ$300,G792,4)</f>
        <v>2</v>
      </c>
      <c r="M792" s="1" t="n">
        <f aca="false">DATE(Pemetaan!$B$1,VALUE(RIGHT(INDEX(Laporan!$A$1:$AZ$300,F792+1,H792),2)),VALUE(LEFT(INDEX(Laporan!$A$1:$AZ$300,F792+1,H792),2)))</f>
        <v>46104</v>
      </c>
      <c r="N792" s="0" t="n">
        <f aca="false">INDEX(Laporan!$A$1:$AZ$300,G792,H792)</f>
        <v>1439</v>
      </c>
      <c r="O792" s="0" t="n">
        <f aca="false">IF(N792="","",IFERROR(VALUE(SUBSTITUTE(SUBSTITUTE(N792," btl",""),".","")),""))</f>
        <v>1439</v>
      </c>
      <c r="P792" s="0" t="str">
        <f aca="false">IF(B792="PRODUKSI","produced","reject")</f>
        <v>produced</v>
      </c>
    </row>
    <row r="793" customFormat="false" ht="15" hidden="false" customHeight="false" outlineLevel="0" collapsed="false">
      <c r="A793" s="0" t="n">
        <v>792</v>
      </c>
      <c r="B793" s="0" t="str">
        <f aca="false">IF(A793&lt;=36*25,"PRODUKSI","REJECT")</f>
        <v>PRODUKSI</v>
      </c>
      <c r="C793" s="0" t="n">
        <f aca="false">MOD(A793-1,Pemetaan!$B$3*Pemetaan!$B$4)</f>
        <v>791</v>
      </c>
      <c r="D793" s="0" t="n">
        <f aca="false">INT(C793/Pemetaan!$B$4)</f>
        <v>31</v>
      </c>
      <c r="E793" s="0" t="n">
        <f aca="false">MOD(C793,Pemetaan!$B$4)</f>
        <v>16</v>
      </c>
      <c r="F793" s="0" t="n">
        <f aca="false">IF(B793="PRODUKSI",Pemetaan!$B$5,Pemetaan!$B$6)</f>
        <v>5</v>
      </c>
      <c r="G793" s="0" t="n">
        <f aca="false">F793+2+D793</f>
        <v>38</v>
      </c>
      <c r="H793" s="0" t="n">
        <f aca="false">Pemetaan!$B$2+E793</f>
        <v>21</v>
      </c>
      <c r="I793" s="0" t="str">
        <f aca="false">INDEX(Laporan!$A$1:$AZ$300,G793,1)</f>
        <v>Mixing</v>
      </c>
      <c r="J793" s="0" t="str">
        <f aca="false">INDEX(Laporan!$A$1:$AZ$300,G793,2)</f>
        <v>1,5 L</v>
      </c>
      <c r="K793" s="0" t="str">
        <f aca="false">INDEX(Laporan!$A$1:$AZ$300,G793,3)</f>
        <v>Shift 1</v>
      </c>
      <c r="L793" s="0" t="n">
        <f aca="false">INDEX(Laporan!$A$1:$AZ$300,G793,4)</f>
        <v>2</v>
      </c>
      <c r="M793" s="1" t="n">
        <f aca="false">DATE(Pemetaan!$B$1,VALUE(RIGHT(INDEX(Laporan!$A$1:$AZ$300,F793+1,H793),2)),VALUE(LEFT(INDEX(Laporan!$A$1:$AZ$300,F793+1,H793),2)))</f>
        <v>46105</v>
      </c>
      <c r="N793" s="0" t="n">
        <f aca="false">INDEX(Laporan!$A$1:$AZ$300,G793,H793)</f>
        <v>1561</v>
      </c>
      <c r="O793" s="0" t="n">
        <f aca="false">IF(N793="","",IFERROR(VALUE(SUBSTITUTE(SUBSTITUTE(N793," btl",""),".","")),""))</f>
        <v>1561</v>
      </c>
      <c r="P793" s="0" t="str">
        <f aca="false">IF(B793="PRODUKSI","produced","reject")</f>
        <v>produced</v>
      </c>
    </row>
    <row r="794" customFormat="false" ht="15" hidden="false" customHeight="false" outlineLevel="0" collapsed="false">
      <c r="A794" s="0" t="n">
        <v>793</v>
      </c>
      <c r="B794" s="0" t="str">
        <f aca="false">IF(A794&lt;=36*25,"PRODUKSI","REJECT")</f>
        <v>PRODUKSI</v>
      </c>
      <c r="C794" s="0" t="n">
        <f aca="false">MOD(A794-1,Pemetaan!$B$3*Pemetaan!$B$4)</f>
        <v>792</v>
      </c>
      <c r="D794" s="0" t="n">
        <f aca="false">INT(C794/Pemetaan!$B$4)</f>
        <v>31</v>
      </c>
      <c r="E794" s="0" t="n">
        <f aca="false">MOD(C794,Pemetaan!$B$4)</f>
        <v>17</v>
      </c>
      <c r="F794" s="0" t="n">
        <f aca="false">IF(B794="PRODUKSI",Pemetaan!$B$5,Pemetaan!$B$6)</f>
        <v>5</v>
      </c>
      <c r="G794" s="0" t="n">
        <f aca="false">F794+2+D794</f>
        <v>38</v>
      </c>
      <c r="H794" s="0" t="n">
        <f aca="false">Pemetaan!$B$2+E794</f>
        <v>22</v>
      </c>
      <c r="I794" s="0" t="str">
        <f aca="false">INDEX(Laporan!$A$1:$AZ$300,G794,1)</f>
        <v>Mixing</v>
      </c>
      <c r="J794" s="0" t="str">
        <f aca="false">INDEX(Laporan!$A$1:$AZ$300,G794,2)</f>
        <v>1,5 L</v>
      </c>
      <c r="K794" s="0" t="str">
        <f aca="false">INDEX(Laporan!$A$1:$AZ$300,G794,3)</f>
        <v>Shift 1</v>
      </c>
      <c r="L794" s="0" t="n">
        <f aca="false">INDEX(Laporan!$A$1:$AZ$300,G794,4)</f>
        <v>2</v>
      </c>
      <c r="M794" s="1" t="n">
        <f aca="false">DATE(Pemetaan!$B$1,VALUE(RIGHT(INDEX(Laporan!$A$1:$AZ$300,F794+1,H794),2)),VALUE(LEFT(INDEX(Laporan!$A$1:$AZ$300,F794+1,H794),2)))</f>
        <v>46106</v>
      </c>
      <c r="N794" s="0" t="n">
        <f aca="false">INDEX(Laporan!$A$1:$AZ$300,G794,H794)</f>
        <v>1520</v>
      </c>
      <c r="O794" s="0" t="n">
        <f aca="false">IF(N794="","",IFERROR(VALUE(SUBSTITUTE(SUBSTITUTE(N794," btl",""),".","")),""))</f>
        <v>1520</v>
      </c>
      <c r="P794" s="0" t="str">
        <f aca="false">IF(B794="PRODUKSI","produced","reject")</f>
        <v>produced</v>
      </c>
    </row>
    <row r="795" customFormat="false" ht="15" hidden="false" customHeight="false" outlineLevel="0" collapsed="false">
      <c r="A795" s="0" t="n">
        <v>794</v>
      </c>
      <c r="B795" s="0" t="str">
        <f aca="false">IF(A795&lt;=36*25,"PRODUKSI","REJECT")</f>
        <v>PRODUKSI</v>
      </c>
      <c r="C795" s="0" t="n">
        <f aca="false">MOD(A795-1,Pemetaan!$B$3*Pemetaan!$B$4)</f>
        <v>793</v>
      </c>
      <c r="D795" s="0" t="n">
        <f aca="false">INT(C795/Pemetaan!$B$4)</f>
        <v>31</v>
      </c>
      <c r="E795" s="0" t="n">
        <f aca="false">MOD(C795,Pemetaan!$B$4)</f>
        <v>18</v>
      </c>
      <c r="F795" s="0" t="n">
        <f aca="false">IF(B795="PRODUKSI",Pemetaan!$B$5,Pemetaan!$B$6)</f>
        <v>5</v>
      </c>
      <c r="G795" s="0" t="n">
        <f aca="false">F795+2+D795</f>
        <v>38</v>
      </c>
      <c r="H795" s="0" t="n">
        <f aca="false">Pemetaan!$B$2+E795</f>
        <v>23</v>
      </c>
      <c r="I795" s="0" t="str">
        <f aca="false">INDEX(Laporan!$A$1:$AZ$300,G795,1)</f>
        <v>Mixing</v>
      </c>
      <c r="J795" s="0" t="str">
        <f aca="false">INDEX(Laporan!$A$1:$AZ$300,G795,2)</f>
        <v>1,5 L</v>
      </c>
      <c r="K795" s="0" t="str">
        <f aca="false">INDEX(Laporan!$A$1:$AZ$300,G795,3)</f>
        <v>Shift 1</v>
      </c>
      <c r="L795" s="0" t="n">
        <f aca="false">INDEX(Laporan!$A$1:$AZ$300,G795,4)</f>
        <v>2</v>
      </c>
      <c r="M795" s="1" t="n">
        <f aca="false">DATE(Pemetaan!$B$1,VALUE(RIGHT(INDEX(Laporan!$A$1:$AZ$300,F795+1,H795),2)),VALUE(LEFT(INDEX(Laporan!$A$1:$AZ$300,F795+1,H795),2)))</f>
        <v>46107</v>
      </c>
      <c r="N795" s="0" t="n">
        <f aca="false">INDEX(Laporan!$A$1:$AZ$300,G795,H795)</f>
        <v>1661</v>
      </c>
      <c r="O795" s="0" t="n">
        <f aca="false">IF(N795="","",IFERROR(VALUE(SUBSTITUTE(SUBSTITUTE(N795," btl",""),".","")),""))</f>
        <v>1661</v>
      </c>
      <c r="P795" s="0" t="str">
        <f aca="false">IF(B795="PRODUKSI","produced","reject")</f>
        <v>produced</v>
      </c>
    </row>
    <row r="796" customFormat="false" ht="15" hidden="false" customHeight="false" outlineLevel="0" collapsed="false">
      <c r="A796" s="0" t="n">
        <v>795</v>
      </c>
      <c r="B796" s="0" t="str">
        <f aca="false">IF(A796&lt;=36*25,"PRODUKSI","REJECT")</f>
        <v>PRODUKSI</v>
      </c>
      <c r="C796" s="0" t="n">
        <f aca="false">MOD(A796-1,Pemetaan!$B$3*Pemetaan!$B$4)</f>
        <v>794</v>
      </c>
      <c r="D796" s="0" t="n">
        <f aca="false">INT(C796/Pemetaan!$B$4)</f>
        <v>31</v>
      </c>
      <c r="E796" s="0" t="n">
        <f aca="false">MOD(C796,Pemetaan!$B$4)</f>
        <v>19</v>
      </c>
      <c r="F796" s="0" t="n">
        <f aca="false">IF(B796="PRODUKSI",Pemetaan!$B$5,Pemetaan!$B$6)</f>
        <v>5</v>
      </c>
      <c r="G796" s="0" t="n">
        <f aca="false">F796+2+D796</f>
        <v>38</v>
      </c>
      <c r="H796" s="0" t="n">
        <f aca="false">Pemetaan!$B$2+E796</f>
        <v>24</v>
      </c>
      <c r="I796" s="0" t="str">
        <f aca="false">INDEX(Laporan!$A$1:$AZ$300,G796,1)</f>
        <v>Mixing</v>
      </c>
      <c r="J796" s="0" t="str">
        <f aca="false">INDEX(Laporan!$A$1:$AZ$300,G796,2)</f>
        <v>1,5 L</v>
      </c>
      <c r="K796" s="0" t="str">
        <f aca="false">INDEX(Laporan!$A$1:$AZ$300,G796,3)</f>
        <v>Shift 1</v>
      </c>
      <c r="L796" s="0" t="n">
        <f aca="false">INDEX(Laporan!$A$1:$AZ$300,G796,4)</f>
        <v>2</v>
      </c>
      <c r="M796" s="1" t="n">
        <f aca="false">DATE(Pemetaan!$B$1,VALUE(RIGHT(INDEX(Laporan!$A$1:$AZ$300,F796+1,H796),2)),VALUE(LEFT(INDEX(Laporan!$A$1:$AZ$300,F796+1,H796),2)))</f>
        <v>46108</v>
      </c>
      <c r="N796" s="0" t="n">
        <f aca="false">INDEX(Laporan!$A$1:$AZ$300,G796,H796)</f>
        <v>1515</v>
      </c>
      <c r="O796" s="0" t="n">
        <f aca="false">IF(N796="","",IFERROR(VALUE(SUBSTITUTE(SUBSTITUTE(N796," btl",""),".","")),""))</f>
        <v>1515</v>
      </c>
      <c r="P796" s="0" t="str">
        <f aca="false">IF(B796="PRODUKSI","produced","reject")</f>
        <v>produced</v>
      </c>
    </row>
    <row r="797" customFormat="false" ht="15" hidden="false" customHeight="false" outlineLevel="0" collapsed="false">
      <c r="A797" s="0" t="n">
        <v>796</v>
      </c>
      <c r="B797" s="0" t="str">
        <f aca="false">IF(A797&lt;=36*25,"PRODUKSI","REJECT")</f>
        <v>PRODUKSI</v>
      </c>
      <c r="C797" s="0" t="n">
        <f aca="false">MOD(A797-1,Pemetaan!$B$3*Pemetaan!$B$4)</f>
        <v>795</v>
      </c>
      <c r="D797" s="0" t="n">
        <f aca="false">INT(C797/Pemetaan!$B$4)</f>
        <v>31</v>
      </c>
      <c r="E797" s="0" t="n">
        <f aca="false">MOD(C797,Pemetaan!$B$4)</f>
        <v>20</v>
      </c>
      <c r="F797" s="0" t="n">
        <f aca="false">IF(B797="PRODUKSI",Pemetaan!$B$5,Pemetaan!$B$6)</f>
        <v>5</v>
      </c>
      <c r="G797" s="0" t="n">
        <f aca="false">F797+2+D797</f>
        <v>38</v>
      </c>
      <c r="H797" s="0" t="n">
        <f aca="false">Pemetaan!$B$2+E797</f>
        <v>25</v>
      </c>
      <c r="I797" s="0" t="str">
        <f aca="false">INDEX(Laporan!$A$1:$AZ$300,G797,1)</f>
        <v>Mixing</v>
      </c>
      <c r="J797" s="0" t="str">
        <f aca="false">INDEX(Laporan!$A$1:$AZ$300,G797,2)</f>
        <v>1,5 L</v>
      </c>
      <c r="K797" s="0" t="str">
        <f aca="false">INDEX(Laporan!$A$1:$AZ$300,G797,3)</f>
        <v>Shift 1</v>
      </c>
      <c r="L797" s="0" t="n">
        <f aca="false">INDEX(Laporan!$A$1:$AZ$300,G797,4)</f>
        <v>2</v>
      </c>
      <c r="M797" s="1" t="n">
        <f aca="false">DATE(Pemetaan!$B$1,VALUE(RIGHT(INDEX(Laporan!$A$1:$AZ$300,F797+1,H797),2)),VALUE(LEFT(INDEX(Laporan!$A$1:$AZ$300,F797+1,H797),2)))</f>
        <v>46111</v>
      </c>
      <c r="N797" s="0" t="n">
        <f aca="false">INDEX(Laporan!$A$1:$AZ$300,G797,H797)</f>
        <v>1473</v>
      </c>
      <c r="O797" s="0" t="n">
        <f aca="false">IF(N797="","",IFERROR(VALUE(SUBSTITUTE(SUBSTITUTE(N797," btl",""),".","")),""))</f>
        <v>1473</v>
      </c>
      <c r="P797" s="0" t="str">
        <f aca="false">IF(B797="PRODUKSI","produced","reject")</f>
        <v>produced</v>
      </c>
    </row>
    <row r="798" customFormat="false" ht="15" hidden="false" customHeight="false" outlineLevel="0" collapsed="false">
      <c r="A798" s="0" t="n">
        <v>797</v>
      </c>
      <c r="B798" s="0" t="str">
        <f aca="false">IF(A798&lt;=36*25,"PRODUKSI","REJECT")</f>
        <v>PRODUKSI</v>
      </c>
      <c r="C798" s="0" t="n">
        <f aca="false">MOD(A798-1,Pemetaan!$B$3*Pemetaan!$B$4)</f>
        <v>796</v>
      </c>
      <c r="D798" s="0" t="n">
        <f aca="false">INT(C798/Pemetaan!$B$4)</f>
        <v>31</v>
      </c>
      <c r="E798" s="0" t="n">
        <f aca="false">MOD(C798,Pemetaan!$B$4)</f>
        <v>21</v>
      </c>
      <c r="F798" s="0" t="n">
        <f aca="false">IF(B798="PRODUKSI",Pemetaan!$B$5,Pemetaan!$B$6)</f>
        <v>5</v>
      </c>
      <c r="G798" s="0" t="n">
        <f aca="false">F798+2+D798</f>
        <v>38</v>
      </c>
      <c r="H798" s="0" t="n">
        <f aca="false">Pemetaan!$B$2+E798</f>
        <v>26</v>
      </c>
      <c r="I798" s="0" t="str">
        <f aca="false">INDEX(Laporan!$A$1:$AZ$300,G798,1)</f>
        <v>Mixing</v>
      </c>
      <c r="J798" s="0" t="str">
        <f aca="false">INDEX(Laporan!$A$1:$AZ$300,G798,2)</f>
        <v>1,5 L</v>
      </c>
      <c r="K798" s="0" t="str">
        <f aca="false">INDEX(Laporan!$A$1:$AZ$300,G798,3)</f>
        <v>Shift 1</v>
      </c>
      <c r="L798" s="0" t="n">
        <f aca="false">INDEX(Laporan!$A$1:$AZ$300,G798,4)</f>
        <v>2</v>
      </c>
      <c r="M798" s="1" t="n">
        <f aca="false">DATE(Pemetaan!$B$1,VALUE(RIGHT(INDEX(Laporan!$A$1:$AZ$300,F798+1,H798),2)),VALUE(LEFT(INDEX(Laporan!$A$1:$AZ$300,F798+1,H798),2)))</f>
        <v>46112</v>
      </c>
      <c r="N798" s="0" t="n">
        <f aca="false">INDEX(Laporan!$A$1:$AZ$300,G798,H798)</f>
        <v>1679</v>
      </c>
      <c r="O798" s="0" t="n">
        <f aca="false">IF(N798="","",IFERROR(VALUE(SUBSTITUTE(SUBSTITUTE(N798," btl",""),".","")),""))</f>
        <v>1679</v>
      </c>
      <c r="P798" s="0" t="str">
        <f aca="false">IF(B798="PRODUKSI","produced","reject")</f>
        <v>produced</v>
      </c>
    </row>
    <row r="799" customFormat="false" ht="15" hidden="false" customHeight="false" outlineLevel="0" collapsed="false">
      <c r="A799" s="0" t="n">
        <v>798</v>
      </c>
      <c r="B799" s="0" t="str">
        <f aca="false">IF(A799&lt;=36*25,"PRODUKSI","REJECT")</f>
        <v>PRODUKSI</v>
      </c>
      <c r="C799" s="0" t="n">
        <f aca="false">MOD(A799-1,Pemetaan!$B$3*Pemetaan!$B$4)</f>
        <v>797</v>
      </c>
      <c r="D799" s="0" t="n">
        <f aca="false">INT(C799/Pemetaan!$B$4)</f>
        <v>31</v>
      </c>
      <c r="E799" s="0" t="n">
        <f aca="false">MOD(C799,Pemetaan!$B$4)</f>
        <v>22</v>
      </c>
      <c r="F799" s="0" t="n">
        <f aca="false">IF(B799="PRODUKSI",Pemetaan!$B$5,Pemetaan!$B$6)</f>
        <v>5</v>
      </c>
      <c r="G799" s="0" t="n">
        <f aca="false">F799+2+D799</f>
        <v>38</v>
      </c>
      <c r="H799" s="0" t="n">
        <f aca="false">Pemetaan!$B$2+E799</f>
        <v>27</v>
      </c>
      <c r="I799" s="0" t="str">
        <f aca="false">INDEX(Laporan!$A$1:$AZ$300,G799,1)</f>
        <v>Mixing</v>
      </c>
      <c r="J799" s="0" t="str">
        <f aca="false">INDEX(Laporan!$A$1:$AZ$300,G799,2)</f>
        <v>1,5 L</v>
      </c>
      <c r="K799" s="0" t="str">
        <f aca="false">INDEX(Laporan!$A$1:$AZ$300,G799,3)</f>
        <v>Shift 1</v>
      </c>
      <c r="L799" s="0" t="n">
        <f aca="false">INDEX(Laporan!$A$1:$AZ$300,G799,4)</f>
        <v>2</v>
      </c>
      <c r="M799" s="1" t="n">
        <f aca="false">DATE(Pemetaan!$B$1,VALUE(RIGHT(INDEX(Laporan!$A$1:$AZ$300,F799+1,H799),2)),VALUE(LEFT(INDEX(Laporan!$A$1:$AZ$300,F799+1,H799),2)))</f>
        <v>46113</v>
      </c>
      <c r="N799" s="0" t="n">
        <f aca="false">INDEX(Laporan!$A$1:$AZ$300,G799,H799)</f>
        <v>1449</v>
      </c>
      <c r="O799" s="0" t="n">
        <f aca="false">IF(N799="","",IFERROR(VALUE(SUBSTITUTE(SUBSTITUTE(N799," btl",""),".","")),""))</f>
        <v>1449</v>
      </c>
      <c r="P799" s="0" t="str">
        <f aca="false">IF(B799="PRODUKSI","produced","reject")</f>
        <v>produced</v>
      </c>
    </row>
    <row r="800" customFormat="false" ht="15" hidden="false" customHeight="false" outlineLevel="0" collapsed="false">
      <c r="A800" s="0" t="n">
        <v>799</v>
      </c>
      <c r="B800" s="0" t="str">
        <f aca="false">IF(A800&lt;=36*25,"PRODUKSI","REJECT")</f>
        <v>PRODUKSI</v>
      </c>
      <c r="C800" s="0" t="n">
        <f aca="false">MOD(A800-1,Pemetaan!$B$3*Pemetaan!$B$4)</f>
        <v>798</v>
      </c>
      <c r="D800" s="0" t="n">
        <f aca="false">INT(C800/Pemetaan!$B$4)</f>
        <v>31</v>
      </c>
      <c r="E800" s="0" t="n">
        <f aca="false">MOD(C800,Pemetaan!$B$4)</f>
        <v>23</v>
      </c>
      <c r="F800" s="0" t="n">
        <f aca="false">IF(B800="PRODUKSI",Pemetaan!$B$5,Pemetaan!$B$6)</f>
        <v>5</v>
      </c>
      <c r="G800" s="0" t="n">
        <f aca="false">F800+2+D800</f>
        <v>38</v>
      </c>
      <c r="H800" s="0" t="n">
        <f aca="false">Pemetaan!$B$2+E800</f>
        <v>28</v>
      </c>
      <c r="I800" s="0" t="str">
        <f aca="false">INDEX(Laporan!$A$1:$AZ$300,G800,1)</f>
        <v>Mixing</v>
      </c>
      <c r="J800" s="0" t="str">
        <f aca="false">INDEX(Laporan!$A$1:$AZ$300,G800,2)</f>
        <v>1,5 L</v>
      </c>
      <c r="K800" s="0" t="str">
        <f aca="false">INDEX(Laporan!$A$1:$AZ$300,G800,3)</f>
        <v>Shift 1</v>
      </c>
      <c r="L800" s="0" t="n">
        <f aca="false">INDEX(Laporan!$A$1:$AZ$300,G800,4)</f>
        <v>2</v>
      </c>
      <c r="M800" s="1" t="n">
        <f aca="false">DATE(Pemetaan!$B$1,VALUE(RIGHT(INDEX(Laporan!$A$1:$AZ$300,F800+1,H800),2)),VALUE(LEFT(INDEX(Laporan!$A$1:$AZ$300,F800+1,H800),2)))</f>
        <v>46114</v>
      </c>
      <c r="N800" s="0" t="n">
        <f aca="false">INDEX(Laporan!$A$1:$AZ$300,G800,H800)</f>
        <v>1439</v>
      </c>
      <c r="O800" s="0" t="n">
        <f aca="false">IF(N800="","",IFERROR(VALUE(SUBSTITUTE(SUBSTITUTE(N800," btl",""),".","")),""))</f>
        <v>1439</v>
      </c>
      <c r="P800" s="0" t="str">
        <f aca="false">IF(B800="PRODUKSI","produced","reject")</f>
        <v>produced</v>
      </c>
    </row>
    <row r="801" customFormat="false" ht="15" hidden="false" customHeight="false" outlineLevel="0" collapsed="false">
      <c r="A801" s="0" t="n">
        <v>800</v>
      </c>
      <c r="B801" s="0" t="str">
        <f aca="false">IF(A801&lt;=36*25,"PRODUKSI","REJECT")</f>
        <v>PRODUKSI</v>
      </c>
      <c r="C801" s="0" t="n">
        <f aca="false">MOD(A801-1,Pemetaan!$B$3*Pemetaan!$B$4)</f>
        <v>799</v>
      </c>
      <c r="D801" s="0" t="n">
        <f aca="false">INT(C801/Pemetaan!$B$4)</f>
        <v>31</v>
      </c>
      <c r="E801" s="0" t="n">
        <f aca="false">MOD(C801,Pemetaan!$B$4)</f>
        <v>24</v>
      </c>
      <c r="F801" s="0" t="n">
        <f aca="false">IF(B801="PRODUKSI",Pemetaan!$B$5,Pemetaan!$B$6)</f>
        <v>5</v>
      </c>
      <c r="G801" s="0" t="n">
        <f aca="false">F801+2+D801</f>
        <v>38</v>
      </c>
      <c r="H801" s="0" t="n">
        <f aca="false">Pemetaan!$B$2+E801</f>
        <v>29</v>
      </c>
      <c r="I801" s="0" t="str">
        <f aca="false">INDEX(Laporan!$A$1:$AZ$300,G801,1)</f>
        <v>Mixing</v>
      </c>
      <c r="J801" s="0" t="str">
        <f aca="false">INDEX(Laporan!$A$1:$AZ$300,G801,2)</f>
        <v>1,5 L</v>
      </c>
      <c r="K801" s="0" t="str">
        <f aca="false">INDEX(Laporan!$A$1:$AZ$300,G801,3)</f>
        <v>Shift 1</v>
      </c>
      <c r="L801" s="0" t="n">
        <f aca="false">INDEX(Laporan!$A$1:$AZ$300,G801,4)</f>
        <v>2</v>
      </c>
      <c r="M801" s="1" t="n">
        <f aca="false">DATE(Pemetaan!$B$1,VALUE(RIGHT(INDEX(Laporan!$A$1:$AZ$300,F801+1,H801),2)),VALUE(LEFT(INDEX(Laporan!$A$1:$AZ$300,F801+1,H801),2)))</f>
        <v>46115</v>
      </c>
      <c r="N801" s="0" t="n">
        <f aca="false">INDEX(Laporan!$A$1:$AZ$300,G801,H801)</f>
        <v>1457</v>
      </c>
      <c r="O801" s="0" t="n">
        <f aca="false">IF(N801="","",IFERROR(VALUE(SUBSTITUTE(SUBSTITUTE(N801," btl",""),".","")),""))</f>
        <v>1457</v>
      </c>
      <c r="P801" s="0" t="str">
        <f aca="false">IF(B801="PRODUKSI","produced","reject")</f>
        <v>produced</v>
      </c>
    </row>
    <row r="802" customFormat="false" ht="15" hidden="false" customHeight="false" outlineLevel="0" collapsed="false">
      <c r="A802" s="0" t="n">
        <v>801</v>
      </c>
      <c r="B802" s="0" t="str">
        <f aca="false">IF(A802&lt;=36*25,"PRODUKSI","REJECT")</f>
        <v>PRODUKSI</v>
      </c>
      <c r="C802" s="0" t="n">
        <f aca="false">MOD(A802-1,Pemetaan!$B$3*Pemetaan!$B$4)</f>
        <v>800</v>
      </c>
      <c r="D802" s="0" t="n">
        <f aca="false">INT(C802/Pemetaan!$B$4)</f>
        <v>32</v>
      </c>
      <c r="E802" s="0" t="n">
        <f aca="false">MOD(C802,Pemetaan!$B$4)</f>
        <v>0</v>
      </c>
      <c r="F802" s="0" t="n">
        <f aca="false">IF(B802="PRODUKSI",Pemetaan!$B$5,Pemetaan!$B$6)</f>
        <v>5</v>
      </c>
      <c r="G802" s="0" t="n">
        <f aca="false">F802+2+D802</f>
        <v>39</v>
      </c>
      <c r="H802" s="0" t="n">
        <f aca="false">Pemetaan!$B$2+E802</f>
        <v>5</v>
      </c>
      <c r="I802" s="0" t="str">
        <f aca="false">INDEX(Laporan!$A$1:$AZ$300,G802,1)</f>
        <v>Mixing</v>
      </c>
      <c r="J802" s="0" t="str">
        <f aca="false">INDEX(Laporan!$A$1:$AZ$300,G802,2)</f>
        <v>1,5 L</v>
      </c>
      <c r="K802" s="0" t="str">
        <f aca="false">INDEX(Laporan!$A$1:$AZ$300,G802,3)</f>
        <v>Shift 1</v>
      </c>
      <c r="L802" s="0" t="n">
        <f aca="false">INDEX(Laporan!$A$1:$AZ$300,G802,4)</f>
        <v>3</v>
      </c>
      <c r="M802" s="1" t="n">
        <f aca="false">DATE(Pemetaan!$B$1,VALUE(RIGHT(INDEX(Laporan!$A$1:$AZ$300,F802+1,H802),2)),VALUE(LEFT(INDEX(Laporan!$A$1:$AZ$300,F802+1,H802),2)))</f>
        <v>46083</v>
      </c>
      <c r="N802" s="0" t="n">
        <f aca="false">INDEX(Laporan!$A$1:$AZ$300,G802,H802)</f>
        <v>1675</v>
      </c>
      <c r="O802" s="0" t="n">
        <f aca="false">IF(N802="","",IFERROR(VALUE(SUBSTITUTE(SUBSTITUTE(N802," btl",""),".","")),""))</f>
        <v>1675</v>
      </c>
      <c r="P802" s="0" t="str">
        <f aca="false">IF(B802="PRODUKSI","produced","reject")</f>
        <v>produced</v>
      </c>
    </row>
    <row r="803" customFormat="false" ht="15" hidden="false" customHeight="false" outlineLevel="0" collapsed="false">
      <c r="A803" s="0" t="n">
        <v>802</v>
      </c>
      <c r="B803" s="0" t="str">
        <f aca="false">IF(A803&lt;=36*25,"PRODUKSI","REJECT")</f>
        <v>PRODUKSI</v>
      </c>
      <c r="C803" s="0" t="n">
        <f aca="false">MOD(A803-1,Pemetaan!$B$3*Pemetaan!$B$4)</f>
        <v>801</v>
      </c>
      <c r="D803" s="0" t="n">
        <f aca="false">INT(C803/Pemetaan!$B$4)</f>
        <v>32</v>
      </c>
      <c r="E803" s="0" t="n">
        <f aca="false">MOD(C803,Pemetaan!$B$4)</f>
        <v>1</v>
      </c>
      <c r="F803" s="0" t="n">
        <f aca="false">IF(B803="PRODUKSI",Pemetaan!$B$5,Pemetaan!$B$6)</f>
        <v>5</v>
      </c>
      <c r="G803" s="0" t="n">
        <f aca="false">F803+2+D803</f>
        <v>39</v>
      </c>
      <c r="H803" s="0" t="n">
        <f aca="false">Pemetaan!$B$2+E803</f>
        <v>6</v>
      </c>
      <c r="I803" s="0" t="str">
        <f aca="false">INDEX(Laporan!$A$1:$AZ$300,G803,1)</f>
        <v>Mixing</v>
      </c>
      <c r="J803" s="0" t="str">
        <f aca="false">INDEX(Laporan!$A$1:$AZ$300,G803,2)</f>
        <v>1,5 L</v>
      </c>
      <c r="K803" s="0" t="str">
        <f aca="false">INDEX(Laporan!$A$1:$AZ$300,G803,3)</f>
        <v>Shift 1</v>
      </c>
      <c r="L803" s="0" t="n">
        <f aca="false">INDEX(Laporan!$A$1:$AZ$300,G803,4)</f>
        <v>3</v>
      </c>
      <c r="M803" s="1" t="n">
        <f aca="false">DATE(Pemetaan!$B$1,VALUE(RIGHT(INDEX(Laporan!$A$1:$AZ$300,F803+1,H803),2)),VALUE(LEFT(INDEX(Laporan!$A$1:$AZ$300,F803+1,H803),2)))</f>
        <v>46084</v>
      </c>
      <c r="N803" s="0" t="n">
        <f aca="false">INDEX(Laporan!$A$1:$AZ$300,G803,H803)</f>
        <v>1387</v>
      </c>
      <c r="O803" s="0" t="n">
        <f aca="false">IF(N803="","",IFERROR(VALUE(SUBSTITUTE(SUBSTITUTE(N803," btl",""),".","")),""))</f>
        <v>1387</v>
      </c>
      <c r="P803" s="0" t="str">
        <f aca="false">IF(B803="PRODUKSI","produced","reject")</f>
        <v>produced</v>
      </c>
    </row>
    <row r="804" customFormat="false" ht="15" hidden="false" customHeight="false" outlineLevel="0" collapsed="false">
      <c r="A804" s="0" t="n">
        <v>803</v>
      </c>
      <c r="B804" s="0" t="str">
        <f aca="false">IF(A804&lt;=36*25,"PRODUKSI","REJECT")</f>
        <v>PRODUKSI</v>
      </c>
      <c r="C804" s="0" t="n">
        <f aca="false">MOD(A804-1,Pemetaan!$B$3*Pemetaan!$B$4)</f>
        <v>802</v>
      </c>
      <c r="D804" s="0" t="n">
        <f aca="false">INT(C804/Pemetaan!$B$4)</f>
        <v>32</v>
      </c>
      <c r="E804" s="0" t="n">
        <f aca="false">MOD(C804,Pemetaan!$B$4)</f>
        <v>2</v>
      </c>
      <c r="F804" s="0" t="n">
        <f aca="false">IF(B804="PRODUKSI",Pemetaan!$B$5,Pemetaan!$B$6)</f>
        <v>5</v>
      </c>
      <c r="G804" s="0" t="n">
        <f aca="false">F804+2+D804</f>
        <v>39</v>
      </c>
      <c r="H804" s="0" t="n">
        <f aca="false">Pemetaan!$B$2+E804</f>
        <v>7</v>
      </c>
      <c r="I804" s="0" t="str">
        <f aca="false">INDEX(Laporan!$A$1:$AZ$300,G804,1)</f>
        <v>Mixing</v>
      </c>
      <c r="J804" s="0" t="str">
        <f aca="false">INDEX(Laporan!$A$1:$AZ$300,G804,2)</f>
        <v>1,5 L</v>
      </c>
      <c r="K804" s="0" t="str">
        <f aca="false">INDEX(Laporan!$A$1:$AZ$300,G804,3)</f>
        <v>Shift 1</v>
      </c>
      <c r="L804" s="0" t="n">
        <f aca="false">INDEX(Laporan!$A$1:$AZ$300,G804,4)</f>
        <v>3</v>
      </c>
      <c r="M804" s="1" t="n">
        <f aca="false">DATE(Pemetaan!$B$1,VALUE(RIGHT(INDEX(Laporan!$A$1:$AZ$300,F804+1,H804),2)),VALUE(LEFT(INDEX(Laporan!$A$1:$AZ$300,F804+1,H804),2)))</f>
        <v>46085</v>
      </c>
      <c r="N804" s="0" t="n">
        <f aca="false">INDEX(Laporan!$A$1:$AZ$300,G804,H804)</f>
        <v>1357</v>
      </c>
      <c r="O804" s="0" t="n">
        <f aca="false">IF(N804="","",IFERROR(VALUE(SUBSTITUTE(SUBSTITUTE(N804," btl",""),".","")),""))</f>
        <v>1357</v>
      </c>
      <c r="P804" s="0" t="str">
        <f aca="false">IF(B804="PRODUKSI","produced","reject")</f>
        <v>produced</v>
      </c>
    </row>
    <row r="805" customFormat="false" ht="15" hidden="false" customHeight="false" outlineLevel="0" collapsed="false">
      <c r="A805" s="0" t="n">
        <v>804</v>
      </c>
      <c r="B805" s="0" t="str">
        <f aca="false">IF(A805&lt;=36*25,"PRODUKSI","REJECT")</f>
        <v>PRODUKSI</v>
      </c>
      <c r="C805" s="0" t="n">
        <f aca="false">MOD(A805-1,Pemetaan!$B$3*Pemetaan!$B$4)</f>
        <v>803</v>
      </c>
      <c r="D805" s="0" t="n">
        <f aca="false">INT(C805/Pemetaan!$B$4)</f>
        <v>32</v>
      </c>
      <c r="E805" s="0" t="n">
        <f aca="false">MOD(C805,Pemetaan!$B$4)</f>
        <v>3</v>
      </c>
      <c r="F805" s="0" t="n">
        <f aca="false">IF(B805="PRODUKSI",Pemetaan!$B$5,Pemetaan!$B$6)</f>
        <v>5</v>
      </c>
      <c r="G805" s="0" t="n">
        <f aca="false">F805+2+D805</f>
        <v>39</v>
      </c>
      <c r="H805" s="0" t="n">
        <f aca="false">Pemetaan!$B$2+E805</f>
        <v>8</v>
      </c>
      <c r="I805" s="0" t="str">
        <f aca="false">INDEX(Laporan!$A$1:$AZ$300,G805,1)</f>
        <v>Mixing</v>
      </c>
      <c r="J805" s="0" t="str">
        <f aca="false">INDEX(Laporan!$A$1:$AZ$300,G805,2)</f>
        <v>1,5 L</v>
      </c>
      <c r="K805" s="0" t="str">
        <f aca="false">INDEX(Laporan!$A$1:$AZ$300,G805,3)</f>
        <v>Shift 1</v>
      </c>
      <c r="L805" s="0" t="n">
        <f aca="false">INDEX(Laporan!$A$1:$AZ$300,G805,4)</f>
        <v>3</v>
      </c>
      <c r="M805" s="1" t="n">
        <f aca="false">DATE(Pemetaan!$B$1,VALUE(RIGHT(INDEX(Laporan!$A$1:$AZ$300,F805+1,H805),2)),VALUE(LEFT(INDEX(Laporan!$A$1:$AZ$300,F805+1,H805),2)))</f>
        <v>46086</v>
      </c>
      <c r="N805" s="0" t="n">
        <f aca="false">INDEX(Laporan!$A$1:$AZ$300,G805,H805)</f>
        <v>1322</v>
      </c>
      <c r="O805" s="0" t="n">
        <f aca="false">IF(N805="","",IFERROR(VALUE(SUBSTITUTE(SUBSTITUTE(N805," btl",""),".","")),""))</f>
        <v>1322</v>
      </c>
      <c r="P805" s="0" t="str">
        <f aca="false">IF(B805="PRODUKSI","produced","reject")</f>
        <v>produced</v>
      </c>
    </row>
    <row r="806" customFormat="false" ht="15" hidden="false" customHeight="false" outlineLevel="0" collapsed="false">
      <c r="A806" s="0" t="n">
        <v>805</v>
      </c>
      <c r="B806" s="0" t="str">
        <f aca="false">IF(A806&lt;=36*25,"PRODUKSI","REJECT")</f>
        <v>PRODUKSI</v>
      </c>
      <c r="C806" s="0" t="n">
        <f aca="false">MOD(A806-1,Pemetaan!$B$3*Pemetaan!$B$4)</f>
        <v>804</v>
      </c>
      <c r="D806" s="0" t="n">
        <f aca="false">INT(C806/Pemetaan!$B$4)</f>
        <v>32</v>
      </c>
      <c r="E806" s="0" t="n">
        <f aca="false">MOD(C806,Pemetaan!$B$4)</f>
        <v>4</v>
      </c>
      <c r="F806" s="0" t="n">
        <f aca="false">IF(B806="PRODUKSI",Pemetaan!$B$5,Pemetaan!$B$6)</f>
        <v>5</v>
      </c>
      <c r="G806" s="0" t="n">
        <f aca="false">F806+2+D806</f>
        <v>39</v>
      </c>
      <c r="H806" s="0" t="n">
        <f aca="false">Pemetaan!$B$2+E806</f>
        <v>9</v>
      </c>
      <c r="I806" s="0" t="str">
        <f aca="false">INDEX(Laporan!$A$1:$AZ$300,G806,1)</f>
        <v>Mixing</v>
      </c>
      <c r="J806" s="0" t="str">
        <f aca="false">INDEX(Laporan!$A$1:$AZ$300,G806,2)</f>
        <v>1,5 L</v>
      </c>
      <c r="K806" s="0" t="str">
        <f aca="false">INDEX(Laporan!$A$1:$AZ$300,G806,3)</f>
        <v>Shift 1</v>
      </c>
      <c r="L806" s="0" t="n">
        <f aca="false">INDEX(Laporan!$A$1:$AZ$300,G806,4)</f>
        <v>3</v>
      </c>
      <c r="M806" s="1" t="n">
        <f aca="false">DATE(Pemetaan!$B$1,VALUE(RIGHT(INDEX(Laporan!$A$1:$AZ$300,F806+1,H806),2)),VALUE(LEFT(INDEX(Laporan!$A$1:$AZ$300,F806+1,H806),2)))</f>
        <v>46087</v>
      </c>
      <c r="N806" s="0" t="n">
        <f aca="false">INDEX(Laporan!$A$1:$AZ$300,G806,H806)</f>
        <v>1513</v>
      </c>
      <c r="O806" s="0" t="n">
        <f aca="false">IF(N806="","",IFERROR(VALUE(SUBSTITUTE(SUBSTITUTE(N806," btl",""),".","")),""))</f>
        <v>1513</v>
      </c>
      <c r="P806" s="0" t="str">
        <f aca="false">IF(B806="PRODUKSI","produced","reject")</f>
        <v>produced</v>
      </c>
    </row>
    <row r="807" customFormat="false" ht="15" hidden="false" customHeight="false" outlineLevel="0" collapsed="false">
      <c r="A807" s="0" t="n">
        <v>806</v>
      </c>
      <c r="B807" s="0" t="str">
        <f aca="false">IF(A807&lt;=36*25,"PRODUKSI","REJECT")</f>
        <v>PRODUKSI</v>
      </c>
      <c r="C807" s="0" t="n">
        <f aca="false">MOD(A807-1,Pemetaan!$B$3*Pemetaan!$B$4)</f>
        <v>805</v>
      </c>
      <c r="D807" s="0" t="n">
        <f aca="false">INT(C807/Pemetaan!$B$4)</f>
        <v>32</v>
      </c>
      <c r="E807" s="0" t="n">
        <f aca="false">MOD(C807,Pemetaan!$B$4)</f>
        <v>5</v>
      </c>
      <c r="F807" s="0" t="n">
        <f aca="false">IF(B807="PRODUKSI",Pemetaan!$B$5,Pemetaan!$B$6)</f>
        <v>5</v>
      </c>
      <c r="G807" s="0" t="n">
        <f aca="false">F807+2+D807</f>
        <v>39</v>
      </c>
      <c r="H807" s="0" t="n">
        <f aca="false">Pemetaan!$B$2+E807</f>
        <v>10</v>
      </c>
      <c r="I807" s="0" t="str">
        <f aca="false">INDEX(Laporan!$A$1:$AZ$300,G807,1)</f>
        <v>Mixing</v>
      </c>
      <c r="J807" s="0" t="str">
        <f aca="false">INDEX(Laporan!$A$1:$AZ$300,G807,2)</f>
        <v>1,5 L</v>
      </c>
      <c r="K807" s="0" t="str">
        <f aca="false">INDEX(Laporan!$A$1:$AZ$300,G807,3)</f>
        <v>Shift 1</v>
      </c>
      <c r="L807" s="0" t="n">
        <f aca="false">INDEX(Laporan!$A$1:$AZ$300,G807,4)</f>
        <v>3</v>
      </c>
      <c r="M807" s="1" t="n">
        <f aca="false">DATE(Pemetaan!$B$1,VALUE(RIGHT(INDEX(Laporan!$A$1:$AZ$300,F807+1,H807),2)),VALUE(LEFT(INDEX(Laporan!$A$1:$AZ$300,F807+1,H807),2)))</f>
        <v>46090</v>
      </c>
      <c r="N807" s="0" t="n">
        <f aca="false">INDEX(Laporan!$A$1:$AZ$300,G807,H807)</f>
        <v>1522</v>
      </c>
      <c r="O807" s="0" t="n">
        <f aca="false">IF(N807="","",IFERROR(VALUE(SUBSTITUTE(SUBSTITUTE(N807," btl",""),".","")),""))</f>
        <v>1522</v>
      </c>
      <c r="P807" s="0" t="str">
        <f aca="false">IF(B807="PRODUKSI","produced","reject")</f>
        <v>produced</v>
      </c>
    </row>
    <row r="808" customFormat="false" ht="15" hidden="false" customHeight="false" outlineLevel="0" collapsed="false">
      <c r="A808" s="0" t="n">
        <v>807</v>
      </c>
      <c r="B808" s="0" t="str">
        <f aca="false">IF(A808&lt;=36*25,"PRODUKSI","REJECT")</f>
        <v>PRODUKSI</v>
      </c>
      <c r="C808" s="0" t="n">
        <f aca="false">MOD(A808-1,Pemetaan!$B$3*Pemetaan!$B$4)</f>
        <v>806</v>
      </c>
      <c r="D808" s="0" t="n">
        <f aca="false">INT(C808/Pemetaan!$B$4)</f>
        <v>32</v>
      </c>
      <c r="E808" s="0" t="n">
        <f aca="false">MOD(C808,Pemetaan!$B$4)</f>
        <v>6</v>
      </c>
      <c r="F808" s="0" t="n">
        <f aca="false">IF(B808="PRODUKSI",Pemetaan!$B$5,Pemetaan!$B$6)</f>
        <v>5</v>
      </c>
      <c r="G808" s="0" t="n">
        <f aca="false">F808+2+D808</f>
        <v>39</v>
      </c>
      <c r="H808" s="0" t="n">
        <f aca="false">Pemetaan!$B$2+E808</f>
        <v>11</v>
      </c>
      <c r="I808" s="0" t="str">
        <f aca="false">INDEX(Laporan!$A$1:$AZ$300,G808,1)</f>
        <v>Mixing</v>
      </c>
      <c r="J808" s="0" t="str">
        <f aca="false">INDEX(Laporan!$A$1:$AZ$300,G808,2)</f>
        <v>1,5 L</v>
      </c>
      <c r="K808" s="0" t="str">
        <f aca="false">INDEX(Laporan!$A$1:$AZ$300,G808,3)</f>
        <v>Shift 1</v>
      </c>
      <c r="L808" s="0" t="n">
        <f aca="false">INDEX(Laporan!$A$1:$AZ$300,G808,4)</f>
        <v>3</v>
      </c>
      <c r="M808" s="1" t="n">
        <f aca="false">DATE(Pemetaan!$B$1,VALUE(RIGHT(INDEX(Laporan!$A$1:$AZ$300,F808+1,H808),2)),VALUE(LEFT(INDEX(Laporan!$A$1:$AZ$300,F808+1,H808),2)))</f>
        <v>46091</v>
      </c>
      <c r="N808" s="0" t="n">
        <f aca="false">INDEX(Laporan!$A$1:$AZ$300,G808,H808)</f>
        <v>1485</v>
      </c>
      <c r="O808" s="0" t="n">
        <f aca="false">IF(N808="","",IFERROR(VALUE(SUBSTITUTE(SUBSTITUTE(N808," btl",""),".","")),""))</f>
        <v>1485</v>
      </c>
      <c r="P808" s="0" t="str">
        <f aca="false">IF(B808="PRODUKSI","produced","reject")</f>
        <v>produced</v>
      </c>
    </row>
    <row r="809" customFormat="false" ht="15" hidden="false" customHeight="false" outlineLevel="0" collapsed="false">
      <c r="A809" s="0" t="n">
        <v>808</v>
      </c>
      <c r="B809" s="0" t="str">
        <f aca="false">IF(A809&lt;=36*25,"PRODUKSI","REJECT")</f>
        <v>PRODUKSI</v>
      </c>
      <c r="C809" s="0" t="n">
        <f aca="false">MOD(A809-1,Pemetaan!$B$3*Pemetaan!$B$4)</f>
        <v>807</v>
      </c>
      <c r="D809" s="0" t="n">
        <f aca="false">INT(C809/Pemetaan!$B$4)</f>
        <v>32</v>
      </c>
      <c r="E809" s="0" t="n">
        <f aca="false">MOD(C809,Pemetaan!$B$4)</f>
        <v>7</v>
      </c>
      <c r="F809" s="0" t="n">
        <f aca="false">IF(B809="PRODUKSI",Pemetaan!$B$5,Pemetaan!$B$6)</f>
        <v>5</v>
      </c>
      <c r="G809" s="0" t="n">
        <f aca="false">F809+2+D809</f>
        <v>39</v>
      </c>
      <c r="H809" s="0" t="n">
        <f aca="false">Pemetaan!$B$2+E809</f>
        <v>12</v>
      </c>
      <c r="I809" s="0" t="str">
        <f aca="false">INDEX(Laporan!$A$1:$AZ$300,G809,1)</f>
        <v>Mixing</v>
      </c>
      <c r="J809" s="0" t="str">
        <f aca="false">INDEX(Laporan!$A$1:$AZ$300,G809,2)</f>
        <v>1,5 L</v>
      </c>
      <c r="K809" s="0" t="str">
        <f aca="false">INDEX(Laporan!$A$1:$AZ$300,G809,3)</f>
        <v>Shift 1</v>
      </c>
      <c r="L809" s="0" t="n">
        <f aca="false">INDEX(Laporan!$A$1:$AZ$300,G809,4)</f>
        <v>3</v>
      </c>
      <c r="M809" s="1" t="n">
        <f aca="false">DATE(Pemetaan!$B$1,VALUE(RIGHT(INDEX(Laporan!$A$1:$AZ$300,F809+1,H809),2)),VALUE(LEFT(INDEX(Laporan!$A$1:$AZ$300,F809+1,H809),2)))</f>
        <v>46092</v>
      </c>
      <c r="N809" s="0" t="n">
        <f aca="false">INDEX(Laporan!$A$1:$AZ$300,G809,H809)</f>
        <v>1663</v>
      </c>
      <c r="O809" s="0" t="n">
        <f aca="false">IF(N809="","",IFERROR(VALUE(SUBSTITUTE(SUBSTITUTE(N809," btl",""),".","")),""))</f>
        <v>1663</v>
      </c>
      <c r="P809" s="0" t="str">
        <f aca="false">IF(B809="PRODUKSI","produced","reject")</f>
        <v>produced</v>
      </c>
    </row>
    <row r="810" customFormat="false" ht="15" hidden="false" customHeight="false" outlineLevel="0" collapsed="false">
      <c r="A810" s="0" t="n">
        <v>809</v>
      </c>
      <c r="B810" s="0" t="str">
        <f aca="false">IF(A810&lt;=36*25,"PRODUKSI","REJECT")</f>
        <v>PRODUKSI</v>
      </c>
      <c r="C810" s="0" t="n">
        <f aca="false">MOD(A810-1,Pemetaan!$B$3*Pemetaan!$B$4)</f>
        <v>808</v>
      </c>
      <c r="D810" s="0" t="n">
        <f aca="false">INT(C810/Pemetaan!$B$4)</f>
        <v>32</v>
      </c>
      <c r="E810" s="0" t="n">
        <f aca="false">MOD(C810,Pemetaan!$B$4)</f>
        <v>8</v>
      </c>
      <c r="F810" s="0" t="n">
        <f aca="false">IF(B810="PRODUKSI",Pemetaan!$B$5,Pemetaan!$B$6)</f>
        <v>5</v>
      </c>
      <c r="G810" s="0" t="n">
        <f aca="false">F810+2+D810</f>
        <v>39</v>
      </c>
      <c r="H810" s="0" t="n">
        <f aca="false">Pemetaan!$B$2+E810</f>
        <v>13</v>
      </c>
      <c r="I810" s="0" t="str">
        <f aca="false">INDEX(Laporan!$A$1:$AZ$300,G810,1)</f>
        <v>Mixing</v>
      </c>
      <c r="J810" s="0" t="str">
        <f aca="false">INDEX(Laporan!$A$1:$AZ$300,G810,2)</f>
        <v>1,5 L</v>
      </c>
      <c r="K810" s="0" t="str">
        <f aca="false">INDEX(Laporan!$A$1:$AZ$300,G810,3)</f>
        <v>Shift 1</v>
      </c>
      <c r="L810" s="0" t="n">
        <f aca="false">INDEX(Laporan!$A$1:$AZ$300,G810,4)</f>
        <v>3</v>
      </c>
      <c r="M810" s="1" t="n">
        <f aca="false">DATE(Pemetaan!$B$1,VALUE(RIGHT(INDEX(Laporan!$A$1:$AZ$300,F810+1,H810),2)),VALUE(LEFT(INDEX(Laporan!$A$1:$AZ$300,F810+1,H810),2)))</f>
        <v>46093</v>
      </c>
      <c r="N810" s="0" t="n">
        <f aca="false">INDEX(Laporan!$A$1:$AZ$300,G810,H810)</f>
        <v>1400</v>
      </c>
      <c r="O810" s="0" t="n">
        <f aca="false">IF(N810="","",IFERROR(VALUE(SUBSTITUTE(SUBSTITUTE(N810," btl",""),".","")),""))</f>
        <v>1400</v>
      </c>
      <c r="P810" s="0" t="str">
        <f aca="false">IF(B810="PRODUKSI","produced","reject")</f>
        <v>produced</v>
      </c>
    </row>
    <row r="811" customFormat="false" ht="15" hidden="false" customHeight="false" outlineLevel="0" collapsed="false">
      <c r="A811" s="0" t="n">
        <v>810</v>
      </c>
      <c r="B811" s="0" t="str">
        <f aca="false">IF(A811&lt;=36*25,"PRODUKSI","REJECT")</f>
        <v>PRODUKSI</v>
      </c>
      <c r="C811" s="0" t="n">
        <f aca="false">MOD(A811-1,Pemetaan!$B$3*Pemetaan!$B$4)</f>
        <v>809</v>
      </c>
      <c r="D811" s="0" t="n">
        <f aca="false">INT(C811/Pemetaan!$B$4)</f>
        <v>32</v>
      </c>
      <c r="E811" s="0" t="n">
        <f aca="false">MOD(C811,Pemetaan!$B$4)</f>
        <v>9</v>
      </c>
      <c r="F811" s="0" t="n">
        <f aca="false">IF(B811="PRODUKSI",Pemetaan!$B$5,Pemetaan!$B$6)</f>
        <v>5</v>
      </c>
      <c r="G811" s="0" t="n">
        <f aca="false">F811+2+D811</f>
        <v>39</v>
      </c>
      <c r="H811" s="0" t="n">
        <f aca="false">Pemetaan!$B$2+E811</f>
        <v>14</v>
      </c>
      <c r="I811" s="0" t="str">
        <f aca="false">INDEX(Laporan!$A$1:$AZ$300,G811,1)</f>
        <v>Mixing</v>
      </c>
      <c r="J811" s="0" t="str">
        <f aca="false">INDEX(Laporan!$A$1:$AZ$300,G811,2)</f>
        <v>1,5 L</v>
      </c>
      <c r="K811" s="0" t="str">
        <f aca="false">INDEX(Laporan!$A$1:$AZ$300,G811,3)</f>
        <v>Shift 1</v>
      </c>
      <c r="L811" s="0" t="n">
        <f aca="false">INDEX(Laporan!$A$1:$AZ$300,G811,4)</f>
        <v>3</v>
      </c>
      <c r="M811" s="1" t="n">
        <f aca="false">DATE(Pemetaan!$B$1,VALUE(RIGHT(INDEX(Laporan!$A$1:$AZ$300,F811+1,H811),2)),VALUE(LEFT(INDEX(Laporan!$A$1:$AZ$300,F811+1,H811),2)))</f>
        <v>46094</v>
      </c>
      <c r="N811" s="0" t="n">
        <f aca="false">INDEX(Laporan!$A$1:$AZ$300,G811,H811)</f>
        <v>1373</v>
      </c>
      <c r="O811" s="0" t="n">
        <f aca="false">IF(N811="","",IFERROR(VALUE(SUBSTITUTE(SUBSTITUTE(N811," btl",""),".","")),""))</f>
        <v>1373</v>
      </c>
      <c r="P811" s="0" t="str">
        <f aca="false">IF(B811="PRODUKSI","produced","reject")</f>
        <v>produced</v>
      </c>
    </row>
    <row r="812" customFormat="false" ht="15" hidden="false" customHeight="false" outlineLevel="0" collapsed="false">
      <c r="A812" s="0" t="n">
        <v>811</v>
      </c>
      <c r="B812" s="0" t="str">
        <f aca="false">IF(A812&lt;=36*25,"PRODUKSI","REJECT")</f>
        <v>PRODUKSI</v>
      </c>
      <c r="C812" s="0" t="n">
        <f aca="false">MOD(A812-1,Pemetaan!$B$3*Pemetaan!$B$4)</f>
        <v>810</v>
      </c>
      <c r="D812" s="0" t="n">
        <f aca="false">INT(C812/Pemetaan!$B$4)</f>
        <v>32</v>
      </c>
      <c r="E812" s="0" t="n">
        <f aca="false">MOD(C812,Pemetaan!$B$4)</f>
        <v>10</v>
      </c>
      <c r="F812" s="0" t="n">
        <f aca="false">IF(B812="PRODUKSI",Pemetaan!$B$5,Pemetaan!$B$6)</f>
        <v>5</v>
      </c>
      <c r="G812" s="0" t="n">
        <f aca="false">F812+2+D812</f>
        <v>39</v>
      </c>
      <c r="H812" s="0" t="n">
        <f aca="false">Pemetaan!$B$2+E812</f>
        <v>15</v>
      </c>
      <c r="I812" s="0" t="str">
        <f aca="false">INDEX(Laporan!$A$1:$AZ$300,G812,1)</f>
        <v>Mixing</v>
      </c>
      <c r="J812" s="0" t="str">
        <f aca="false">INDEX(Laporan!$A$1:$AZ$300,G812,2)</f>
        <v>1,5 L</v>
      </c>
      <c r="K812" s="0" t="str">
        <f aca="false">INDEX(Laporan!$A$1:$AZ$300,G812,3)</f>
        <v>Shift 1</v>
      </c>
      <c r="L812" s="0" t="n">
        <f aca="false">INDEX(Laporan!$A$1:$AZ$300,G812,4)</f>
        <v>3</v>
      </c>
      <c r="M812" s="1" t="n">
        <f aca="false">DATE(Pemetaan!$B$1,VALUE(RIGHT(INDEX(Laporan!$A$1:$AZ$300,F812+1,H812),2)),VALUE(LEFT(INDEX(Laporan!$A$1:$AZ$300,F812+1,H812),2)))</f>
        <v>46097</v>
      </c>
      <c r="N812" s="0" t="n">
        <f aca="false">INDEX(Laporan!$A$1:$AZ$300,G812,H812)</f>
        <v>1285</v>
      </c>
      <c r="O812" s="0" t="n">
        <f aca="false">IF(N812="","",IFERROR(VALUE(SUBSTITUTE(SUBSTITUTE(N812," btl",""),".","")),""))</f>
        <v>1285</v>
      </c>
      <c r="P812" s="0" t="str">
        <f aca="false">IF(B812="PRODUKSI","produced","reject")</f>
        <v>produced</v>
      </c>
    </row>
    <row r="813" customFormat="false" ht="15" hidden="false" customHeight="false" outlineLevel="0" collapsed="false">
      <c r="A813" s="0" t="n">
        <v>812</v>
      </c>
      <c r="B813" s="0" t="str">
        <f aca="false">IF(A813&lt;=36*25,"PRODUKSI","REJECT")</f>
        <v>PRODUKSI</v>
      </c>
      <c r="C813" s="0" t="n">
        <f aca="false">MOD(A813-1,Pemetaan!$B$3*Pemetaan!$B$4)</f>
        <v>811</v>
      </c>
      <c r="D813" s="0" t="n">
        <f aca="false">INT(C813/Pemetaan!$B$4)</f>
        <v>32</v>
      </c>
      <c r="E813" s="0" t="n">
        <f aca="false">MOD(C813,Pemetaan!$B$4)</f>
        <v>11</v>
      </c>
      <c r="F813" s="0" t="n">
        <f aca="false">IF(B813="PRODUKSI",Pemetaan!$B$5,Pemetaan!$B$6)</f>
        <v>5</v>
      </c>
      <c r="G813" s="0" t="n">
        <f aca="false">F813+2+D813</f>
        <v>39</v>
      </c>
      <c r="H813" s="0" t="n">
        <f aca="false">Pemetaan!$B$2+E813</f>
        <v>16</v>
      </c>
      <c r="I813" s="0" t="str">
        <f aca="false">INDEX(Laporan!$A$1:$AZ$300,G813,1)</f>
        <v>Mixing</v>
      </c>
      <c r="J813" s="0" t="str">
        <f aca="false">INDEX(Laporan!$A$1:$AZ$300,G813,2)</f>
        <v>1,5 L</v>
      </c>
      <c r="K813" s="0" t="str">
        <f aca="false">INDEX(Laporan!$A$1:$AZ$300,G813,3)</f>
        <v>Shift 1</v>
      </c>
      <c r="L813" s="0" t="n">
        <f aca="false">INDEX(Laporan!$A$1:$AZ$300,G813,4)</f>
        <v>3</v>
      </c>
      <c r="M813" s="1" t="n">
        <f aca="false">DATE(Pemetaan!$B$1,VALUE(RIGHT(INDEX(Laporan!$A$1:$AZ$300,F813+1,H813),2)),VALUE(LEFT(INDEX(Laporan!$A$1:$AZ$300,F813+1,H813),2)))</f>
        <v>46098</v>
      </c>
      <c r="N813" s="0" t="n">
        <f aca="false">INDEX(Laporan!$A$1:$AZ$300,G813,H813)</f>
        <v>1450</v>
      </c>
      <c r="O813" s="0" t="n">
        <f aca="false">IF(N813="","",IFERROR(VALUE(SUBSTITUTE(SUBSTITUTE(N813," btl",""),".","")),""))</f>
        <v>1450</v>
      </c>
      <c r="P813" s="0" t="str">
        <f aca="false">IF(B813="PRODUKSI","produced","reject")</f>
        <v>produced</v>
      </c>
    </row>
    <row r="814" customFormat="false" ht="15" hidden="false" customHeight="false" outlineLevel="0" collapsed="false">
      <c r="A814" s="0" t="n">
        <v>813</v>
      </c>
      <c r="B814" s="0" t="str">
        <f aca="false">IF(A814&lt;=36*25,"PRODUKSI","REJECT")</f>
        <v>PRODUKSI</v>
      </c>
      <c r="C814" s="0" t="n">
        <f aca="false">MOD(A814-1,Pemetaan!$B$3*Pemetaan!$B$4)</f>
        <v>812</v>
      </c>
      <c r="D814" s="0" t="n">
        <f aca="false">INT(C814/Pemetaan!$B$4)</f>
        <v>32</v>
      </c>
      <c r="E814" s="0" t="n">
        <f aca="false">MOD(C814,Pemetaan!$B$4)</f>
        <v>12</v>
      </c>
      <c r="F814" s="0" t="n">
        <f aca="false">IF(B814="PRODUKSI",Pemetaan!$B$5,Pemetaan!$B$6)</f>
        <v>5</v>
      </c>
      <c r="G814" s="0" t="n">
        <f aca="false">F814+2+D814</f>
        <v>39</v>
      </c>
      <c r="H814" s="0" t="n">
        <f aca="false">Pemetaan!$B$2+E814</f>
        <v>17</v>
      </c>
      <c r="I814" s="0" t="str">
        <f aca="false">INDEX(Laporan!$A$1:$AZ$300,G814,1)</f>
        <v>Mixing</v>
      </c>
      <c r="J814" s="0" t="str">
        <f aca="false">INDEX(Laporan!$A$1:$AZ$300,G814,2)</f>
        <v>1,5 L</v>
      </c>
      <c r="K814" s="0" t="str">
        <f aca="false">INDEX(Laporan!$A$1:$AZ$300,G814,3)</f>
        <v>Shift 1</v>
      </c>
      <c r="L814" s="0" t="n">
        <f aca="false">INDEX(Laporan!$A$1:$AZ$300,G814,4)</f>
        <v>3</v>
      </c>
      <c r="M814" s="1" t="n">
        <f aca="false">DATE(Pemetaan!$B$1,VALUE(RIGHT(INDEX(Laporan!$A$1:$AZ$300,F814+1,H814),2)),VALUE(LEFT(INDEX(Laporan!$A$1:$AZ$300,F814+1,H814),2)))</f>
        <v>46099</v>
      </c>
      <c r="N814" s="0" t="n">
        <f aca="false">INDEX(Laporan!$A$1:$AZ$300,G814,H814)</f>
        <v>1613</v>
      </c>
      <c r="O814" s="0" t="n">
        <f aca="false">IF(N814="","",IFERROR(VALUE(SUBSTITUTE(SUBSTITUTE(N814," btl",""),".","")),""))</f>
        <v>1613</v>
      </c>
      <c r="P814" s="0" t="str">
        <f aca="false">IF(B814="PRODUKSI","produced","reject")</f>
        <v>produced</v>
      </c>
    </row>
    <row r="815" customFormat="false" ht="15" hidden="false" customHeight="false" outlineLevel="0" collapsed="false">
      <c r="A815" s="0" t="n">
        <v>814</v>
      </c>
      <c r="B815" s="0" t="str">
        <f aca="false">IF(A815&lt;=36*25,"PRODUKSI","REJECT")</f>
        <v>PRODUKSI</v>
      </c>
      <c r="C815" s="0" t="n">
        <f aca="false">MOD(A815-1,Pemetaan!$B$3*Pemetaan!$B$4)</f>
        <v>813</v>
      </c>
      <c r="D815" s="0" t="n">
        <f aca="false">INT(C815/Pemetaan!$B$4)</f>
        <v>32</v>
      </c>
      <c r="E815" s="0" t="n">
        <f aca="false">MOD(C815,Pemetaan!$B$4)</f>
        <v>13</v>
      </c>
      <c r="F815" s="0" t="n">
        <f aca="false">IF(B815="PRODUKSI",Pemetaan!$B$5,Pemetaan!$B$6)</f>
        <v>5</v>
      </c>
      <c r="G815" s="0" t="n">
        <f aca="false">F815+2+D815</f>
        <v>39</v>
      </c>
      <c r="H815" s="0" t="n">
        <f aca="false">Pemetaan!$B$2+E815</f>
        <v>18</v>
      </c>
      <c r="I815" s="0" t="str">
        <f aca="false">INDEX(Laporan!$A$1:$AZ$300,G815,1)</f>
        <v>Mixing</v>
      </c>
      <c r="J815" s="0" t="str">
        <f aca="false">INDEX(Laporan!$A$1:$AZ$300,G815,2)</f>
        <v>1,5 L</v>
      </c>
      <c r="K815" s="0" t="str">
        <f aca="false">INDEX(Laporan!$A$1:$AZ$300,G815,3)</f>
        <v>Shift 1</v>
      </c>
      <c r="L815" s="0" t="n">
        <f aca="false">INDEX(Laporan!$A$1:$AZ$300,G815,4)</f>
        <v>3</v>
      </c>
      <c r="M815" s="1" t="n">
        <f aca="false">DATE(Pemetaan!$B$1,VALUE(RIGHT(INDEX(Laporan!$A$1:$AZ$300,F815+1,H815),2)),VALUE(LEFT(INDEX(Laporan!$A$1:$AZ$300,F815+1,H815),2)))</f>
        <v>46100</v>
      </c>
      <c r="N815" s="0" t="n">
        <f aca="false">INDEX(Laporan!$A$1:$AZ$300,G815,H815)</f>
        <v>1584</v>
      </c>
      <c r="O815" s="0" t="n">
        <f aca="false">IF(N815="","",IFERROR(VALUE(SUBSTITUTE(SUBSTITUTE(N815," btl",""),".","")),""))</f>
        <v>1584</v>
      </c>
      <c r="P815" s="0" t="str">
        <f aca="false">IF(B815="PRODUKSI","produced","reject")</f>
        <v>produced</v>
      </c>
    </row>
    <row r="816" customFormat="false" ht="15" hidden="false" customHeight="false" outlineLevel="0" collapsed="false">
      <c r="A816" s="0" t="n">
        <v>815</v>
      </c>
      <c r="B816" s="0" t="str">
        <f aca="false">IF(A816&lt;=36*25,"PRODUKSI","REJECT")</f>
        <v>PRODUKSI</v>
      </c>
      <c r="C816" s="0" t="n">
        <f aca="false">MOD(A816-1,Pemetaan!$B$3*Pemetaan!$B$4)</f>
        <v>814</v>
      </c>
      <c r="D816" s="0" t="n">
        <f aca="false">INT(C816/Pemetaan!$B$4)</f>
        <v>32</v>
      </c>
      <c r="E816" s="0" t="n">
        <f aca="false">MOD(C816,Pemetaan!$B$4)</f>
        <v>14</v>
      </c>
      <c r="F816" s="0" t="n">
        <f aca="false">IF(B816="PRODUKSI",Pemetaan!$B$5,Pemetaan!$B$6)</f>
        <v>5</v>
      </c>
      <c r="G816" s="0" t="n">
        <f aca="false">F816+2+D816</f>
        <v>39</v>
      </c>
      <c r="H816" s="0" t="n">
        <f aca="false">Pemetaan!$B$2+E816</f>
        <v>19</v>
      </c>
      <c r="I816" s="0" t="str">
        <f aca="false">INDEX(Laporan!$A$1:$AZ$300,G816,1)</f>
        <v>Mixing</v>
      </c>
      <c r="J816" s="0" t="str">
        <f aca="false">INDEX(Laporan!$A$1:$AZ$300,G816,2)</f>
        <v>1,5 L</v>
      </c>
      <c r="K816" s="0" t="str">
        <f aca="false">INDEX(Laporan!$A$1:$AZ$300,G816,3)</f>
        <v>Shift 1</v>
      </c>
      <c r="L816" s="0" t="n">
        <f aca="false">INDEX(Laporan!$A$1:$AZ$300,G816,4)</f>
        <v>3</v>
      </c>
      <c r="M816" s="1" t="n">
        <f aca="false">DATE(Pemetaan!$B$1,VALUE(RIGHT(INDEX(Laporan!$A$1:$AZ$300,F816+1,H816),2)),VALUE(LEFT(INDEX(Laporan!$A$1:$AZ$300,F816+1,H816),2)))</f>
        <v>46101</v>
      </c>
      <c r="N816" s="0" t="str">
        <f aca="false">INDEX(Laporan!$A$1:$AZ$300,G816,H816)</f>
        <v>1508 btl</v>
      </c>
      <c r="O816" s="0" t="n">
        <f aca="false">IF(N816="","",IFERROR(VALUE(SUBSTITUTE(SUBSTITUTE(N816," btl",""),".","")),""))</f>
        <v>1508</v>
      </c>
      <c r="P816" s="0" t="str">
        <f aca="false">IF(B816="PRODUKSI","produced","reject")</f>
        <v>produced</v>
      </c>
    </row>
    <row r="817" customFormat="false" ht="15" hidden="false" customHeight="false" outlineLevel="0" collapsed="false">
      <c r="A817" s="0" t="n">
        <v>816</v>
      </c>
      <c r="B817" s="0" t="str">
        <f aca="false">IF(A817&lt;=36*25,"PRODUKSI","REJECT")</f>
        <v>PRODUKSI</v>
      </c>
      <c r="C817" s="0" t="n">
        <f aca="false">MOD(A817-1,Pemetaan!$B$3*Pemetaan!$B$4)</f>
        <v>815</v>
      </c>
      <c r="D817" s="0" t="n">
        <f aca="false">INT(C817/Pemetaan!$B$4)</f>
        <v>32</v>
      </c>
      <c r="E817" s="0" t="n">
        <f aca="false">MOD(C817,Pemetaan!$B$4)</f>
        <v>15</v>
      </c>
      <c r="F817" s="0" t="n">
        <f aca="false">IF(B817="PRODUKSI",Pemetaan!$B$5,Pemetaan!$B$6)</f>
        <v>5</v>
      </c>
      <c r="G817" s="0" t="n">
        <f aca="false">F817+2+D817</f>
        <v>39</v>
      </c>
      <c r="H817" s="0" t="n">
        <f aca="false">Pemetaan!$B$2+E817</f>
        <v>20</v>
      </c>
      <c r="I817" s="0" t="str">
        <f aca="false">INDEX(Laporan!$A$1:$AZ$300,G817,1)</f>
        <v>Mixing</v>
      </c>
      <c r="J817" s="0" t="str">
        <f aca="false">INDEX(Laporan!$A$1:$AZ$300,G817,2)</f>
        <v>1,5 L</v>
      </c>
      <c r="K817" s="0" t="str">
        <f aca="false">INDEX(Laporan!$A$1:$AZ$300,G817,3)</f>
        <v>Shift 1</v>
      </c>
      <c r="L817" s="0" t="n">
        <f aca="false">INDEX(Laporan!$A$1:$AZ$300,G817,4)</f>
        <v>3</v>
      </c>
      <c r="M817" s="1" t="n">
        <f aca="false">DATE(Pemetaan!$B$1,VALUE(RIGHT(INDEX(Laporan!$A$1:$AZ$300,F817+1,H817),2)),VALUE(LEFT(INDEX(Laporan!$A$1:$AZ$300,F817+1,H817),2)))</f>
        <v>46104</v>
      </c>
      <c r="N817" s="0" t="n">
        <f aca="false">INDEX(Laporan!$A$1:$AZ$300,G817,H817)</f>
        <v>1361</v>
      </c>
      <c r="O817" s="0" t="n">
        <f aca="false">IF(N817="","",IFERROR(VALUE(SUBSTITUTE(SUBSTITUTE(N817," btl",""),".","")),""))</f>
        <v>1361</v>
      </c>
      <c r="P817" s="0" t="str">
        <f aca="false">IF(B817="PRODUKSI","produced","reject")</f>
        <v>produced</v>
      </c>
    </row>
    <row r="818" customFormat="false" ht="15" hidden="false" customHeight="false" outlineLevel="0" collapsed="false">
      <c r="A818" s="0" t="n">
        <v>817</v>
      </c>
      <c r="B818" s="0" t="str">
        <f aca="false">IF(A818&lt;=36*25,"PRODUKSI","REJECT")</f>
        <v>PRODUKSI</v>
      </c>
      <c r="C818" s="0" t="n">
        <f aca="false">MOD(A818-1,Pemetaan!$B$3*Pemetaan!$B$4)</f>
        <v>816</v>
      </c>
      <c r="D818" s="0" t="n">
        <f aca="false">INT(C818/Pemetaan!$B$4)</f>
        <v>32</v>
      </c>
      <c r="E818" s="0" t="n">
        <f aca="false">MOD(C818,Pemetaan!$B$4)</f>
        <v>16</v>
      </c>
      <c r="F818" s="0" t="n">
        <f aca="false">IF(B818="PRODUKSI",Pemetaan!$B$5,Pemetaan!$B$6)</f>
        <v>5</v>
      </c>
      <c r="G818" s="0" t="n">
        <f aca="false">F818+2+D818</f>
        <v>39</v>
      </c>
      <c r="H818" s="0" t="n">
        <f aca="false">Pemetaan!$B$2+E818</f>
        <v>21</v>
      </c>
      <c r="I818" s="0" t="str">
        <f aca="false">INDEX(Laporan!$A$1:$AZ$300,G818,1)</f>
        <v>Mixing</v>
      </c>
      <c r="J818" s="0" t="str">
        <f aca="false">INDEX(Laporan!$A$1:$AZ$300,G818,2)</f>
        <v>1,5 L</v>
      </c>
      <c r="K818" s="0" t="str">
        <f aca="false">INDEX(Laporan!$A$1:$AZ$300,G818,3)</f>
        <v>Shift 1</v>
      </c>
      <c r="L818" s="0" t="n">
        <f aca="false">INDEX(Laporan!$A$1:$AZ$300,G818,4)</f>
        <v>3</v>
      </c>
      <c r="M818" s="1" t="n">
        <f aca="false">DATE(Pemetaan!$B$1,VALUE(RIGHT(INDEX(Laporan!$A$1:$AZ$300,F818+1,H818),2)),VALUE(LEFT(INDEX(Laporan!$A$1:$AZ$300,F818+1,H818),2)))</f>
        <v>46105</v>
      </c>
      <c r="N818" s="0" t="str">
        <f aca="false">INDEX(Laporan!$A$1:$AZ$300,G818,H818)</f>
        <v>n/a</v>
      </c>
      <c r="O818" s="0" t="str">
        <f aca="false">IF(N818="","",IFERROR(VALUE(SUBSTITUTE(SUBSTITUTE(N818," btl",""),".","")),""))</f>
        <v/>
      </c>
      <c r="P818" s="0" t="str">
        <f aca="false">IF(B818="PRODUKSI","produced","reject")</f>
        <v>produced</v>
      </c>
    </row>
    <row r="819" customFormat="false" ht="15" hidden="false" customHeight="false" outlineLevel="0" collapsed="false">
      <c r="A819" s="0" t="n">
        <v>818</v>
      </c>
      <c r="B819" s="0" t="str">
        <f aca="false">IF(A819&lt;=36*25,"PRODUKSI","REJECT")</f>
        <v>PRODUKSI</v>
      </c>
      <c r="C819" s="0" t="n">
        <f aca="false">MOD(A819-1,Pemetaan!$B$3*Pemetaan!$B$4)</f>
        <v>817</v>
      </c>
      <c r="D819" s="0" t="n">
        <f aca="false">INT(C819/Pemetaan!$B$4)</f>
        <v>32</v>
      </c>
      <c r="E819" s="0" t="n">
        <f aca="false">MOD(C819,Pemetaan!$B$4)</f>
        <v>17</v>
      </c>
      <c r="F819" s="0" t="n">
        <f aca="false">IF(B819="PRODUKSI",Pemetaan!$B$5,Pemetaan!$B$6)</f>
        <v>5</v>
      </c>
      <c r="G819" s="0" t="n">
        <f aca="false">F819+2+D819</f>
        <v>39</v>
      </c>
      <c r="H819" s="0" t="n">
        <f aca="false">Pemetaan!$B$2+E819</f>
        <v>22</v>
      </c>
      <c r="I819" s="0" t="str">
        <f aca="false">INDEX(Laporan!$A$1:$AZ$300,G819,1)</f>
        <v>Mixing</v>
      </c>
      <c r="J819" s="0" t="str">
        <f aca="false">INDEX(Laporan!$A$1:$AZ$300,G819,2)</f>
        <v>1,5 L</v>
      </c>
      <c r="K819" s="0" t="str">
        <f aca="false">INDEX(Laporan!$A$1:$AZ$300,G819,3)</f>
        <v>Shift 1</v>
      </c>
      <c r="L819" s="0" t="n">
        <f aca="false">INDEX(Laporan!$A$1:$AZ$300,G819,4)</f>
        <v>3</v>
      </c>
      <c r="M819" s="1" t="n">
        <f aca="false">DATE(Pemetaan!$B$1,VALUE(RIGHT(INDEX(Laporan!$A$1:$AZ$300,F819+1,H819),2)),VALUE(LEFT(INDEX(Laporan!$A$1:$AZ$300,F819+1,H819),2)))</f>
        <v>46106</v>
      </c>
      <c r="N819" s="0" t="n">
        <f aca="false">INDEX(Laporan!$A$1:$AZ$300,G819,H819)</f>
        <v>1462</v>
      </c>
      <c r="O819" s="0" t="n">
        <f aca="false">IF(N819="","",IFERROR(VALUE(SUBSTITUTE(SUBSTITUTE(N819," btl",""),".","")),""))</f>
        <v>1462</v>
      </c>
      <c r="P819" s="0" t="str">
        <f aca="false">IF(B819="PRODUKSI","produced","reject")</f>
        <v>produced</v>
      </c>
    </row>
    <row r="820" customFormat="false" ht="15" hidden="false" customHeight="false" outlineLevel="0" collapsed="false">
      <c r="A820" s="0" t="n">
        <v>819</v>
      </c>
      <c r="B820" s="0" t="str">
        <f aca="false">IF(A820&lt;=36*25,"PRODUKSI","REJECT")</f>
        <v>PRODUKSI</v>
      </c>
      <c r="C820" s="0" t="n">
        <f aca="false">MOD(A820-1,Pemetaan!$B$3*Pemetaan!$B$4)</f>
        <v>818</v>
      </c>
      <c r="D820" s="0" t="n">
        <f aca="false">INT(C820/Pemetaan!$B$4)</f>
        <v>32</v>
      </c>
      <c r="E820" s="0" t="n">
        <f aca="false">MOD(C820,Pemetaan!$B$4)</f>
        <v>18</v>
      </c>
      <c r="F820" s="0" t="n">
        <f aca="false">IF(B820="PRODUKSI",Pemetaan!$B$5,Pemetaan!$B$6)</f>
        <v>5</v>
      </c>
      <c r="G820" s="0" t="n">
        <f aca="false">F820+2+D820</f>
        <v>39</v>
      </c>
      <c r="H820" s="0" t="n">
        <f aca="false">Pemetaan!$B$2+E820</f>
        <v>23</v>
      </c>
      <c r="I820" s="0" t="str">
        <f aca="false">INDEX(Laporan!$A$1:$AZ$300,G820,1)</f>
        <v>Mixing</v>
      </c>
      <c r="J820" s="0" t="str">
        <f aca="false">INDEX(Laporan!$A$1:$AZ$300,G820,2)</f>
        <v>1,5 L</v>
      </c>
      <c r="K820" s="0" t="str">
        <f aca="false">INDEX(Laporan!$A$1:$AZ$300,G820,3)</f>
        <v>Shift 1</v>
      </c>
      <c r="L820" s="0" t="n">
        <f aca="false">INDEX(Laporan!$A$1:$AZ$300,G820,4)</f>
        <v>3</v>
      </c>
      <c r="M820" s="1" t="n">
        <f aca="false">DATE(Pemetaan!$B$1,VALUE(RIGHT(INDEX(Laporan!$A$1:$AZ$300,F820+1,H820),2)),VALUE(LEFT(INDEX(Laporan!$A$1:$AZ$300,F820+1,H820),2)))</f>
        <v>46107</v>
      </c>
      <c r="N820" s="0" t="n">
        <f aca="false">INDEX(Laporan!$A$1:$AZ$300,G820,H820)</f>
        <v>1374</v>
      </c>
      <c r="O820" s="0" t="n">
        <f aca="false">IF(N820="","",IFERROR(VALUE(SUBSTITUTE(SUBSTITUTE(N820," btl",""),".","")),""))</f>
        <v>1374</v>
      </c>
      <c r="P820" s="0" t="str">
        <f aca="false">IF(B820="PRODUKSI","produced","reject")</f>
        <v>produced</v>
      </c>
    </row>
    <row r="821" customFormat="false" ht="15" hidden="false" customHeight="false" outlineLevel="0" collapsed="false">
      <c r="A821" s="0" t="n">
        <v>820</v>
      </c>
      <c r="B821" s="0" t="str">
        <f aca="false">IF(A821&lt;=36*25,"PRODUKSI","REJECT")</f>
        <v>PRODUKSI</v>
      </c>
      <c r="C821" s="0" t="n">
        <f aca="false">MOD(A821-1,Pemetaan!$B$3*Pemetaan!$B$4)</f>
        <v>819</v>
      </c>
      <c r="D821" s="0" t="n">
        <f aca="false">INT(C821/Pemetaan!$B$4)</f>
        <v>32</v>
      </c>
      <c r="E821" s="0" t="n">
        <f aca="false">MOD(C821,Pemetaan!$B$4)</f>
        <v>19</v>
      </c>
      <c r="F821" s="0" t="n">
        <f aca="false">IF(B821="PRODUKSI",Pemetaan!$B$5,Pemetaan!$B$6)</f>
        <v>5</v>
      </c>
      <c r="G821" s="0" t="n">
        <f aca="false">F821+2+D821</f>
        <v>39</v>
      </c>
      <c r="H821" s="0" t="n">
        <f aca="false">Pemetaan!$B$2+E821</f>
        <v>24</v>
      </c>
      <c r="I821" s="0" t="str">
        <f aca="false">INDEX(Laporan!$A$1:$AZ$300,G821,1)</f>
        <v>Mixing</v>
      </c>
      <c r="J821" s="0" t="str">
        <f aca="false">INDEX(Laporan!$A$1:$AZ$300,G821,2)</f>
        <v>1,5 L</v>
      </c>
      <c r="K821" s="0" t="str">
        <f aca="false">INDEX(Laporan!$A$1:$AZ$300,G821,3)</f>
        <v>Shift 1</v>
      </c>
      <c r="L821" s="0" t="n">
        <f aca="false">INDEX(Laporan!$A$1:$AZ$300,G821,4)</f>
        <v>3</v>
      </c>
      <c r="M821" s="1" t="n">
        <f aca="false">DATE(Pemetaan!$B$1,VALUE(RIGHT(INDEX(Laporan!$A$1:$AZ$300,F821+1,H821),2)),VALUE(LEFT(INDEX(Laporan!$A$1:$AZ$300,F821+1,H821),2)))</f>
        <v>46108</v>
      </c>
      <c r="N821" s="0" t="n">
        <f aca="false">INDEX(Laporan!$A$1:$AZ$300,G821,H821)</f>
        <v>1530</v>
      </c>
      <c r="O821" s="0" t="n">
        <f aca="false">IF(N821="","",IFERROR(VALUE(SUBSTITUTE(SUBSTITUTE(N821," btl",""),".","")),""))</f>
        <v>1530</v>
      </c>
      <c r="P821" s="0" t="str">
        <f aca="false">IF(B821="PRODUKSI","produced","reject")</f>
        <v>produced</v>
      </c>
    </row>
    <row r="822" customFormat="false" ht="15" hidden="false" customHeight="false" outlineLevel="0" collapsed="false">
      <c r="A822" s="0" t="n">
        <v>821</v>
      </c>
      <c r="B822" s="0" t="str">
        <f aca="false">IF(A822&lt;=36*25,"PRODUKSI","REJECT")</f>
        <v>PRODUKSI</v>
      </c>
      <c r="C822" s="0" t="n">
        <f aca="false">MOD(A822-1,Pemetaan!$B$3*Pemetaan!$B$4)</f>
        <v>820</v>
      </c>
      <c r="D822" s="0" t="n">
        <f aca="false">INT(C822/Pemetaan!$B$4)</f>
        <v>32</v>
      </c>
      <c r="E822" s="0" t="n">
        <f aca="false">MOD(C822,Pemetaan!$B$4)</f>
        <v>20</v>
      </c>
      <c r="F822" s="0" t="n">
        <f aca="false">IF(B822="PRODUKSI",Pemetaan!$B$5,Pemetaan!$B$6)</f>
        <v>5</v>
      </c>
      <c r="G822" s="0" t="n">
        <f aca="false">F822+2+D822</f>
        <v>39</v>
      </c>
      <c r="H822" s="0" t="n">
        <f aca="false">Pemetaan!$B$2+E822</f>
        <v>25</v>
      </c>
      <c r="I822" s="0" t="str">
        <f aca="false">INDEX(Laporan!$A$1:$AZ$300,G822,1)</f>
        <v>Mixing</v>
      </c>
      <c r="J822" s="0" t="str">
        <f aca="false">INDEX(Laporan!$A$1:$AZ$300,G822,2)</f>
        <v>1,5 L</v>
      </c>
      <c r="K822" s="0" t="str">
        <f aca="false">INDEX(Laporan!$A$1:$AZ$300,G822,3)</f>
        <v>Shift 1</v>
      </c>
      <c r="L822" s="0" t="n">
        <f aca="false">INDEX(Laporan!$A$1:$AZ$300,G822,4)</f>
        <v>3</v>
      </c>
      <c r="M822" s="1" t="n">
        <f aca="false">DATE(Pemetaan!$B$1,VALUE(RIGHT(INDEX(Laporan!$A$1:$AZ$300,F822+1,H822),2)),VALUE(LEFT(INDEX(Laporan!$A$1:$AZ$300,F822+1,H822),2)))</f>
        <v>46111</v>
      </c>
      <c r="N822" s="0" t="n">
        <f aca="false">INDEX(Laporan!$A$1:$AZ$300,G822,H822)</f>
        <v>1515</v>
      </c>
      <c r="O822" s="0" t="n">
        <f aca="false">IF(N822="","",IFERROR(VALUE(SUBSTITUTE(SUBSTITUTE(N822," btl",""),".","")),""))</f>
        <v>1515</v>
      </c>
      <c r="P822" s="0" t="str">
        <f aca="false">IF(B822="PRODUKSI","produced","reject")</f>
        <v>produced</v>
      </c>
    </row>
    <row r="823" customFormat="false" ht="15" hidden="false" customHeight="false" outlineLevel="0" collapsed="false">
      <c r="A823" s="0" t="n">
        <v>822</v>
      </c>
      <c r="B823" s="0" t="str">
        <f aca="false">IF(A823&lt;=36*25,"PRODUKSI","REJECT")</f>
        <v>PRODUKSI</v>
      </c>
      <c r="C823" s="0" t="n">
        <f aca="false">MOD(A823-1,Pemetaan!$B$3*Pemetaan!$B$4)</f>
        <v>821</v>
      </c>
      <c r="D823" s="0" t="n">
        <f aca="false">INT(C823/Pemetaan!$B$4)</f>
        <v>32</v>
      </c>
      <c r="E823" s="0" t="n">
        <f aca="false">MOD(C823,Pemetaan!$B$4)</f>
        <v>21</v>
      </c>
      <c r="F823" s="0" t="n">
        <f aca="false">IF(B823="PRODUKSI",Pemetaan!$B$5,Pemetaan!$B$6)</f>
        <v>5</v>
      </c>
      <c r="G823" s="0" t="n">
        <f aca="false">F823+2+D823</f>
        <v>39</v>
      </c>
      <c r="H823" s="0" t="n">
        <f aca="false">Pemetaan!$B$2+E823</f>
        <v>26</v>
      </c>
      <c r="I823" s="0" t="str">
        <f aca="false">INDEX(Laporan!$A$1:$AZ$300,G823,1)</f>
        <v>Mixing</v>
      </c>
      <c r="J823" s="0" t="str">
        <f aca="false">INDEX(Laporan!$A$1:$AZ$300,G823,2)</f>
        <v>1,5 L</v>
      </c>
      <c r="K823" s="0" t="str">
        <f aca="false">INDEX(Laporan!$A$1:$AZ$300,G823,3)</f>
        <v>Shift 1</v>
      </c>
      <c r="L823" s="0" t="n">
        <f aca="false">INDEX(Laporan!$A$1:$AZ$300,G823,4)</f>
        <v>3</v>
      </c>
      <c r="M823" s="1" t="n">
        <f aca="false">DATE(Pemetaan!$B$1,VALUE(RIGHT(INDEX(Laporan!$A$1:$AZ$300,F823+1,H823),2)),VALUE(LEFT(INDEX(Laporan!$A$1:$AZ$300,F823+1,H823),2)))</f>
        <v>46112</v>
      </c>
      <c r="N823" s="0" t="n">
        <f aca="false">INDEX(Laporan!$A$1:$AZ$300,G823,H823)</f>
        <v>1611</v>
      </c>
      <c r="O823" s="0" t="n">
        <f aca="false">IF(N823="","",IFERROR(VALUE(SUBSTITUTE(SUBSTITUTE(N823," btl",""),".","")),""))</f>
        <v>1611</v>
      </c>
      <c r="P823" s="0" t="str">
        <f aca="false">IF(B823="PRODUKSI","produced","reject")</f>
        <v>produced</v>
      </c>
    </row>
    <row r="824" customFormat="false" ht="15" hidden="false" customHeight="false" outlineLevel="0" collapsed="false">
      <c r="A824" s="0" t="n">
        <v>823</v>
      </c>
      <c r="B824" s="0" t="str">
        <f aca="false">IF(A824&lt;=36*25,"PRODUKSI","REJECT")</f>
        <v>PRODUKSI</v>
      </c>
      <c r="C824" s="0" t="n">
        <f aca="false">MOD(A824-1,Pemetaan!$B$3*Pemetaan!$B$4)</f>
        <v>822</v>
      </c>
      <c r="D824" s="0" t="n">
        <f aca="false">INT(C824/Pemetaan!$B$4)</f>
        <v>32</v>
      </c>
      <c r="E824" s="0" t="n">
        <f aca="false">MOD(C824,Pemetaan!$B$4)</f>
        <v>22</v>
      </c>
      <c r="F824" s="0" t="n">
        <f aca="false">IF(B824="PRODUKSI",Pemetaan!$B$5,Pemetaan!$B$6)</f>
        <v>5</v>
      </c>
      <c r="G824" s="0" t="n">
        <f aca="false">F824+2+D824</f>
        <v>39</v>
      </c>
      <c r="H824" s="0" t="n">
        <f aca="false">Pemetaan!$B$2+E824</f>
        <v>27</v>
      </c>
      <c r="I824" s="0" t="str">
        <f aca="false">INDEX(Laporan!$A$1:$AZ$300,G824,1)</f>
        <v>Mixing</v>
      </c>
      <c r="J824" s="0" t="str">
        <f aca="false">INDEX(Laporan!$A$1:$AZ$300,G824,2)</f>
        <v>1,5 L</v>
      </c>
      <c r="K824" s="0" t="str">
        <f aca="false">INDEX(Laporan!$A$1:$AZ$300,G824,3)</f>
        <v>Shift 1</v>
      </c>
      <c r="L824" s="0" t="n">
        <f aca="false">INDEX(Laporan!$A$1:$AZ$300,G824,4)</f>
        <v>3</v>
      </c>
      <c r="M824" s="1" t="n">
        <f aca="false">DATE(Pemetaan!$B$1,VALUE(RIGHT(INDEX(Laporan!$A$1:$AZ$300,F824+1,H824),2)),VALUE(LEFT(INDEX(Laporan!$A$1:$AZ$300,F824+1,H824),2)))</f>
        <v>46113</v>
      </c>
      <c r="N824" s="0" t="n">
        <f aca="false">INDEX(Laporan!$A$1:$AZ$300,G824,H824)</f>
        <v>1439</v>
      </c>
      <c r="O824" s="0" t="n">
        <f aca="false">IF(N824="","",IFERROR(VALUE(SUBSTITUTE(SUBSTITUTE(N824," btl",""),".","")),""))</f>
        <v>1439</v>
      </c>
      <c r="P824" s="0" t="str">
        <f aca="false">IF(B824="PRODUKSI","produced","reject")</f>
        <v>produced</v>
      </c>
    </row>
    <row r="825" customFormat="false" ht="15" hidden="false" customHeight="false" outlineLevel="0" collapsed="false">
      <c r="A825" s="0" t="n">
        <v>824</v>
      </c>
      <c r="B825" s="0" t="str">
        <f aca="false">IF(A825&lt;=36*25,"PRODUKSI","REJECT")</f>
        <v>PRODUKSI</v>
      </c>
      <c r="C825" s="0" t="n">
        <f aca="false">MOD(A825-1,Pemetaan!$B$3*Pemetaan!$B$4)</f>
        <v>823</v>
      </c>
      <c r="D825" s="0" t="n">
        <f aca="false">INT(C825/Pemetaan!$B$4)</f>
        <v>32</v>
      </c>
      <c r="E825" s="0" t="n">
        <f aca="false">MOD(C825,Pemetaan!$B$4)</f>
        <v>23</v>
      </c>
      <c r="F825" s="0" t="n">
        <f aca="false">IF(B825="PRODUKSI",Pemetaan!$B$5,Pemetaan!$B$6)</f>
        <v>5</v>
      </c>
      <c r="G825" s="0" t="n">
        <f aca="false">F825+2+D825</f>
        <v>39</v>
      </c>
      <c r="H825" s="0" t="n">
        <f aca="false">Pemetaan!$B$2+E825</f>
        <v>28</v>
      </c>
      <c r="I825" s="0" t="str">
        <f aca="false">INDEX(Laporan!$A$1:$AZ$300,G825,1)</f>
        <v>Mixing</v>
      </c>
      <c r="J825" s="0" t="str">
        <f aca="false">INDEX(Laporan!$A$1:$AZ$300,G825,2)</f>
        <v>1,5 L</v>
      </c>
      <c r="K825" s="0" t="str">
        <f aca="false">INDEX(Laporan!$A$1:$AZ$300,G825,3)</f>
        <v>Shift 1</v>
      </c>
      <c r="L825" s="0" t="n">
        <f aca="false">INDEX(Laporan!$A$1:$AZ$300,G825,4)</f>
        <v>3</v>
      </c>
      <c r="M825" s="1" t="n">
        <f aca="false">DATE(Pemetaan!$B$1,VALUE(RIGHT(INDEX(Laporan!$A$1:$AZ$300,F825+1,H825),2)),VALUE(LEFT(INDEX(Laporan!$A$1:$AZ$300,F825+1,H825),2)))</f>
        <v>46114</v>
      </c>
      <c r="N825" s="0" t="n">
        <f aca="false">INDEX(Laporan!$A$1:$AZ$300,G825,H825)</f>
        <v>1570</v>
      </c>
      <c r="O825" s="0" t="n">
        <f aca="false">IF(N825="","",IFERROR(VALUE(SUBSTITUTE(SUBSTITUTE(N825," btl",""),".","")),""))</f>
        <v>1570</v>
      </c>
      <c r="P825" s="0" t="str">
        <f aca="false">IF(B825="PRODUKSI","produced","reject")</f>
        <v>produced</v>
      </c>
    </row>
    <row r="826" customFormat="false" ht="15" hidden="false" customHeight="false" outlineLevel="0" collapsed="false">
      <c r="A826" s="0" t="n">
        <v>825</v>
      </c>
      <c r="B826" s="0" t="str">
        <f aca="false">IF(A826&lt;=36*25,"PRODUKSI","REJECT")</f>
        <v>PRODUKSI</v>
      </c>
      <c r="C826" s="0" t="n">
        <f aca="false">MOD(A826-1,Pemetaan!$B$3*Pemetaan!$B$4)</f>
        <v>824</v>
      </c>
      <c r="D826" s="0" t="n">
        <f aca="false">INT(C826/Pemetaan!$B$4)</f>
        <v>32</v>
      </c>
      <c r="E826" s="0" t="n">
        <f aca="false">MOD(C826,Pemetaan!$B$4)</f>
        <v>24</v>
      </c>
      <c r="F826" s="0" t="n">
        <f aca="false">IF(B826="PRODUKSI",Pemetaan!$B$5,Pemetaan!$B$6)</f>
        <v>5</v>
      </c>
      <c r="G826" s="0" t="n">
        <f aca="false">F826+2+D826</f>
        <v>39</v>
      </c>
      <c r="H826" s="0" t="n">
        <f aca="false">Pemetaan!$B$2+E826</f>
        <v>29</v>
      </c>
      <c r="I826" s="0" t="str">
        <f aca="false">INDEX(Laporan!$A$1:$AZ$300,G826,1)</f>
        <v>Mixing</v>
      </c>
      <c r="J826" s="0" t="str">
        <f aca="false">INDEX(Laporan!$A$1:$AZ$300,G826,2)</f>
        <v>1,5 L</v>
      </c>
      <c r="K826" s="0" t="str">
        <f aca="false">INDEX(Laporan!$A$1:$AZ$300,G826,3)</f>
        <v>Shift 1</v>
      </c>
      <c r="L826" s="0" t="n">
        <f aca="false">INDEX(Laporan!$A$1:$AZ$300,G826,4)</f>
        <v>3</v>
      </c>
      <c r="M826" s="1" t="n">
        <f aca="false">DATE(Pemetaan!$B$1,VALUE(RIGHT(INDEX(Laporan!$A$1:$AZ$300,F826+1,H826),2)),VALUE(LEFT(INDEX(Laporan!$A$1:$AZ$300,F826+1,H826),2)))</f>
        <v>46115</v>
      </c>
      <c r="N826" s="0" t="n">
        <f aca="false">INDEX(Laporan!$A$1:$AZ$300,G826,H826)</f>
        <v>1413</v>
      </c>
      <c r="O826" s="0" t="n">
        <f aca="false">IF(N826="","",IFERROR(VALUE(SUBSTITUTE(SUBSTITUTE(N826," btl",""),".","")),""))</f>
        <v>1413</v>
      </c>
      <c r="P826" s="0" t="str">
        <f aca="false">IF(B826="PRODUKSI","produced","reject")</f>
        <v>produced</v>
      </c>
    </row>
    <row r="827" customFormat="false" ht="15" hidden="false" customHeight="false" outlineLevel="0" collapsed="false">
      <c r="A827" s="0" t="n">
        <v>826</v>
      </c>
      <c r="B827" s="0" t="str">
        <f aca="false">IF(A827&lt;=36*25,"PRODUKSI","REJECT")</f>
        <v>PRODUKSI</v>
      </c>
      <c r="C827" s="0" t="n">
        <f aca="false">MOD(A827-1,Pemetaan!$B$3*Pemetaan!$B$4)</f>
        <v>825</v>
      </c>
      <c r="D827" s="0" t="n">
        <f aca="false">INT(C827/Pemetaan!$B$4)</f>
        <v>33</v>
      </c>
      <c r="E827" s="0" t="n">
        <f aca="false">MOD(C827,Pemetaan!$B$4)</f>
        <v>0</v>
      </c>
      <c r="F827" s="0" t="n">
        <f aca="false">IF(B827="PRODUKSI",Pemetaan!$B$5,Pemetaan!$B$6)</f>
        <v>5</v>
      </c>
      <c r="G827" s="0" t="n">
        <f aca="false">F827+2+D827</f>
        <v>40</v>
      </c>
      <c r="H827" s="0" t="n">
        <f aca="false">Pemetaan!$B$2+E827</f>
        <v>5</v>
      </c>
      <c r="I827" s="0" t="str">
        <f aca="false">INDEX(Laporan!$A$1:$AZ$300,G827,1)</f>
        <v>Mixing</v>
      </c>
      <c r="J827" s="0" t="str">
        <f aca="false">INDEX(Laporan!$A$1:$AZ$300,G827,2)</f>
        <v>1,5 L</v>
      </c>
      <c r="K827" s="0" t="str">
        <f aca="false">INDEX(Laporan!$A$1:$AZ$300,G827,3)</f>
        <v>Shift 2</v>
      </c>
      <c r="L827" s="0" t="n">
        <f aca="false">INDEX(Laporan!$A$1:$AZ$300,G827,4)</f>
        <v>1</v>
      </c>
      <c r="M827" s="1" t="n">
        <f aca="false">DATE(Pemetaan!$B$1,VALUE(RIGHT(INDEX(Laporan!$A$1:$AZ$300,F827+1,H827),2)),VALUE(LEFT(INDEX(Laporan!$A$1:$AZ$300,F827+1,H827),2)))</f>
        <v>46083</v>
      </c>
      <c r="N827" s="0" t="n">
        <f aca="false">INDEX(Laporan!$A$1:$AZ$300,G827,H827)</f>
        <v>1535</v>
      </c>
      <c r="O827" s="0" t="n">
        <f aca="false">IF(N827="","",IFERROR(VALUE(SUBSTITUTE(SUBSTITUTE(N827," btl",""),".","")),""))</f>
        <v>1535</v>
      </c>
      <c r="P827" s="0" t="str">
        <f aca="false">IF(B827="PRODUKSI","produced","reject")</f>
        <v>produced</v>
      </c>
    </row>
    <row r="828" customFormat="false" ht="15" hidden="false" customHeight="false" outlineLevel="0" collapsed="false">
      <c r="A828" s="0" t="n">
        <v>827</v>
      </c>
      <c r="B828" s="0" t="str">
        <f aca="false">IF(A828&lt;=36*25,"PRODUKSI","REJECT")</f>
        <v>PRODUKSI</v>
      </c>
      <c r="C828" s="0" t="n">
        <f aca="false">MOD(A828-1,Pemetaan!$B$3*Pemetaan!$B$4)</f>
        <v>826</v>
      </c>
      <c r="D828" s="0" t="n">
        <f aca="false">INT(C828/Pemetaan!$B$4)</f>
        <v>33</v>
      </c>
      <c r="E828" s="0" t="n">
        <f aca="false">MOD(C828,Pemetaan!$B$4)</f>
        <v>1</v>
      </c>
      <c r="F828" s="0" t="n">
        <f aca="false">IF(B828="PRODUKSI",Pemetaan!$B$5,Pemetaan!$B$6)</f>
        <v>5</v>
      </c>
      <c r="G828" s="0" t="n">
        <f aca="false">F828+2+D828</f>
        <v>40</v>
      </c>
      <c r="H828" s="0" t="n">
        <f aca="false">Pemetaan!$B$2+E828</f>
        <v>6</v>
      </c>
      <c r="I828" s="0" t="str">
        <f aca="false">INDEX(Laporan!$A$1:$AZ$300,G828,1)</f>
        <v>Mixing</v>
      </c>
      <c r="J828" s="0" t="str">
        <f aca="false">INDEX(Laporan!$A$1:$AZ$300,G828,2)</f>
        <v>1,5 L</v>
      </c>
      <c r="K828" s="0" t="str">
        <f aca="false">INDEX(Laporan!$A$1:$AZ$300,G828,3)</f>
        <v>Shift 2</v>
      </c>
      <c r="L828" s="0" t="n">
        <f aca="false">INDEX(Laporan!$A$1:$AZ$300,G828,4)</f>
        <v>1</v>
      </c>
      <c r="M828" s="1" t="n">
        <f aca="false">DATE(Pemetaan!$B$1,VALUE(RIGHT(INDEX(Laporan!$A$1:$AZ$300,F828+1,H828),2)),VALUE(LEFT(INDEX(Laporan!$A$1:$AZ$300,F828+1,H828),2)))</f>
        <v>46084</v>
      </c>
      <c r="N828" s="0" t="n">
        <f aca="false">INDEX(Laporan!$A$1:$AZ$300,G828,H828)</f>
        <v>1515</v>
      </c>
      <c r="O828" s="0" t="n">
        <f aca="false">IF(N828="","",IFERROR(VALUE(SUBSTITUTE(SUBSTITUTE(N828," btl",""),".","")),""))</f>
        <v>1515</v>
      </c>
      <c r="P828" s="0" t="str">
        <f aca="false">IF(B828="PRODUKSI","produced","reject")</f>
        <v>produced</v>
      </c>
    </row>
    <row r="829" customFormat="false" ht="15" hidden="false" customHeight="false" outlineLevel="0" collapsed="false">
      <c r="A829" s="0" t="n">
        <v>828</v>
      </c>
      <c r="B829" s="0" t="str">
        <f aca="false">IF(A829&lt;=36*25,"PRODUKSI","REJECT")</f>
        <v>PRODUKSI</v>
      </c>
      <c r="C829" s="0" t="n">
        <f aca="false">MOD(A829-1,Pemetaan!$B$3*Pemetaan!$B$4)</f>
        <v>827</v>
      </c>
      <c r="D829" s="0" t="n">
        <f aca="false">INT(C829/Pemetaan!$B$4)</f>
        <v>33</v>
      </c>
      <c r="E829" s="0" t="n">
        <f aca="false">MOD(C829,Pemetaan!$B$4)</f>
        <v>2</v>
      </c>
      <c r="F829" s="0" t="n">
        <f aca="false">IF(B829="PRODUKSI",Pemetaan!$B$5,Pemetaan!$B$6)</f>
        <v>5</v>
      </c>
      <c r="G829" s="0" t="n">
        <f aca="false">F829+2+D829</f>
        <v>40</v>
      </c>
      <c r="H829" s="0" t="n">
        <f aca="false">Pemetaan!$B$2+E829</f>
        <v>7</v>
      </c>
      <c r="I829" s="0" t="str">
        <f aca="false">INDEX(Laporan!$A$1:$AZ$300,G829,1)</f>
        <v>Mixing</v>
      </c>
      <c r="J829" s="0" t="str">
        <f aca="false">INDEX(Laporan!$A$1:$AZ$300,G829,2)</f>
        <v>1,5 L</v>
      </c>
      <c r="K829" s="0" t="str">
        <f aca="false">INDEX(Laporan!$A$1:$AZ$300,G829,3)</f>
        <v>Shift 2</v>
      </c>
      <c r="L829" s="0" t="n">
        <f aca="false">INDEX(Laporan!$A$1:$AZ$300,G829,4)</f>
        <v>1</v>
      </c>
      <c r="M829" s="1" t="n">
        <f aca="false">DATE(Pemetaan!$B$1,VALUE(RIGHT(INDEX(Laporan!$A$1:$AZ$300,F829+1,H829),2)),VALUE(LEFT(INDEX(Laporan!$A$1:$AZ$300,F829+1,H829),2)))</f>
        <v>46085</v>
      </c>
      <c r="N829" s="0" t="n">
        <f aca="false">INDEX(Laporan!$A$1:$AZ$300,G829,H829)</f>
        <v>1504</v>
      </c>
      <c r="O829" s="0" t="n">
        <f aca="false">IF(N829="","",IFERROR(VALUE(SUBSTITUTE(SUBSTITUTE(N829," btl",""),".","")),""))</f>
        <v>1504</v>
      </c>
      <c r="P829" s="0" t="str">
        <f aca="false">IF(B829="PRODUKSI","produced","reject")</f>
        <v>produced</v>
      </c>
    </row>
    <row r="830" customFormat="false" ht="15" hidden="false" customHeight="false" outlineLevel="0" collapsed="false">
      <c r="A830" s="0" t="n">
        <v>829</v>
      </c>
      <c r="B830" s="0" t="str">
        <f aca="false">IF(A830&lt;=36*25,"PRODUKSI","REJECT")</f>
        <v>PRODUKSI</v>
      </c>
      <c r="C830" s="0" t="n">
        <f aca="false">MOD(A830-1,Pemetaan!$B$3*Pemetaan!$B$4)</f>
        <v>828</v>
      </c>
      <c r="D830" s="0" t="n">
        <f aca="false">INT(C830/Pemetaan!$B$4)</f>
        <v>33</v>
      </c>
      <c r="E830" s="0" t="n">
        <f aca="false">MOD(C830,Pemetaan!$B$4)</f>
        <v>3</v>
      </c>
      <c r="F830" s="0" t="n">
        <f aca="false">IF(B830="PRODUKSI",Pemetaan!$B$5,Pemetaan!$B$6)</f>
        <v>5</v>
      </c>
      <c r="G830" s="0" t="n">
        <f aca="false">F830+2+D830</f>
        <v>40</v>
      </c>
      <c r="H830" s="0" t="n">
        <f aca="false">Pemetaan!$B$2+E830</f>
        <v>8</v>
      </c>
      <c r="I830" s="0" t="str">
        <f aca="false">INDEX(Laporan!$A$1:$AZ$300,G830,1)</f>
        <v>Mixing</v>
      </c>
      <c r="J830" s="0" t="str">
        <f aca="false">INDEX(Laporan!$A$1:$AZ$300,G830,2)</f>
        <v>1,5 L</v>
      </c>
      <c r="K830" s="0" t="str">
        <f aca="false">INDEX(Laporan!$A$1:$AZ$300,G830,3)</f>
        <v>Shift 2</v>
      </c>
      <c r="L830" s="0" t="n">
        <f aca="false">INDEX(Laporan!$A$1:$AZ$300,G830,4)</f>
        <v>1</v>
      </c>
      <c r="M830" s="1" t="n">
        <f aca="false">DATE(Pemetaan!$B$1,VALUE(RIGHT(INDEX(Laporan!$A$1:$AZ$300,F830+1,H830),2)),VALUE(LEFT(INDEX(Laporan!$A$1:$AZ$300,F830+1,H830),2)))</f>
        <v>46086</v>
      </c>
      <c r="N830" s="0" t="n">
        <f aca="false">INDEX(Laporan!$A$1:$AZ$300,G830,H830)</f>
        <v>1516</v>
      </c>
      <c r="O830" s="0" t="n">
        <f aca="false">IF(N830="","",IFERROR(VALUE(SUBSTITUTE(SUBSTITUTE(N830," btl",""),".","")),""))</f>
        <v>1516</v>
      </c>
      <c r="P830" s="0" t="str">
        <f aca="false">IF(B830="PRODUKSI","produced","reject")</f>
        <v>produced</v>
      </c>
    </row>
    <row r="831" customFormat="false" ht="15" hidden="false" customHeight="false" outlineLevel="0" collapsed="false">
      <c r="A831" s="0" t="n">
        <v>830</v>
      </c>
      <c r="B831" s="0" t="str">
        <f aca="false">IF(A831&lt;=36*25,"PRODUKSI","REJECT")</f>
        <v>PRODUKSI</v>
      </c>
      <c r="C831" s="0" t="n">
        <f aca="false">MOD(A831-1,Pemetaan!$B$3*Pemetaan!$B$4)</f>
        <v>829</v>
      </c>
      <c r="D831" s="0" t="n">
        <f aca="false">INT(C831/Pemetaan!$B$4)</f>
        <v>33</v>
      </c>
      <c r="E831" s="0" t="n">
        <f aca="false">MOD(C831,Pemetaan!$B$4)</f>
        <v>4</v>
      </c>
      <c r="F831" s="0" t="n">
        <f aca="false">IF(B831="PRODUKSI",Pemetaan!$B$5,Pemetaan!$B$6)</f>
        <v>5</v>
      </c>
      <c r="G831" s="0" t="n">
        <f aca="false">F831+2+D831</f>
        <v>40</v>
      </c>
      <c r="H831" s="0" t="n">
        <f aca="false">Pemetaan!$B$2+E831</f>
        <v>9</v>
      </c>
      <c r="I831" s="0" t="str">
        <f aca="false">INDEX(Laporan!$A$1:$AZ$300,G831,1)</f>
        <v>Mixing</v>
      </c>
      <c r="J831" s="0" t="str">
        <f aca="false">INDEX(Laporan!$A$1:$AZ$300,G831,2)</f>
        <v>1,5 L</v>
      </c>
      <c r="K831" s="0" t="str">
        <f aca="false">INDEX(Laporan!$A$1:$AZ$300,G831,3)</f>
        <v>Shift 2</v>
      </c>
      <c r="L831" s="0" t="n">
        <f aca="false">INDEX(Laporan!$A$1:$AZ$300,G831,4)</f>
        <v>1</v>
      </c>
      <c r="M831" s="1" t="n">
        <f aca="false">DATE(Pemetaan!$B$1,VALUE(RIGHT(INDEX(Laporan!$A$1:$AZ$300,F831+1,H831),2)),VALUE(LEFT(INDEX(Laporan!$A$1:$AZ$300,F831+1,H831),2)))</f>
        <v>46087</v>
      </c>
      <c r="N831" s="0" t="n">
        <f aca="false">INDEX(Laporan!$A$1:$AZ$300,G831,H831)</f>
        <v>1424</v>
      </c>
      <c r="O831" s="0" t="n">
        <f aca="false">IF(N831="","",IFERROR(VALUE(SUBSTITUTE(SUBSTITUTE(N831," btl",""),".","")),""))</f>
        <v>1424</v>
      </c>
      <c r="P831" s="0" t="str">
        <f aca="false">IF(B831="PRODUKSI","produced","reject")</f>
        <v>produced</v>
      </c>
    </row>
    <row r="832" customFormat="false" ht="15" hidden="false" customHeight="false" outlineLevel="0" collapsed="false">
      <c r="A832" s="0" t="n">
        <v>831</v>
      </c>
      <c r="B832" s="0" t="str">
        <f aca="false">IF(A832&lt;=36*25,"PRODUKSI","REJECT")</f>
        <v>PRODUKSI</v>
      </c>
      <c r="C832" s="0" t="n">
        <f aca="false">MOD(A832-1,Pemetaan!$B$3*Pemetaan!$B$4)</f>
        <v>830</v>
      </c>
      <c r="D832" s="0" t="n">
        <f aca="false">INT(C832/Pemetaan!$B$4)</f>
        <v>33</v>
      </c>
      <c r="E832" s="0" t="n">
        <f aca="false">MOD(C832,Pemetaan!$B$4)</f>
        <v>5</v>
      </c>
      <c r="F832" s="0" t="n">
        <f aca="false">IF(B832="PRODUKSI",Pemetaan!$B$5,Pemetaan!$B$6)</f>
        <v>5</v>
      </c>
      <c r="G832" s="0" t="n">
        <f aca="false">F832+2+D832</f>
        <v>40</v>
      </c>
      <c r="H832" s="0" t="n">
        <f aca="false">Pemetaan!$B$2+E832</f>
        <v>10</v>
      </c>
      <c r="I832" s="0" t="str">
        <f aca="false">INDEX(Laporan!$A$1:$AZ$300,G832,1)</f>
        <v>Mixing</v>
      </c>
      <c r="J832" s="0" t="str">
        <f aca="false">INDEX(Laporan!$A$1:$AZ$300,G832,2)</f>
        <v>1,5 L</v>
      </c>
      <c r="K832" s="0" t="str">
        <f aca="false">INDEX(Laporan!$A$1:$AZ$300,G832,3)</f>
        <v>Shift 2</v>
      </c>
      <c r="L832" s="0" t="n">
        <f aca="false">INDEX(Laporan!$A$1:$AZ$300,G832,4)</f>
        <v>1</v>
      </c>
      <c r="M832" s="1" t="n">
        <f aca="false">DATE(Pemetaan!$B$1,VALUE(RIGHT(INDEX(Laporan!$A$1:$AZ$300,F832+1,H832),2)),VALUE(LEFT(INDEX(Laporan!$A$1:$AZ$300,F832+1,H832),2)))</f>
        <v>46090</v>
      </c>
      <c r="N832" s="0" t="n">
        <f aca="false">INDEX(Laporan!$A$1:$AZ$300,G832,H832)</f>
        <v>1392</v>
      </c>
      <c r="O832" s="0" t="n">
        <f aca="false">IF(N832="","",IFERROR(VALUE(SUBSTITUTE(SUBSTITUTE(N832," btl",""),".","")),""))</f>
        <v>1392</v>
      </c>
      <c r="P832" s="0" t="str">
        <f aca="false">IF(B832="PRODUKSI","produced","reject")</f>
        <v>produced</v>
      </c>
    </row>
    <row r="833" customFormat="false" ht="15" hidden="false" customHeight="false" outlineLevel="0" collapsed="false">
      <c r="A833" s="0" t="n">
        <v>832</v>
      </c>
      <c r="B833" s="0" t="str">
        <f aca="false">IF(A833&lt;=36*25,"PRODUKSI","REJECT")</f>
        <v>PRODUKSI</v>
      </c>
      <c r="C833" s="0" t="n">
        <f aca="false">MOD(A833-1,Pemetaan!$B$3*Pemetaan!$B$4)</f>
        <v>831</v>
      </c>
      <c r="D833" s="0" t="n">
        <f aca="false">INT(C833/Pemetaan!$B$4)</f>
        <v>33</v>
      </c>
      <c r="E833" s="0" t="n">
        <f aca="false">MOD(C833,Pemetaan!$B$4)</f>
        <v>6</v>
      </c>
      <c r="F833" s="0" t="n">
        <f aca="false">IF(B833="PRODUKSI",Pemetaan!$B$5,Pemetaan!$B$6)</f>
        <v>5</v>
      </c>
      <c r="G833" s="0" t="n">
        <f aca="false">F833+2+D833</f>
        <v>40</v>
      </c>
      <c r="H833" s="0" t="n">
        <f aca="false">Pemetaan!$B$2+E833</f>
        <v>11</v>
      </c>
      <c r="I833" s="0" t="str">
        <f aca="false">INDEX(Laporan!$A$1:$AZ$300,G833,1)</f>
        <v>Mixing</v>
      </c>
      <c r="J833" s="0" t="str">
        <f aca="false">INDEX(Laporan!$A$1:$AZ$300,G833,2)</f>
        <v>1,5 L</v>
      </c>
      <c r="K833" s="0" t="str">
        <f aca="false">INDEX(Laporan!$A$1:$AZ$300,G833,3)</f>
        <v>Shift 2</v>
      </c>
      <c r="L833" s="0" t="n">
        <f aca="false">INDEX(Laporan!$A$1:$AZ$300,G833,4)</f>
        <v>1</v>
      </c>
      <c r="M833" s="1" t="n">
        <f aca="false">DATE(Pemetaan!$B$1,VALUE(RIGHT(INDEX(Laporan!$A$1:$AZ$300,F833+1,H833),2)),VALUE(LEFT(INDEX(Laporan!$A$1:$AZ$300,F833+1,H833),2)))</f>
        <v>46091</v>
      </c>
      <c r="N833" s="0" t="n">
        <f aca="false">INDEX(Laporan!$A$1:$AZ$300,G833,H833)</f>
        <v>1388</v>
      </c>
      <c r="O833" s="0" t="n">
        <f aca="false">IF(N833="","",IFERROR(VALUE(SUBSTITUTE(SUBSTITUTE(N833," btl",""),".","")),""))</f>
        <v>1388</v>
      </c>
      <c r="P833" s="0" t="str">
        <f aca="false">IF(B833="PRODUKSI","produced","reject")</f>
        <v>produced</v>
      </c>
    </row>
    <row r="834" customFormat="false" ht="15" hidden="false" customHeight="false" outlineLevel="0" collapsed="false">
      <c r="A834" s="0" t="n">
        <v>833</v>
      </c>
      <c r="B834" s="0" t="str">
        <f aca="false">IF(A834&lt;=36*25,"PRODUKSI","REJECT")</f>
        <v>PRODUKSI</v>
      </c>
      <c r="C834" s="0" t="n">
        <f aca="false">MOD(A834-1,Pemetaan!$B$3*Pemetaan!$B$4)</f>
        <v>832</v>
      </c>
      <c r="D834" s="0" t="n">
        <f aca="false">INT(C834/Pemetaan!$B$4)</f>
        <v>33</v>
      </c>
      <c r="E834" s="0" t="n">
        <f aca="false">MOD(C834,Pemetaan!$B$4)</f>
        <v>7</v>
      </c>
      <c r="F834" s="0" t="n">
        <f aca="false">IF(B834="PRODUKSI",Pemetaan!$B$5,Pemetaan!$B$6)</f>
        <v>5</v>
      </c>
      <c r="G834" s="0" t="n">
        <f aca="false">F834+2+D834</f>
        <v>40</v>
      </c>
      <c r="H834" s="0" t="n">
        <f aca="false">Pemetaan!$B$2+E834</f>
        <v>12</v>
      </c>
      <c r="I834" s="0" t="str">
        <f aca="false">INDEX(Laporan!$A$1:$AZ$300,G834,1)</f>
        <v>Mixing</v>
      </c>
      <c r="J834" s="0" t="str">
        <f aca="false">INDEX(Laporan!$A$1:$AZ$300,G834,2)</f>
        <v>1,5 L</v>
      </c>
      <c r="K834" s="0" t="str">
        <f aca="false">INDEX(Laporan!$A$1:$AZ$300,G834,3)</f>
        <v>Shift 2</v>
      </c>
      <c r="L834" s="0" t="n">
        <f aca="false">INDEX(Laporan!$A$1:$AZ$300,G834,4)</f>
        <v>1</v>
      </c>
      <c r="M834" s="1" t="n">
        <f aca="false">DATE(Pemetaan!$B$1,VALUE(RIGHT(INDEX(Laporan!$A$1:$AZ$300,F834+1,H834),2)),VALUE(LEFT(INDEX(Laporan!$A$1:$AZ$300,F834+1,H834),2)))</f>
        <v>46092</v>
      </c>
      <c r="N834" s="0" t="n">
        <f aca="false">INDEX(Laporan!$A$1:$AZ$300,G834,H834)</f>
        <v>1593</v>
      </c>
      <c r="O834" s="0" t="n">
        <f aca="false">IF(N834="","",IFERROR(VALUE(SUBSTITUTE(SUBSTITUTE(N834," btl",""),".","")),""))</f>
        <v>1593</v>
      </c>
      <c r="P834" s="0" t="str">
        <f aca="false">IF(B834="PRODUKSI","produced","reject")</f>
        <v>produced</v>
      </c>
    </row>
    <row r="835" customFormat="false" ht="15" hidden="false" customHeight="false" outlineLevel="0" collapsed="false">
      <c r="A835" s="0" t="n">
        <v>834</v>
      </c>
      <c r="B835" s="0" t="str">
        <f aca="false">IF(A835&lt;=36*25,"PRODUKSI","REJECT")</f>
        <v>PRODUKSI</v>
      </c>
      <c r="C835" s="0" t="n">
        <f aca="false">MOD(A835-1,Pemetaan!$B$3*Pemetaan!$B$4)</f>
        <v>833</v>
      </c>
      <c r="D835" s="0" t="n">
        <f aca="false">INT(C835/Pemetaan!$B$4)</f>
        <v>33</v>
      </c>
      <c r="E835" s="0" t="n">
        <f aca="false">MOD(C835,Pemetaan!$B$4)</f>
        <v>8</v>
      </c>
      <c r="F835" s="0" t="n">
        <f aca="false">IF(B835="PRODUKSI",Pemetaan!$B$5,Pemetaan!$B$6)</f>
        <v>5</v>
      </c>
      <c r="G835" s="0" t="n">
        <f aca="false">F835+2+D835</f>
        <v>40</v>
      </c>
      <c r="H835" s="0" t="n">
        <f aca="false">Pemetaan!$B$2+E835</f>
        <v>13</v>
      </c>
      <c r="I835" s="0" t="str">
        <f aca="false">INDEX(Laporan!$A$1:$AZ$300,G835,1)</f>
        <v>Mixing</v>
      </c>
      <c r="J835" s="0" t="str">
        <f aca="false">INDEX(Laporan!$A$1:$AZ$300,G835,2)</f>
        <v>1,5 L</v>
      </c>
      <c r="K835" s="0" t="str">
        <f aca="false">INDEX(Laporan!$A$1:$AZ$300,G835,3)</f>
        <v>Shift 2</v>
      </c>
      <c r="L835" s="0" t="n">
        <f aca="false">INDEX(Laporan!$A$1:$AZ$300,G835,4)</f>
        <v>1</v>
      </c>
      <c r="M835" s="1" t="n">
        <f aca="false">DATE(Pemetaan!$B$1,VALUE(RIGHT(INDEX(Laporan!$A$1:$AZ$300,F835+1,H835),2)),VALUE(LEFT(INDEX(Laporan!$A$1:$AZ$300,F835+1,H835),2)))</f>
        <v>46093</v>
      </c>
      <c r="N835" s="0" t="n">
        <f aca="false">INDEX(Laporan!$A$1:$AZ$300,G835,H835)</f>
        <v>1607</v>
      </c>
      <c r="O835" s="0" t="n">
        <f aca="false">IF(N835="","",IFERROR(VALUE(SUBSTITUTE(SUBSTITUTE(N835," btl",""),".","")),""))</f>
        <v>1607</v>
      </c>
      <c r="P835" s="0" t="str">
        <f aca="false">IF(B835="PRODUKSI","produced","reject")</f>
        <v>produced</v>
      </c>
    </row>
    <row r="836" customFormat="false" ht="15" hidden="false" customHeight="false" outlineLevel="0" collapsed="false">
      <c r="A836" s="0" t="n">
        <v>835</v>
      </c>
      <c r="B836" s="0" t="str">
        <f aca="false">IF(A836&lt;=36*25,"PRODUKSI","REJECT")</f>
        <v>PRODUKSI</v>
      </c>
      <c r="C836" s="0" t="n">
        <f aca="false">MOD(A836-1,Pemetaan!$B$3*Pemetaan!$B$4)</f>
        <v>834</v>
      </c>
      <c r="D836" s="0" t="n">
        <f aca="false">INT(C836/Pemetaan!$B$4)</f>
        <v>33</v>
      </c>
      <c r="E836" s="0" t="n">
        <f aca="false">MOD(C836,Pemetaan!$B$4)</f>
        <v>9</v>
      </c>
      <c r="F836" s="0" t="n">
        <f aca="false">IF(B836="PRODUKSI",Pemetaan!$B$5,Pemetaan!$B$6)</f>
        <v>5</v>
      </c>
      <c r="G836" s="0" t="n">
        <f aca="false">F836+2+D836</f>
        <v>40</v>
      </c>
      <c r="H836" s="0" t="n">
        <f aca="false">Pemetaan!$B$2+E836</f>
        <v>14</v>
      </c>
      <c r="I836" s="0" t="str">
        <f aca="false">INDEX(Laporan!$A$1:$AZ$300,G836,1)</f>
        <v>Mixing</v>
      </c>
      <c r="J836" s="0" t="str">
        <f aca="false">INDEX(Laporan!$A$1:$AZ$300,G836,2)</f>
        <v>1,5 L</v>
      </c>
      <c r="K836" s="0" t="str">
        <f aca="false">INDEX(Laporan!$A$1:$AZ$300,G836,3)</f>
        <v>Shift 2</v>
      </c>
      <c r="L836" s="0" t="n">
        <f aca="false">INDEX(Laporan!$A$1:$AZ$300,G836,4)</f>
        <v>1</v>
      </c>
      <c r="M836" s="1" t="n">
        <f aca="false">DATE(Pemetaan!$B$1,VALUE(RIGHT(INDEX(Laporan!$A$1:$AZ$300,F836+1,H836),2)),VALUE(LEFT(INDEX(Laporan!$A$1:$AZ$300,F836+1,H836),2)))</f>
        <v>46094</v>
      </c>
      <c r="N836" s="0" t="n">
        <f aca="false">INDEX(Laporan!$A$1:$AZ$300,G836,H836)</f>
        <v>1471</v>
      </c>
      <c r="O836" s="0" t="n">
        <f aca="false">IF(N836="","",IFERROR(VALUE(SUBSTITUTE(SUBSTITUTE(N836," btl",""),".","")),""))</f>
        <v>1471</v>
      </c>
      <c r="P836" s="0" t="str">
        <f aca="false">IF(B836="PRODUKSI","produced","reject")</f>
        <v>produced</v>
      </c>
    </row>
    <row r="837" customFormat="false" ht="15" hidden="false" customHeight="false" outlineLevel="0" collapsed="false">
      <c r="A837" s="0" t="n">
        <v>836</v>
      </c>
      <c r="B837" s="0" t="str">
        <f aca="false">IF(A837&lt;=36*25,"PRODUKSI","REJECT")</f>
        <v>PRODUKSI</v>
      </c>
      <c r="C837" s="0" t="n">
        <f aca="false">MOD(A837-1,Pemetaan!$B$3*Pemetaan!$B$4)</f>
        <v>835</v>
      </c>
      <c r="D837" s="0" t="n">
        <f aca="false">INT(C837/Pemetaan!$B$4)</f>
        <v>33</v>
      </c>
      <c r="E837" s="0" t="n">
        <f aca="false">MOD(C837,Pemetaan!$B$4)</f>
        <v>10</v>
      </c>
      <c r="F837" s="0" t="n">
        <f aca="false">IF(B837="PRODUKSI",Pemetaan!$B$5,Pemetaan!$B$6)</f>
        <v>5</v>
      </c>
      <c r="G837" s="0" t="n">
        <f aca="false">F837+2+D837</f>
        <v>40</v>
      </c>
      <c r="H837" s="0" t="n">
        <f aca="false">Pemetaan!$B$2+E837</f>
        <v>15</v>
      </c>
      <c r="I837" s="0" t="str">
        <f aca="false">INDEX(Laporan!$A$1:$AZ$300,G837,1)</f>
        <v>Mixing</v>
      </c>
      <c r="J837" s="0" t="str">
        <f aca="false">INDEX(Laporan!$A$1:$AZ$300,G837,2)</f>
        <v>1,5 L</v>
      </c>
      <c r="K837" s="0" t="str">
        <f aca="false">INDEX(Laporan!$A$1:$AZ$300,G837,3)</f>
        <v>Shift 2</v>
      </c>
      <c r="L837" s="0" t="n">
        <f aca="false">INDEX(Laporan!$A$1:$AZ$300,G837,4)</f>
        <v>1</v>
      </c>
      <c r="M837" s="1" t="n">
        <f aca="false">DATE(Pemetaan!$B$1,VALUE(RIGHT(INDEX(Laporan!$A$1:$AZ$300,F837+1,H837),2)),VALUE(LEFT(INDEX(Laporan!$A$1:$AZ$300,F837+1,H837),2)))</f>
        <v>46097</v>
      </c>
      <c r="N837" s="0" t="n">
        <f aca="false">INDEX(Laporan!$A$1:$AZ$300,G837,H837)</f>
        <v>1394</v>
      </c>
      <c r="O837" s="0" t="n">
        <f aca="false">IF(N837="","",IFERROR(VALUE(SUBSTITUTE(SUBSTITUTE(N837," btl",""),".","")),""))</f>
        <v>1394</v>
      </c>
      <c r="P837" s="0" t="str">
        <f aca="false">IF(B837="PRODUKSI","produced","reject")</f>
        <v>produced</v>
      </c>
    </row>
    <row r="838" customFormat="false" ht="15" hidden="false" customHeight="false" outlineLevel="0" collapsed="false">
      <c r="A838" s="0" t="n">
        <v>837</v>
      </c>
      <c r="B838" s="0" t="str">
        <f aca="false">IF(A838&lt;=36*25,"PRODUKSI","REJECT")</f>
        <v>PRODUKSI</v>
      </c>
      <c r="C838" s="0" t="n">
        <f aca="false">MOD(A838-1,Pemetaan!$B$3*Pemetaan!$B$4)</f>
        <v>836</v>
      </c>
      <c r="D838" s="0" t="n">
        <f aca="false">INT(C838/Pemetaan!$B$4)</f>
        <v>33</v>
      </c>
      <c r="E838" s="0" t="n">
        <f aca="false">MOD(C838,Pemetaan!$B$4)</f>
        <v>11</v>
      </c>
      <c r="F838" s="0" t="n">
        <f aca="false">IF(B838="PRODUKSI",Pemetaan!$B$5,Pemetaan!$B$6)</f>
        <v>5</v>
      </c>
      <c r="G838" s="0" t="n">
        <f aca="false">F838+2+D838</f>
        <v>40</v>
      </c>
      <c r="H838" s="0" t="n">
        <f aca="false">Pemetaan!$B$2+E838</f>
        <v>16</v>
      </c>
      <c r="I838" s="0" t="str">
        <f aca="false">INDEX(Laporan!$A$1:$AZ$300,G838,1)</f>
        <v>Mixing</v>
      </c>
      <c r="J838" s="0" t="str">
        <f aca="false">INDEX(Laporan!$A$1:$AZ$300,G838,2)</f>
        <v>1,5 L</v>
      </c>
      <c r="K838" s="0" t="str">
        <f aca="false">INDEX(Laporan!$A$1:$AZ$300,G838,3)</f>
        <v>Shift 2</v>
      </c>
      <c r="L838" s="0" t="n">
        <f aca="false">INDEX(Laporan!$A$1:$AZ$300,G838,4)</f>
        <v>1</v>
      </c>
      <c r="M838" s="1" t="n">
        <f aca="false">DATE(Pemetaan!$B$1,VALUE(RIGHT(INDEX(Laporan!$A$1:$AZ$300,F838+1,H838),2)),VALUE(LEFT(INDEX(Laporan!$A$1:$AZ$300,F838+1,H838),2)))</f>
        <v>46098</v>
      </c>
      <c r="N838" s="0" t="n">
        <f aca="false">INDEX(Laporan!$A$1:$AZ$300,G838,H838)</f>
        <v>1456</v>
      </c>
      <c r="O838" s="0" t="n">
        <f aca="false">IF(N838="","",IFERROR(VALUE(SUBSTITUTE(SUBSTITUTE(N838," btl",""),".","")),""))</f>
        <v>1456</v>
      </c>
      <c r="P838" s="0" t="str">
        <f aca="false">IF(B838="PRODUKSI","produced","reject")</f>
        <v>produced</v>
      </c>
    </row>
    <row r="839" customFormat="false" ht="15" hidden="false" customHeight="false" outlineLevel="0" collapsed="false">
      <c r="A839" s="0" t="n">
        <v>838</v>
      </c>
      <c r="B839" s="0" t="str">
        <f aca="false">IF(A839&lt;=36*25,"PRODUKSI","REJECT")</f>
        <v>PRODUKSI</v>
      </c>
      <c r="C839" s="0" t="n">
        <f aca="false">MOD(A839-1,Pemetaan!$B$3*Pemetaan!$B$4)</f>
        <v>837</v>
      </c>
      <c r="D839" s="0" t="n">
        <f aca="false">INT(C839/Pemetaan!$B$4)</f>
        <v>33</v>
      </c>
      <c r="E839" s="0" t="n">
        <f aca="false">MOD(C839,Pemetaan!$B$4)</f>
        <v>12</v>
      </c>
      <c r="F839" s="0" t="n">
        <f aca="false">IF(B839="PRODUKSI",Pemetaan!$B$5,Pemetaan!$B$6)</f>
        <v>5</v>
      </c>
      <c r="G839" s="0" t="n">
        <f aca="false">F839+2+D839</f>
        <v>40</v>
      </c>
      <c r="H839" s="0" t="n">
        <f aca="false">Pemetaan!$B$2+E839</f>
        <v>17</v>
      </c>
      <c r="I839" s="0" t="str">
        <f aca="false">INDEX(Laporan!$A$1:$AZ$300,G839,1)</f>
        <v>Mixing</v>
      </c>
      <c r="J839" s="0" t="str">
        <f aca="false">INDEX(Laporan!$A$1:$AZ$300,G839,2)</f>
        <v>1,5 L</v>
      </c>
      <c r="K839" s="0" t="str">
        <f aca="false">INDEX(Laporan!$A$1:$AZ$300,G839,3)</f>
        <v>Shift 2</v>
      </c>
      <c r="L839" s="0" t="n">
        <f aca="false">INDEX(Laporan!$A$1:$AZ$300,G839,4)</f>
        <v>1</v>
      </c>
      <c r="M839" s="1" t="n">
        <f aca="false">DATE(Pemetaan!$B$1,VALUE(RIGHT(INDEX(Laporan!$A$1:$AZ$300,F839+1,H839),2)),VALUE(LEFT(INDEX(Laporan!$A$1:$AZ$300,F839+1,H839),2)))</f>
        <v>46099</v>
      </c>
      <c r="N839" s="0" t="n">
        <f aca="false">INDEX(Laporan!$A$1:$AZ$300,G839,H839)</f>
        <v>1487</v>
      </c>
      <c r="O839" s="0" t="n">
        <f aca="false">IF(N839="","",IFERROR(VALUE(SUBSTITUTE(SUBSTITUTE(N839," btl",""),".","")),""))</f>
        <v>1487</v>
      </c>
      <c r="P839" s="0" t="str">
        <f aca="false">IF(B839="PRODUKSI","produced","reject")</f>
        <v>produced</v>
      </c>
    </row>
    <row r="840" customFormat="false" ht="15" hidden="false" customHeight="false" outlineLevel="0" collapsed="false">
      <c r="A840" s="0" t="n">
        <v>839</v>
      </c>
      <c r="B840" s="0" t="str">
        <f aca="false">IF(A840&lt;=36*25,"PRODUKSI","REJECT")</f>
        <v>PRODUKSI</v>
      </c>
      <c r="C840" s="0" t="n">
        <f aca="false">MOD(A840-1,Pemetaan!$B$3*Pemetaan!$B$4)</f>
        <v>838</v>
      </c>
      <c r="D840" s="0" t="n">
        <f aca="false">INT(C840/Pemetaan!$B$4)</f>
        <v>33</v>
      </c>
      <c r="E840" s="0" t="n">
        <f aca="false">MOD(C840,Pemetaan!$B$4)</f>
        <v>13</v>
      </c>
      <c r="F840" s="0" t="n">
        <f aca="false">IF(B840="PRODUKSI",Pemetaan!$B$5,Pemetaan!$B$6)</f>
        <v>5</v>
      </c>
      <c r="G840" s="0" t="n">
        <f aca="false">F840+2+D840</f>
        <v>40</v>
      </c>
      <c r="H840" s="0" t="n">
        <f aca="false">Pemetaan!$B$2+E840</f>
        <v>18</v>
      </c>
      <c r="I840" s="0" t="str">
        <f aca="false">INDEX(Laporan!$A$1:$AZ$300,G840,1)</f>
        <v>Mixing</v>
      </c>
      <c r="J840" s="0" t="str">
        <f aca="false">INDEX(Laporan!$A$1:$AZ$300,G840,2)</f>
        <v>1,5 L</v>
      </c>
      <c r="K840" s="0" t="str">
        <f aca="false">INDEX(Laporan!$A$1:$AZ$300,G840,3)</f>
        <v>Shift 2</v>
      </c>
      <c r="L840" s="0" t="n">
        <f aca="false">INDEX(Laporan!$A$1:$AZ$300,G840,4)</f>
        <v>1</v>
      </c>
      <c r="M840" s="1" t="n">
        <f aca="false">DATE(Pemetaan!$B$1,VALUE(RIGHT(INDEX(Laporan!$A$1:$AZ$300,F840+1,H840),2)),VALUE(LEFT(INDEX(Laporan!$A$1:$AZ$300,F840+1,H840),2)))</f>
        <v>46100</v>
      </c>
      <c r="N840" s="0" t="n">
        <f aca="false">INDEX(Laporan!$A$1:$AZ$300,G840,H840)</f>
        <v>1759</v>
      </c>
      <c r="O840" s="0" t="n">
        <f aca="false">IF(N840="","",IFERROR(VALUE(SUBSTITUTE(SUBSTITUTE(N840," btl",""),".","")),""))</f>
        <v>1759</v>
      </c>
      <c r="P840" s="0" t="str">
        <f aca="false">IF(B840="PRODUKSI","produced","reject")</f>
        <v>produced</v>
      </c>
    </row>
    <row r="841" customFormat="false" ht="15" hidden="false" customHeight="false" outlineLevel="0" collapsed="false">
      <c r="A841" s="0" t="n">
        <v>840</v>
      </c>
      <c r="B841" s="0" t="str">
        <f aca="false">IF(A841&lt;=36*25,"PRODUKSI","REJECT")</f>
        <v>PRODUKSI</v>
      </c>
      <c r="C841" s="0" t="n">
        <f aca="false">MOD(A841-1,Pemetaan!$B$3*Pemetaan!$B$4)</f>
        <v>839</v>
      </c>
      <c r="D841" s="0" t="n">
        <f aca="false">INT(C841/Pemetaan!$B$4)</f>
        <v>33</v>
      </c>
      <c r="E841" s="0" t="n">
        <f aca="false">MOD(C841,Pemetaan!$B$4)</f>
        <v>14</v>
      </c>
      <c r="F841" s="0" t="n">
        <f aca="false">IF(B841="PRODUKSI",Pemetaan!$B$5,Pemetaan!$B$6)</f>
        <v>5</v>
      </c>
      <c r="G841" s="0" t="n">
        <f aca="false">F841+2+D841</f>
        <v>40</v>
      </c>
      <c r="H841" s="0" t="n">
        <f aca="false">Pemetaan!$B$2+E841</f>
        <v>19</v>
      </c>
      <c r="I841" s="0" t="str">
        <f aca="false">INDEX(Laporan!$A$1:$AZ$300,G841,1)</f>
        <v>Mixing</v>
      </c>
      <c r="J841" s="0" t="str">
        <f aca="false">INDEX(Laporan!$A$1:$AZ$300,G841,2)</f>
        <v>1,5 L</v>
      </c>
      <c r="K841" s="0" t="str">
        <f aca="false">INDEX(Laporan!$A$1:$AZ$300,G841,3)</f>
        <v>Shift 2</v>
      </c>
      <c r="L841" s="0" t="n">
        <f aca="false">INDEX(Laporan!$A$1:$AZ$300,G841,4)</f>
        <v>1</v>
      </c>
      <c r="M841" s="1" t="n">
        <f aca="false">DATE(Pemetaan!$B$1,VALUE(RIGHT(INDEX(Laporan!$A$1:$AZ$300,F841+1,H841),2)),VALUE(LEFT(INDEX(Laporan!$A$1:$AZ$300,F841+1,H841),2)))</f>
        <v>46101</v>
      </c>
      <c r="N841" s="0" t="n">
        <f aca="false">INDEX(Laporan!$A$1:$AZ$300,G841,H841)</f>
        <v>1666</v>
      </c>
      <c r="O841" s="0" t="n">
        <f aca="false">IF(N841="","",IFERROR(VALUE(SUBSTITUTE(SUBSTITUTE(N841," btl",""),".","")),""))</f>
        <v>1666</v>
      </c>
      <c r="P841" s="0" t="str">
        <f aca="false">IF(B841="PRODUKSI","produced","reject")</f>
        <v>produced</v>
      </c>
    </row>
    <row r="842" customFormat="false" ht="15" hidden="false" customHeight="false" outlineLevel="0" collapsed="false">
      <c r="A842" s="0" t="n">
        <v>841</v>
      </c>
      <c r="B842" s="0" t="str">
        <f aca="false">IF(A842&lt;=36*25,"PRODUKSI","REJECT")</f>
        <v>PRODUKSI</v>
      </c>
      <c r="C842" s="0" t="n">
        <f aca="false">MOD(A842-1,Pemetaan!$B$3*Pemetaan!$B$4)</f>
        <v>840</v>
      </c>
      <c r="D842" s="0" t="n">
        <f aca="false">INT(C842/Pemetaan!$B$4)</f>
        <v>33</v>
      </c>
      <c r="E842" s="0" t="n">
        <f aca="false">MOD(C842,Pemetaan!$B$4)</f>
        <v>15</v>
      </c>
      <c r="F842" s="0" t="n">
        <f aca="false">IF(B842="PRODUKSI",Pemetaan!$B$5,Pemetaan!$B$6)</f>
        <v>5</v>
      </c>
      <c r="G842" s="0" t="n">
        <f aca="false">F842+2+D842</f>
        <v>40</v>
      </c>
      <c r="H842" s="0" t="n">
        <f aca="false">Pemetaan!$B$2+E842</f>
        <v>20</v>
      </c>
      <c r="I842" s="0" t="str">
        <f aca="false">INDEX(Laporan!$A$1:$AZ$300,G842,1)</f>
        <v>Mixing</v>
      </c>
      <c r="J842" s="0" t="str">
        <f aca="false">INDEX(Laporan!$A$1:$AZ$300,G842,2)</f>
        <v>1,5 L</v>
      </c>
      <c r="K842" s="0" t="str">
        <f aca="false">INDEX(Laporan!$A$1:$AZ$300,G842,3)</f>
        <v>Shift 2</v>
      </c>
      <c r="L842" s="0" t="n">
        <f aca="false">INDEX(Laporan!$A$1:$AZ$300,G842,4)</f>
        <v>1</v>
      </c>
      <c r="M842" s="1" t="n">
        <f aca="false">DATE(Pemetaan!$B$1,VALUE(RIGHT(INDEX(Laporan!$A$1:$AZ$300,F842+1,H842),2)),VALUE(LEFT(INDEX(Laporan!$A$1:$AZ$300,F842+1,H842),2)))</f>
        <v>46104</v>
      </c>
      <c r="N842" s="0" t="n">
        <f aca="false">INDEX(Laporan!$A$1:$AZ$300,G842,H842)</f>
        <v>1428</v>
      </c>
      <c r="O842" s="0" t="n">
        <f aca="false">IF(N842="","",IFERROR(VALUE(SUBSTITUTE(SUBSTITUTE(N842," btl",""),".","")),""))</f>
        <v>1428</v>
      </c>
      <c r="P842" s="0" t="str">
        <f aca="false">IF(B842="PRODUKSI","produced","reject")</f>
        <v>produced</v>
      </c>
    </row>
    <row r="843" customFormat="false" ht="15" hidden="false" customHeight="false" outlineLevel="0" collapsed="false">
      <c r="A843" s="0" t="n">
        <v>842</v>
      </c>
      <c r="B843" s="0" t="str">
        <f aca="false">IF(A843&lt;=36*25,"PRODUKSI","REJECT")</f>
        <v>PRODUKSI</v>
      </c>
      <c r="C843" s="0" t="n">
        <f aca="false">MOD(A843-1,Pemetaan!$B$3*Pemetaan!$B$4)</f>
        <v>841</v>
      </c>
      <c r="D843" s="0" t="n">
        <f aca="false">INT(C843/Pemetaan!$B$4)</f>
        <v>33</v>
      </c>
      <c r="E843" s="0" t="n">
        <f aca="false">MOD(C843,Pemetaan!$B$4)</f>
        <v>16</v>
      </c>
      <c r="F843" s="0" t="n">
        <f aca="false">IF(B843="PRODUKSI",Pemetaan!$B$5,Pemetaan!$B$6)</f>
        <v>5</v>
      </c>
      <c r="G843" s="0" t="n">
        <f aca="false">F843+2+D843</f>
        <v>40</v>
      </c>
      <c r="H843" s="0" t="n">
        <f aca="false">Pemetaan!$B$2+E843</f>
        <v>21</v>
      </c>
      <c r="I843" s="0" t="str">
        <f aca="false">INDEX(Laporan!$A$1:$AZ$300,G843,1)</f>
        <v>Mixing</v>
      </c>
      <c r="J843" s="0" t="str">
        <f aca="false">INDEX(Laporan!$A$1:$AZ$300,G843,2)</f>
        <v>1,5 L</v>
      </c>
      <c r="K843" s="0" t="str">
        <f aca="false">INDEX(Laporan!$A$1:$AZ$300,G843,3)</f>
        <v>Shift 2</v>
      </c>
      <c r="L843" s="0" t="n">
        <f aca="false">INDEX(Laporan!$A$1:$AZ$300,G843,4)</f>
        <v>1</v>
      </c>
      <c r="M843" s="1" t="n">
        <f aca="false">DATE(Pemetaan!$B$1,VALUE(RIGHT(INDEX(Laporan!$A$1:$AZ$300,F843+1,H843),2)),VALUE(LEFT(INDEX(Laporan!$A$1:$AZ$300,F843+1,H843),2)))</f>
        <v>46105</v>
      </c>
      <c r="N843" s="0" t="n">
        <f aca="false">INDEX(Laporan!$A$1:$AZ$300,G843,H843)</f>
        <v>1656</v>
      </c>
      <c r="O843" s="0" t="n">
        <f aca="false">IF(N843="","",IFERROR(VALUE(SUBSTITUTE(SUBSTITUTE(N843," btl",""),".","")),""))</f>
        <v>1656</v>
      </c>
      <c r="P843" s="0" t="str">
        <f aca="false">IF(B843="PRODUKSI","produced","reject")</f>
        <v>produced</v>
      </c>
    </row>
    <row r="844" customFormat="false" ht="15" hidden="false" customHeight="false" outlineLevel="0" collapsed="false">
      <c r="A844" s="0" t="n">
        <v>843</v>
      </c>
      <c r="B844" s="0" t="str">
        <f aca="false">IF(A844&lt;=36*25,"PRODUKSI","REJECT")</f>
        <v>PRODUKSI</v>
      </c>
      <c r="C844" s="0" t="n">
        <f aca="false">MOD(A844-1,Pemetaan!$B$3*Pemetaan!$B$4)</f>
        <v>842</v>
      </c>
      <c r="D844" s="0" t="n">
        <f aca="false">INT(C844/Pemetaan!$B$4)</f>
        <v>33</v>
      </c>
      <c r="E844" s="0" t="n">
        <f aca="false">MOD(C844,Pemetaan!$B$4)</f>
        <v>17</v>
      </c>
      <c r="F844" s="0" t="n">
        <f aca="false">IF(B844="PRODUKSI",Pemetaan!$B$5,Pemetaan!$B$6)</f>
        <v>5</v>
      </c>
      <c r="G844" s="0" t="n">
        <f aca="false">F844+2+D844</f>
        <v>40</v>
      </c>
      <c r="H844" s="0" t="n">
        <f aca="false">Pemetaan!$B$2+E844</f>
        <v>22</v>
      </c>
      <c r="I844" s="0" t="str">
        <f aca="false">INDEX(Laporan!$A$1:$AZ$300,G844,1)</f>
        <v>Mixing</v>
      </c>
      <c r="J844" s="0" t="str">
        <f aca="false">INDEX(Laporan!$A$1:$AZ$300,G844,2)</f>
        <v>1,5 L</v>
      </c>
      <c r="K844" s="0" t="str">
        <f aca="false">INDEX(Laporan!$A$1:$AZ$300,G844,3)</f>
        <v>Shift 2</v>
      </c>
      <c r="L844" s="0" t="n">
        <f aca="false">INDEX(Laporan!$A$1:$AZ$300,G844,4)</f>
        <v>1</v>
      </c>
      <c r="M844" s="1" t="n">
        <f aca="false">DATE(Pemetaan!$B$1,VALUE(RIGHT(INDEX(Laporan!$A$1:$AZ$300,F844+1,H844),2)),VALUE(LEFT(INDEX(Laporan!$A$1:$AZ$300,F844+1,H844),2)))</f>
        <v>46106</v>
      </c>
      <c r="N844" s="0" t="n">
        <f aca="false">INDEX(Laporan!$A$1:$AZ$300,G844,H844)</f>
        <v>1765</v>
      </c>
      <c r="O844" s="0" t="n">
        <f aca="false">IF(N844="","",IFERROR(VALUE(SUBSTITUTE(SUBSTITUTE(N844," btl",""),".","")),""))</f>
        <v>1765</v>
      </c>
      <c r="P844" s="0" t="str">
        <f aca="false">IF(B844="PRODUKSI","produced","reject")</f>
        <v>produced</v>
      </c>
    </row>
    <row r="845" customFormat="false" ht="15" hidden="false" customHeight="false" outlineLevel="0" collapsed="false">
      <c r="A845" s="0" t="n">
        <v>844</v>
      </c>
      <c r="B845" s="0" t="str">
        <f aca="false">IF(A845&lt;=36*25,"PRODUKSI","REJECT")</f>
        <v>PRODUKSI</v>
      </c>
      <c r="C845" s="0" t="n">
        <f aca="false">MOD(A845-1,Pemetaan!$B$3*Pemetaan!$B$4)</f>
        <v>843</v>
      </c>
      <c r="D845" s="0" t="n">
        <f aca="false">INT(C845/Pemetaan!$B$4)</f>
        <v>33</v>
      </c>
      <c r="E845" s="0" t="n">
        <f aca="false">MOD(C845,Pemetaan!$B$4)</f>
        <v>18</v>
      </c>
      <c r="F845" s="0" t="n">
        <f aca="false">IF(B845="PRODUKSI",Pemetaan!$B$5,Pemetaan!$B$6)</f>
        <v>5</v>
      </c>
      <c r="G845" s="0" t="n">
        <f aca="false">F845+2+D845</f>
        <v>40</v>
      </c>
      <c r="H845" s="0" t="n">
        <f aca="false">Pemetaan!$B$2+E845</f>
        <v>23</v>
      </c>
      <c r="I845" s="0" t="str">
        <f aca="false">INDEX(Laporan!$A$1:$AZ$300,G845,1)</f>
        <v>Mixing</v>
      </c>
      <c r="J845" s="0" t="str">
        <f aca="false">INDEX(Laporan!$A$1:$AZ$300,G845,2)</f>
        <v>1,5 L</v>
      </c>
      <c r="K845" s="0" t="str">
        <f aca="false">INDEX(Laporan!$A$1:$AZ$300,G845,3)</f>
        <v>Shift 2</v>
      </c>
      <c r="L845" s="0" t="n">
        <f aca="false">INDEX(Laporan!$A$1:$AZ$300,G845,4)</f>
        <v>1</v>
      </c>
      <c r="M845" s="1" t="n">
        <f aca="false">DATE(Pemetaan!$B$1,VALUE(RIGHT(INDEX(Laporan!$A$1:$AZ$300,F845+1,H845),2)),VALUE(LEFT(INDEX(Laporan!$A$1:$AZ$300,F845+1,H845),2)))</f>
        <v>46107</v>
      </c>
      <c r="N845" s="0" t="n">
        <f aca="false">INDEX(Laporan!$A$1:$AZ$300,G845,H845)</f>
        <v>1703</v>
      </c>
      <c r="O845" s="0" t="n">
        <f aca="false">IF(N845="","",IFERROR(VALUE(SUBSTITUTE(SUBSTITUTE(N845," btl",""),".","")),""))</f>
        <v>1703</v>
      </c>
      <c r="P845" s="0" t="str">
        <f aca="false">IF(B845="PRODUKSI","produced","reject")</f>
        <v>produced</v>
      </c>
    </row>
    <row r="846" customFormat="false" ht="15" hidden="false" customHeight="false" outlineLevel="0" collapsed="false">
      <c r="A846" s="0" t="n">
        <v>845</v>
      </c>
      <c r="B846" s="0" t="str">
        <f aca="false">IF(A846&lt;=36*25,"PRODUKSI","REJECT")</f>
        <v>PRODUKSI</v>
      </c>
      <c r="C846" s="0" t="n">
        <f aca="false">MOD(A846-1,Pemetaan!$B$3*Pemetaan!$B$4)</f>
        <v>844</v>
      </c>
      <c r="D846" s="0" t="n">
        <f aca="false">INT(C846/Pemetaan!$B$4)</f>
        <v>33</v>
      </c>
      <c r="E846" s="0" t="n">
        <f aca="false">MOD(C846,Pemetaan!$B$4)</f>
        <v>19</v>
      </c>
      <c r="F846" s="0" t="n">
        <f aca="false">IF(B846="PRODUKSI",Pemetaan!$B$5,Pemetaan!$B$6)</f>
        <v>5</v>
      </c>
      <c r="G846" s="0" t="n">
        <f aca="false">F846+2+D846</f>
        <v>40</v>
      </c>
      <c r="H846" s="0" t="n">
        <f aca="false">Pemetaan!$B$2+E846</f>
        <v>24</v>
      </c>
      <c r="I846" s="0" t="str">
        <f aca="false">INDEX(Laporan!$A$1:$AZ$300,G846,1)</f>
        <v>Mixing</v>
      </c>
      <c r="J846" s="0" t="str">
        <f aca="false">INDEX(Laporan!$A$1:$AZ$300,G846,2)</f>
        <v>1,5 L</v>
      </c>
      <c r="K846" s="0" t="str">
        <f aca="false">INDEX(Laporan!$A$1:$AZ$300,G846,3)</f>
        <v>Shift 2</v>
      </c>
      <c r="L846" s="0" t="n">
        <f aca="false">INDEX(Laporan!$A$1:$AZ$300,G846,4)</f>
        <v>1</v>
      </c>
      <c r="M846" s="1" t="n">
        <f aca="false">DATE(Pemetaan!$B$1,VALUE(RIGHT(INDEX(Laporan!$A$1:$AZ$300,F846+1,H846),2)),VALUE(LEFT(INDEX(Laporan!$A$1:$AZ$300,F846+1,H846),2)))</f>
        <v>46108</v>
      </c>
      <c r="N846" s="0" t="n">
        <f aca="false">INDEX(Laporan!$A$1:$AZ$300,G846,H846)</f>
        <v>1342</v>
      </c>
      <c r="O846" s="0" t="n">
        <f aca="false">IF(N846="","",IFERROR(VALUE(SUBSTITUTE(SUBSTITUTE(N846," btl",""),".","")),""))</f>
        <v>1342</v>
      </c>
      <c r="P846" s="0" t="str">
        <f aca="false">IF(B846="PRODUKSI","produced","reject")</f>
        <v>produced</v>
      </c>
    </row>
    <row r="847" customFormat="false" ht="15" hidden="false" customHeight="false" outlineLevel="0" collapsed="false">
      <c r="A847" s="0" t="n">
        <v>846</v>
      </c>
      <c r="B847" s="0" t="str">
        <f aca="false">IF(A847&lt;=36*25,"PRODUKSI","REJECT")</f>
        <v>PRODUKSI</v>
      </c>
      <c r="C847" s="0" t="n">
        <f aca="false">MOD(A847-1,Pemetaan!$B$3*Pemetaan!$B$4)</f>
        <v>845</v>
      </c>
      <c r="D847" s="0" t="n">
        <f aca="false">INT(C847/Pemetaan!$B$4)</f>
        <v>33</v>
      </c>
      <c r="E847" s="0" t="n">
        <f aca="false">MOD(C847,Pemetaan!$B$4)</f>
        <v>20</v>
      </c>
      <c r="F847" s="0" t="n">
        <f aca="false">IF(B847="PRODUKSI",Pemetaan!$B$5,Pemetaan!$B$6)</f>
        <v>5</v>
      </c>
      <c r="G847" s="0" t="n">
        <f aca="false">F847+2+D847</f>
        <v>40</v>
      </c>
      <c r="H847" s="0" t="n">
        <f aca="false">Pemetaan!$B$2+E847</f>
        <v>25</v>
      </c>
      <c r="I847" s="0" t="str">
        <f aca="false">INDEX(Laporan!$A$1:$AZ$300,G847,1)</f>
        <v>Mixing</v>
      </c>
      <c r="J847" s="0" t="str">
        <f aca="false">INDEX(Laporan!$A$1:$AZ$300,G847,2)</f>
        <v>1,5 L</v>
      </c>
      <c r="K847" s="0" t="str">
        <f aca="false">INDEX(Laporan!$A$1:$AZ$300,G847,3)</f>
        <v>Shift 2</v>
      </c>
      <c r="L847" s="0" t="n">
        <f aca="false">INDEX(Laporan!$A$1:$AZ$300,G847,4)</f>
        <v>1</v>
      </c>
      <c r="M847" s="1" t="n">
        <f aca="false">DATE(Pemetaan!$B$1,VALUE(RIGHT(INDEX(Laporan!$A$1:$AZ$300,F847+1,H847),2)),VALUE(LEFT(INDEX(Laporan!$A$1:$AZ$300,F847+1,H847),2)))</f>
        <v>46111</v>
      </c>
      <c r="N847" s="0" t="n">
        <f aca="false">INDEX(Laporan!$A$1:$AZ$300,G847,H847)</f>
        <v>1367</v>
      </c>
      <c r="O847" s="0" t="n">
        <f aca="false">IF(N847="","",IFERROR(VALUE(SUBSTITUTE(SUBSTITUTE(N847," btl",""),".","")),""))</f>
        <v>1367</v>
      </c>
      <c r="P847" s="0" t="str">
        <f aca="false">IF(B847="PRODUKSI","produced","reject")</f>
        <v>produced</v>
      </c>
    </row>
    <row r="848" customFormat="false" ht="15" hidden="false" customHeight="false" outlineLevel="0" collapsed="false">
      <c r="A848" s="0" t="n">
        <v>847</v>
      </c>
      <c r="B848" s="0" t="str">
        <f aca="false">IF(A848&lt;=36*25,"PRODUKSI","REJECT")</f>
        <v>PRODUKSI</v>
      </c>
      <c r="C848" s="0" t="n">
        <f aca="false">MOD(A848-1,Pemetaan!$B$3*Pemetaan!$B$4)</f>
        <v>846</v>
      </c>
      <c r="D848" s="0" t="n">
        <f aca="false">INT(C848/Pemetaan!$B$4)</f>
        <v>33</v>
      </c>
      <c r="E848" s="0" t="n">
        <f aca="false">MOD(C848,Pemetaan!$B$4)</f>
        <v>21</v>
      </c>
      <c r="F848" s="0" t="n">
        <f aca="false">IF(B848="PRODUKSI",Pemetaan!$B$5,Pemetaan!$B$6)</f>
        <v>5</v>
      </c>
      <c r="G848" s="0" t="n">
        <f aca="false">F848+2+D848</f>
        <v>40</v>
      </c>
      <c r="H848" s="0" t="n">
        <f aca="false">Pemetaan!$B$2+E848</f>
        <v>26</v>
      </c>
      <c r="I848" s="0" t="str">
        <f aca="false">INDEX(Laporan!$A$1:$AZ$300,G848,1)</f>
        <v>Mixing</v>
      </c>
      <c r="J848" s="0" t="str">
        <f aca="false">INDEX(Laporan!$A$1:$AZ$300,G848,2)</f>
        <v>1,5 L</v>
      </c>
      <c r="K848" s="0" t="str">
        <f aca="false">INDEX(Laporan!$A$1:$AZ$300,G848,3)</f>
        <v>Shift 2</v>
      </c>
      <c r="L848" s="0" t="n">
        <f aca="false">INDEX(Laporan!$A$1:$AZ$300,G848,4)</f>
        <v>1</v>
      </c>
      <c r="M848" s="1" t="n">
        <f aca="false">DATE(Pemetaan!$B$1,VALUE(RIGHT(INDEX(Laporan!$A$1:$AZ$300,F848+1,H848),2)),VALUE(LEFT(INDEX(Laporan!$A$1:$AZ$300,F848+1,H848),2)))</f>
        <v>46112</v>
      </c>
      <c r="N848" s="0" t="n">
        <f aca="false">INDEX(Laporan!$A$1:$AZ$300,G848,H848)</f>
        <v>1668</v>
      </c>
      <c r="O848" s="0" t="n">
        <f aca="false">IF(N848="","",IFERROR(VALUE(SUBSTITUTE(SUBSTITUTE(N848," btl",""),".","")),""))</f>
        <v>1668</v>
      </c>
      <c r="P848" s="0" t="str">
        <f aca="false">IF(B848="PRODUKSI","produced","reject")</f>
        <v>produced</v>
      </c>
    </row>
    <row r="849" customFormat="false" ht="15" hidden="false" customHeight="false" outlineLevel="0" collapsed="false">
      <c r="A849" s="0" t="n">
        <v>848</v>
      </c>
      <c r="B849" s="0" t="str">
        <f aca="false">IF(A849&lt;=36*25,"PRODUKSI","REJECT")</f>
        <v>PRODUKSI</v>
      </c>
      <c r="C849" s="0" t="n">
        <f aca="false">MOD(A849-1,Pemetaan!$B$3*Pemetaan!$B$4)</f>
        <v>847</v>
      </c>
      <c r="D849" s="0" t="n">
        <f aca="false">INT(C849/Pemetaan!$B$4)</f>
        <v>33</v>
      </c>
      <c r="E849" s="0" t="n">
        <f aca="false">MOD(C849,Pemetaan!$B$4)</f>
        <v>22</v>
      </c>
      <c r="F849" s="0" t="n">
        <f aca="false">IF(B849="PRODUKSI",Pemetaan!$B$5,Pemetaan!$B$6)</f>
        <v>5</v>
      </c>
      <c r="G849" s="0" t="n">
        <f aca="false">F849+2+D849</f>
        <v>40</v>
      </c>
      <c r="H849" s="0" t="n">
        <f aca="false">Pemetaan!$B$2+E849</f>
        <v>27</v>
      </c>
      <c r="I849" s="0" t="str">
        <f aca="false">INDEX(Laporan!$A$1:$AZ$300,G849,1)</f>
        <v>Mixing</v>
      </c>
      <c r="J849" s="0" t="str">
        <f aca="false">INDEX(Laporan!$A$1:$AZ$300,G849,2)</f>
        <v>1,5 L</v>
      </c>
      <c r="K849" s="0" t="str">
        <f aca="false">INDEX(Laporan!$A$1:$AZ$300,G849,3)</f>
        <v>Shift 2</v>
      </c>
      <c r="L849" s="0" t="n">
        <f aca="false">INDEX(Laporan!$A$1:$AZ$300,G849,4)</f>
        <v>1</v>
      </c>
      <c r="M849" s="1" t="n">
        <f aca="false">DATE(Pemetaan!$B$1,VALUE(RIGHT(INDEX(Laporan!$A$1:$AZ$300,F849+1,H849),2)),VALUE(LEFT(INDEX(Laporan!$A$1:$AZ$300,F849+1,H849),2)))</f>
        <v>46113</v>
      </c>
      <c r="N849" s="0" t="n">
        <f aca="false">INDEX(Laporan!$A$1:$AZ$300,G849,H849)</f>
        <v>1481</v>
      </c>
      <c r="O849" s="0" t="n">
        <f aca="false">IF(N849="","",IFERROR(VALUE(SUBSTITUTE(SUBSTITUTE(N849," btl",""),".","")),""))</f>
        <v>1481</v>
      </c>
      <c r="P849" s="0" t="str">
        <f aca="false">IF(B849="PRODUKSI","produced","reject")</f>
        <v>produced</v>
      </c>
    </row>
    <row r="850" customFormat="false" ht="15" hidden="false" customHeight="false" outlineLevel="0" collapsed="false">
      <c r="A850" s="0" t="n">
        <v>849</v>
      </c>
      <c r="B850" s="0" t="str">
        <f aca="false">IF(A850&lt;=36*25,"PRODUKSI","REJECT")</f>
        <v>PRODUKSI</v>
      </c>
      <c r="C850" s="0" t="n">
        <f aca="false">MOD(A850-1,Pemetaan!$B$3*Pemetaan!$B$4)</f>
        <v>848</v>
      </c>
      <c r="D850" s="0" t="n">
        <f aca="false">INT(C850/Pemetaan!$B$4)</f>
        <v>33</v>
      </c>
      <c r="E850" s="0" t="n">
        <f aca="false">MOD(C850,Pemetaan!$B$4)</f>
        <v>23</v>
      </c>
      <c r="F850" s="0" t="n">
        <f aca="false">IF(B850="PRODUKSI",Pemetaan!$B$5,Pemetaan!$B$6)</f>
        <v>5</v>
      </c>
      <c r="G850" s="0" t="n">
        <f aca="false">F850+2+D850</f>
        <v>40</v>
      </c>
      <c r="H850" s="0" t="n">
        <f aca="false">Pemetaan!$B$2+E850</f>
        <v>28</v>
      </c>
      <c r="I850" s="0" t="str">
        <f aca="false">INDEX(Laporan!$A$1:$AZ$300,G850,1)</f>
        <v>Mixing</v>
      </c>
      <c r="J850" s="0" t="str">
        <f aca="false">INDEX(Laporan!$A$1:$AZ$300,G850,2)</f>
        <v>1,5 L</v>
      </c>
      <c r="K850" s="0" t="str">
        <f aca="false">INDEX(Laporan!$A$1:$AZ$300,G850,3)</f>
        <v>Shift 2</v>
      </c>
      <c r="L850" s="0" t="n">
        <f aca="false">INDEX(Laporan!$A$1:$AZ$300,G850,4)</f>
        <v>1</v>
      </c>
      <c r="M850" s="1" t="n">
        <f aca="false">DATE(Pemetaan!$B$1,VALUE(RIGHT(INDEX(Laporan!$A$1:$AZ$300,F850+1,H850),2)),VALUE(LEFT(INDEX(Laporan!$A$1:$AZ$300,F850+1,H850),2)))</f>
        <v>46114</v>
      </c>
      <c r="N850" s="0" t="n">
        <f aca="false">INDEX(Laporan!$A$1:$AZ$300,G850,H850)</f>
        <v>1382</v>
      </c>
      <c r="O850" s="0" t="n">
        <f aca="false">IF(N850="","",IFERROR(VALUE(SUBSTITUTE(SUBSTITUTE(N850," btl",""),".","")),""))</f>
        <v>1382</v>
      </c>
      <c r="P850" s="0" t="str">
        <f aca="false">IF(B850="PRODUKSI","produced","reject")</f>
        <v>produced</v>
      </c>
    </row>
    <row r="851" customFormat="false" ht="15" hidden="false" customHeight="false" outlineLevel="0" collapsed="false">
      <c r="A851" s="0" t="n">
        <v>850</v>
      </c>
      <c r="B851" s="0" t="str">
        <f aca="false">IF(A851&lt;=36*25,"PRODUKSI","REJECT")</f>
        <v>PRODUKSI</v>
      </c>
      <c r="C851" s="0" t="n">
        <f aca="false">MOD(A851-1,Pemetaan!$B$3*Pemetaan!$B$4)</f>
        <v>849</v>
      </c>
      <c r="D851" s="0" t="n">
        <f aca="false">INT(C851/Pemetaan!$B$4)</f>
        <v>33</v>
      </c>
      <c r="E851" s="0" t="n">
        <f aca="false">MOD(C851,Pemetaan!$B$4)</f>
        <v>24</v>
      </c>
      <c r="F851" s="0" t="n">
        <f aca="false">IF(B851="PRODUKSI",Pemetaan!$B$5,Pemetaan!$B$6)</f>
        <v>5</v>
      </c>
      <c r="G851" s="0" t="n">
        <f aca="false">F851+2+D851</f>
        <v>40</v>
      </c>
      <c r="H851" s="0" t="n">
        <f aca="false">Pemetaan!$B$2+E851</f>
        <v>29</v>
      </c>
      <c r="I851" s="0" t="str">
        <f aca="false">INDEX(Laporan!$A$1:$AZ$300,G851,1)</f>
        <v>Mixing</v>
      </c>
      <c r="J851" s="0" t="str">
        <f aca="false">INDEX(Laporan!$A$1:$AZ$300,G851,2)</f>
        <v>1,5 L</v>
      </c>
      <c r="K851" s="0" t="str">
        <f aca="false">INDEX(Laporan!$A$1:$AZ$300,G851,3)</f>
        <v>Shift 2</v>
      </c>
      <c r="L851" s="0" t="n">
        <f aca="false">INDEX(Laporan!$A$1:$AZ$300,G851,4)</f>
        <v>1</v>
      </c>
      <c r="M851" s="1" t="n">
        <f aca="false">DATE(Pemetaan!$B$1,VALUE(RIGHT(INDEX(Laporan!$A$1:$AZ$300,F851+1,H851),2)),VALUE(LEFT(INDEX(Laporan!$A$1:$AZ$300,F851+1,H851),2)))</f>
        <v>46115</v>
      </c>
      <c r="N851" s="0" t="n">
        <f aca="false">INDEX(Laporan!$A$1:$AZ$300,G851,H851)</f>
        <v>1255</v>
      </c>
      <c r="O851" s="0" t="n">
        <f aca="false">IF(N851="","",IFERROR(VALUE(SUBSTITUTE(SUBSTITUTE(N851," btl",""),".","")),""))</f>
        <v>1255</v>
      </c>
      <c r="P851" s="0" t="str">
        <f aca="false">IF(B851="PRODUKSI","produced","reject")</f>
        <v>produced</v>
      </c>
    </row>
    <row r="852" customFormat="false" ht="15" hidden="false" customHeight="false" outlineLevel="0" collapsed="false">
      <c r="A852" s="0" t="n">
        <v>851</v>
      </c>
      <c r="B852" s="0" t="str">
        <f aca="false">IF(A852&lt;=36*25,"PRODUKSI","REJECT")</f>
        <v>PRODUKSI</v>
      </c>
      <c r="C852" s="0" t="n">
        <f aca="false">MOD(A852-1,Pemetaan!$B$3*Pemetaan!$B$4)</f>
        <v>850</v>
      </c>
      <c r="D852" s="0" t="n">
        <f aca="false">INT(C852/Pemetaan!$B$4)</f>
        <v>34</v>
      </c>
      <c r="E852" s="0" t="n">
        <f aca="false">MOD(C852,Pemetaan!$B$4)</f>
        <v>0</v>
      </c>
      <c r="F852" s="0" t="n">
        <f aca="false">IF(B852="PRODUKSI",Pemetaan!$B$5,Pemetaan!$B$6)</f>
        <v>5</v>
      </c>
      <c r="G852" s="0" t="n">
        <f aca="false">F852+2+D852</f>
        <v>41</v>
      </c>
      <c r="H852" s="0" t="n">
        <f aca="false">Pemetaan!$B$2+E852</f>
        <v>5</v>
      </c>
      <c r="I852" s="0" t="str">
        <f aca="false">INDEX(Laporan!$A$1:$AZ$300,G852,1)</f>
        <v>Mixing</v>
      </c>
      <c r="J852" s="0" t="str">
        <f aca="false">INDEX(Laporan!$A$1:$AZ$300,G852,2)</f>
        <v>1,5 L</v>
      </c>
      <c r="K852" s="0" t="str">
        <f aca="false">INDEX(Laporan!$A$1:$AZ$300,G852,3)</f>
        <v>Shift 2</v>
      </c>
      <c r="L852" s="0" t="n">
        <f aca="false">INDEX(Laporan!$A$1:$AZ$300,G852,4)</f>
        <v>2</v>
      </c>
      <c r="M852" s="1" t="n">
        <f aca="false">DATE(Pemetaan!$B$1,VALUE(RIGHT(INDEX(Laporan!$A$1:$AZ$300,F852+1,H852),2)),VALUE(LEFT(INDEX(Laporan!$A$1:$AZ$300,F852+1,H852),2)))</f>
        <v>46083</v>
      </c>
      <c r="N852" s="0" t="n">
        <f aca="false">INDEX(Laporan!$A$1:$AZ$300,G852,H852)</f>
        <v>1424</v>
      </c>
      <c r="O852" s="0" t="n">
        <f aca="false">IF(N852="","",IFERROR(VALUE(SUBSTITUTE(SUBSTITUTE(N852," btl",""),".","")),""))</f>
        <v>1424</v>
      </c>
      <c r="P852" s="0" t="str">
        <f aca="false">IF(B852="PRODUKSI","produced","reject")</f>
        <v>produced</v>
      </c>
    </row>
    <row r="853" customFormat="false" ht="15" hidden="false" customHeight="false" outlineLevel="0" collapsed="false">
      <c r="A853" s="0" t="n">
        <v>852</v>
      </c>
      <c r="B853" s="0" t="str">
        <f aca="false">IF(A853&lt;=36*25,"PRODUKSI","REJECT")</f>
        <v>PRODUKSI</v>
      </c>
      <c r="C853" s="0" t="n">
        <f aca="false">MOD(A853-1,Pemetaan!$B$3*Pemetaan!$B$4)</f>
        <v>851</v>
      </c>
      <c r="D853" s="0" t="n">
        <f aca="false">INT(C853/Pemetaan!$B$4)</f>
        <v>34</v>
      </c>
      <c r="E853" s="0" t="n">
        <f aca="false">MOD(C853,Pemetaan!$B$4)</f>
        <v>1</v>
      </c>
      <c r="F853" s="0" t="n">
        <f aca="false">IF(B853="PRODUKSI",Pemetaan!$B$5,Pemetaan!$B$6)</f>
        <v>5</v>
      </c>
      <c r="G853" s="0" t="n">
        <f aca="false">F853+2+D853</f>
        <v>41</v>
      </c>
      <c r="H853" s="0" t="n">
        <f aca="false">Pemetaan!$B$2+E853</f>
        <v>6</v>
      </c>
      <c r="I853" s="0" t="str">
        <f aca="false">INDEX(Laporan!$A$1:$AZ$300,G853,1)</f>
        <v>Mixing</v>
      </c>
      <c r="J853" s="0" t="str">
        <f aca="false">INDEX(Laporan!$A$1:$AZ$300,G853,2)</f>
        <v>1,5 L</v>
      </c>
      <c r="K853" s="0" t="str">
        <f aca="false">INDEX(Laporan!$A$1:$AZ$300,G853,3)</f>
        <v>Shift 2</v>
      </c>
      <c r="L853" s="0" t="n">
        <f aca="false">INDEX(Laporan!$A$1:$AZ$300,G853,4)</f>
        <v>2</v>
      </c>
      <c r="M853" s="1" t="n">
        <f aca="false">DATE(Pemetaan!$B$1,VALUE(RIGHT(INDEX(Laporan!$A$1:$AZ$300,F853+1,H853),2)),VALUE(LEFT(INDEX(Laporan!$A$1:$AZ$300,F853+1,H853),2)))</f>
        <v>46084</v>
      </c>
      <c r="N853" s="0" t="n">
        <f aca="false">INDEX(Laporan!$A$1:$AZ$300,G853,H853)</f>
        <v>1537</v>
      </c>
      <c r="O853" s="0" t="n">
        <f aca="false">IF(N853="","",IFERROR(VALUE(SUBSTITUTE(SUBSTITUTE(N853," btl",""),".","")),""))</f>
        <v>1537</v>
      </c>
      <c r="P853" s="0" t="str">
        <f aca="false">IF(B853="PRODUKSI","produced","reject")</f>
        <v>produced</v>
      </c>
    </row>
    <row r="854" customFormat="false" ht="15" hidden="false" customHeight="false" outlineLevel="0" collapsed="false">
      <c r="A854" s="0" t="n">
        <v>853</v>
      </c>
      <c r="B854" s="0" t="str">
        <f aca="false">IF(A854&lt;=36*25,"PRODUKSI","REJECT")</f>
        <v>PRODUKSI</v>
      </c>
      <c r="C854" s="0" t="n">
        <f aca="false">MOD(A854-1,Pemetaan!$B$3*Pemetaan!$B$4)</f>
        <v>852</v>
      </c>
      <c r="D854" s="0" t="n">
        <f aca="false">INT(C854/Pemetaan!$B$4)</f>
        <v>34</v>
      </c>
      <c r="E854" s="0" t="n">
        <f aca="false">MOD(C854,Pemetaan!$B$4)</f>
        <v>2</v>
      </c>
      <c r="F854" s="0" t="n">
        <f aca="false">IF(B854="PRODUKSI",Pemetaan!$B$5,Pemetaan!$B$6)</f>
        <v>5</v>
      </c>
      <c r="G854" s="0" t="n">
        <f aca="false">F854+2+D854</f>
        <v>41</v>
      </c>
      <c r="H854" s="0" t="n">
        <f aca="false">Pemetaan!$B$2+E854</f>
        <v>7</v>
      </c>
      <c r="I854" s="0" t="str">
        <f aca="false">INDEX(Laporan!$A$1:$AZ$300,G854,1)</f>
        <v>Mixing</v>
      </c>
      <c r="J854" s="0" t="str">
        <f aca="false">INDEX(Laporan!$A$1:$AZ$300,G854,2)</f>
        <v>1,5 L</v>
      </c>
      <c r="K854" s="0" t="str">
        <f aca="false">INDEX(Laporan!$A$1:$AZ$300,G854,3)</f>
        <v>Shift 2</v>
      </c>
      <c r="L854" s="0" t="n">
        <f aca="false">INDEX(Laporan!$A$1:$AZ$300,G854,4)</f>
        <v>2</v>
      </c>
      <c r="M854" s="1" t="n">
        <f aca="false">DATE(Pemetaan!$B$1,VALUE(RIGHT(INDEX(Laporan!$A$1:$AZ$300,F854+1,H854),2)),VALUE(LEFT(INDEX(Laporan!$A$1:$AZ$300,F854+1,H854),2)))</f>
        <v>46085</v>
      </c>
      <c r="N854" s="0" t="n">
        <f aca="false">INDEX(Laporan!$A$1:$AZ$300,G854,H854)</f>
        <v>1354</v>
      </c>
      <c r="O854" s="0" t="n">
        <f aca="false">IF(N854="","",IFERROR(VALUE(SUBSTITUTE(SUBSTITUTE(N854," btl",""),".","")),""))</f>
        <v>1354</v>
      </c>
      <c r="P854" s="0" t="str">
        <f aca="false">IF(B854="PRODUKSI","produced","reject")</f>
        <v>produced</v>
      </c>
    </row>
    <row r="855" customFormat="false" ht="15" hidden="false" customHeight="false" outlineLevel="0" collapsed="false">
      <c r="A855" s="0" t="n">
        <v>854</v>
      </c>
      <c r="B855" s="0" t="str">
        <f aca="false">IF(A855&lt;=36*25,"PRODUKSI","REJECT")</f>
        <v>PRODUKSI</v>
      </c>
      <c r="C855" s="0" t="n">
        <f aca="false">MOD(A855-1,Pemetaan!$B$3*Pemetaan!$B$4)</f>
        <v>853</v>
      </c>
      <c r="D855" s="0" t="n">
        <f aca="false">INT(C855/Pemetaan!$B$4)</f>
        <v>34</v>
      </c>
      <c r="E855" s="0" t="n">
        <f aca="false">MOD(C855,Pemetaan!$B$4)</f>
        <v>3</v>
      </c>
      <c r="F855" s="0" t="n">
        <f aca="false">IF(B855="PRODUKSI",Pemetaan!$B$5,Pemetaan!$B$6)</f>
        <v>5</v>
      </c>
      <c r="G855" s="0" t="n">
        <f aca="false">F855+2+D855</f>
        <v>41</v>
      </c>
      <c r="H855" s="0" t="n">
        <f aca="false">Pemetaan!$B$2+E855</f>
        <v>8</v>
      </c>
      <c r="I855" s="0" t="str">
        <f aca="false">INDEX(Laporan!$A$1:$AZ$300,G855,1)</f>
        <v>Mixing</v>
      </c>
      <c r="J855" s="0" t="str">
        <f aca="false">INDEX(Laporan!$A$1:$AZ$300,G855,2)</f>
        <v>1,5 L</v>
      </c>
      <c r="K855" s="0" t="str">
        <f aca="false">INDEX(Laporan!$A$1:$AZ$300,G855,3)</f>
        <v>Shift 2</v>
      </c>
      <c r="L855" s="0" t="n">
        <f aca="false">INDEX(Laporan!$A$1:$AZ$300,G855,4)</f>
        <v>2</v>
      </c>
      <c r="M855" s="1" t="n">
        <f aca="false">DATE(Pemetaan!$B$1,VALUE(RIGHT(INDEX(Laporan!$A$1:$AZ$300,F855+1,H855),2)),VALUE(LEFT(INDEX(Laporan!$A$1:$AZ$300,F855+1,H855),2)))</f>
        <v>46086</v>
      </c>
      <c r="N855" s="0" t="n">
        <f aca="false">INDEX(Laporan!$A$1:$AZ$300,G855,H855)</f>
        <v>1652</v>
      </c>
      <c r="O855" s="0" t="n">
        <f aca="false">IF(N855="","",IFERROR(VALUE(SUBSTITUTE(SUBSTITUTE(N855," btl",""),".","")),""))</f>
        <v>1652</v>
      </c>
      <c r="P855" s="0" t="str">
        <f aca="false">IF(B855="PRODUKSI","produced","reject")</f>
        <v>produced</v>
      </c>
    </row>
    <row r="856" customFormat="false" ht="15" hidden="false" customHeight="false" outlineLevel="0" collapsed="false">
      <c r="A856" s="0" t="n">
        <v>855</v>
      </c>
      <c r="B856" s="0" t="str">
        <f aca="false">IF(A856&lt;=36*25,"PRODUKSI","REJECT")</f>
        <v>PRODUKSI</v>
      </c>
      <c r="C856" s="0" t="n">
        <f aca="false">MOD(A856-1,Pemetaan!$B$3*Pemetaan!$B$4)</f>
        <v>854</v>
      </c>
      <c r="D856" s="0" t="n">
        <f aca="false">INT(C856/Pemetaan!$B$4)</f>
        <v>34</v>
      </c>
      <c r="E856" s="0" t="n">
        <f aca="false">MOD(C856,Pemetaan!$B$4)</f>
        <v>4</v>
      </c>
      <c r="F856" s="0" t="n">
        <f aca="false">IF(B856="PRODUKSI",Pemetaan!$B$5,Pemetaan!$B$6)</f>
        <v>5</v>
      </c>
      <c r="G856" s="0" t="n">
        <f aca="false">F856+2+D856</f>
        <v>41</v>
      </c>
      <c r="H856" s="0" t="n">
        <f aca="false">Pemetaan!$B$2+E856</f>
        <v>9</v>
      </c>
      <c r="I856" s="0" t="str">
        <f aca="false">INDEX(Laporan!$A$1:$AZ$300,G856,1)</f>
        <v>Mixing</v>
      </c>
      <c r="J856" s="0" t="str">
        <f aca="false">INDEX(Laporan!$A$1:$AZ$300,G856,2)</f>
        <v>1,5 L</v>
      </c>
      <c r="K856" s="0" t="str">
        <f aca="false">INDEX(Laporan!$A$1:$AZ$300,G856,3)</f>
        <v>Shift 2</v>
      </c>
      <c r="L856" s="0" t="n">
        <f aca="false">INDEX(Laporan!$A$1:$AZ$300,G856,4)</f>
        <v>2</v>
      </c>
      <c r="M856" s="1" t="n">
        <f aca="false">DATE(Pemetaan!$B$1,VALUE(RIGHT(INDEX(Laporan!$A$1:$AZ$300,F856+1,H856),2)),VALUE(LEFT(INDEX(Laporan!$A$1:$AZ$300,F856+1,H856),2)))</f>
        <v>46087</v>
      </c>
      <c r="N856" s="0" t="n">
        <f aca="false">INDEX(Laporan!$A$1:$AZ$300,G856,H856)</f>
        <v>1620</v>
      </c>
      <c r="O856" s="0" t="n">
        <f aca="false">IF(N856="","",IFERROR(VALUE(SUBSTITUTE(SUBSTITUTE(N856," btl",""),".","")),""))</f>
        <v>1620</v>
      </c>
      <c r="P856" s="0" t="str">
        <f aca="false">IF(B856="PRODUKSI","produced","reject")</f>
        <v>produced</v>
      </c>
    </row>
    <row r="857" customFormat="false" ht="15" hidden="false" customHeight="false" outlineLevel="0" collapsed="false">
      <c r="A857" s="0" t="n">
        <v>856</v>
      </c>
      <c r="B857" s="0" t="str">
        <f aca="false">IF(A857&lt;=36*25,"PRODUKSI","REJECT")</f>
        <v>PRODUKSI</v>
      </c>
      <c r="C857" s="0" t="n">
        <f aca="false">MOD(A857-1,Pemetaan!$B$3*Pemetaan!$B$4)</f>
        <v>855</v>
      </c>
      <c r="D857" s="0" t="n">
        <f aca="false">INT(C857/Pemetaan!$B$4)</f>
        <v>34</v>
      </c>
      <c r="E857" s="0" t="n">
        <f aca="false">MOD(C857,Pemetaan!$B$4)</f>
        <v>5</v>
      </c>
      <c r="F857" s="0" t="n">
        <f aca="false">IF(B857="PRODUKSI",Pemetaan!$B$5,Pemetaan!$B$6)</f>
        <v>5</v>
      </c>
      <c r="G857" s="0" t="n">
        <f aca="false">F857+2+D857</f>
        <v>41</v>
      </c>
      <c r="H857" s="0" t="n">
        <f aca="false">Pemetaan!$B$2+E857</f>
        <v>10</v>
      </c>
      <c r="I857" s="0" t="str">
        <f aca="false">INDEX(Laporan!$A$1:$AZ$300,G857,1)</f>
        <v>Mixing</v>
      </c>
      <c r="J857" s="0" t="str">
        <f aca="false">INDEX(Laporan!$A$1:$AZ$300,G857,2)</f>
        <v>1,5 L</v>
      </c>
      <c r="K857" s="0" t="str">
        <f aca="false">INDEX(Laporan!$A$1:$AZ$300,G857,3)</f>
        <v>Shift 2</v>
      </c>
      <c r="L857" s="0" t="n">
        <f aca="false">INDEX(Laporan!$A$1:$AZ$300,G857,4)</f>
        <v>2</v>
      </c>
      <c r="M857" s="1" t="n">
        <f aca="false">DATE(Pemetaan!$B$1,VALUE(RIGHT(INDEX(Laporan!$A$1:$AZ$300,F857+1,H857),2)),VALUE(LEFT(INDEX(Laporan!$A$1:$AZ$300,F857+1,H857),2)))</f>
        <v>46090</v>
      </c>
      <c r="N857" s="0" t="n">
        <f aca="false">INDEX(Laporan!$A$1:$AZ$300,G857,H857)</f>
        <v>1465</v>
      </c>
      <c r="O857" s="0" t="n">
        <f aca="false">IF(N857="","",IFERROR(VALUE(SUBSTITUTE(SUBSTITUTE(N857," btl",""),".","")),""))</f>
        <v>1465</v>
      </c>
      <c r="P857" s="0" t="str">
        <f aca="false">IF(B857="PRODUKSI","produced","reject")</f>
        <v>produced</v>
      </c>
    </row>
    <row r="858" customFormat="false" ht="15" hidden="false" customHeight="false" outlineLevel="0" collapsed="false">
      <c r="A858" s="0" t="n">
        <v>857</v>
      </c>
      <c r="B858" s="0" t="str">
        <f aca="false">IF(A858&lt;=36*25,"PRODUKSI","REJECT")</f>
        <v>PRODUKSI</v>
      </c>
      <c r="C858" s="0" t="n">
        <f aca="false">MOD(A858-1,Pemetaan!$B$3*Pemetaan!$B$4)</f>
        <v>856</v>
      </c>
      <c r="D858" s="0" t="n">
        <f aca="false">INT(C858/Pemetaan!$B$4)</f>
        <v>34</v>
      </c>
      <c r="E858" s="0" t="n">
        <f aca="false">MOD(C858,Pemetaan!$B$4)</f>
        <v>6</v>
      </c>
      <c r="F858" s="0" t="n">
        <f aca="false">IF(B858="PRODUKSI",Pemetaan!$B$5,Pemetaan!$B$6)</f>
        <v>5</v>
      </c>
      <c r="G858" s="0" t="n">
        <f aca="false">F858+2+D858</f>
        <v>41</v>
      </c>
      <c r="H858" s="0" t="n">
        <f aca="false">Pemetaan!$B$2+E858</f>
        <v>11</v>
      </c>
      <c r="I858" s="0" t="str">
        <f aca="false">INDEX(Laporan!$A$1:$AZ$300,G858,1)</f>
        <v>Mixing</v>
      </c>
      <c r="J858" s="0" t="str">
        <f aca="false">INDEX(Laporan!$A$1:$AZ$300,G858,2)</f>
        <v>1,5 L</v>
      </c>
      <c r="K858" s="0" t="str">
        <f aca="false">INDEX(Laporan!$A$1:$AZ$300,G858,3)</f>
        <v>Shift 2</v>
      </c>
      <c r="L858" s="0" t="n">
        <f aca="false">INDEX(Laporan!$A$1:$AZ$300,G858,4)</f>
        <v>2</v>
      </c>
      <c r="M858" s="1" t="n">
        <f aca="false">DATE(Pemetaan!$B$1,VALUE(RIGHT(INDEX(Laporan!$A$1:$AZ$300,F858+1,H858),2)),VALUE(LEFT(INDEX(Laporan!$A$1:$AZ$300,F858+1,H858),2)))</f>
        <v>46091</v>
      </c>
      <c r="N858" s="0" t="n">
        <f aca="false">INDEX(Laporan!$A$1:$AZ$300,G858,H858)</f>
        <v>1267</v>
      </c>
      <c r="O858" s="0" t="n">
        <f aca="false">IF(N858="","",IFERROR(VALUE(SUBSTITUTE(SUBSTITUTE(N858," btl",""),".","")),""))</f>
        <v>1267</v>
      </c>
      <c r="P858" s="0" t="str">
        <f aca="false">IF(B858="PRODUKSI","produced","reject")</f>
        <v>produced</v>
      </c>
    </row>
    <row r="859" customFormat="false" ht="15" hidden="false" customHeight="false" outlineLevel="0" collapsed="false">
      <c r="A859" s="0" t="n">
        <v>858</v>
      </c>
      <c r="B859" s="0" t="str">
        <f aca="false">IF(A859&lt;=36*25,"PRODUKSI","REJECT")</f>
        <v>PRODUKSI</v>
      </c>
      <c r="C859" s="0" t="n">
        <f aca="false">MOD(A859-1,Pemetaan!$B$3*Pemetaan!$B$4)</f>
        <v>857</v>
      </c>
      <c r="D859" s="0" t="n">
        <f aca="false">INT(C859/Pemetaan!$B$4)</f>
        <v>34</v>
      </c>
      <c r="E859" s="0" t="n">
        <f aca="false">MOD(C859,Pemetaan!$B$4)</f>
        <v>7</v>
      </c>
      <c r="F859" s="0" t="n">
        <f aca="false">IF(B859="PRODUKSI",Pemetaan!$B$5,Pemetaan!$B$6)</f>
        <v>5</v>
      </c>
      <c r="G859" s="0" t="n">
        <f aca="false">F859+2+D859</f>
        <v>41</v>
      </c>
      <c r="H859" s="0" t="n">
        <f aca="false">Pemetaan!$B$2+E859</f>
        <v>12</v>
      </c>
      <c r="I859" s="0" t="str">
        <f aca="false">INDEX(Laporan!$A$1:$AZ$300,G859,1)</f>
        <v>Mixing</v>
      </c>
      <c r="J859" s="0" t="str">
        <f aca="false">INDEX(Laporan!$A$1:$AZ$300,G859,2)</f>
        <v>1,5 L</v>
      </c>
      <c r="K859" s="0" t="str">
        <f aca="false">INDEX(Laporan!$A$1:$AZ$300,G859,3)</f>
        <v>Shift 2</v>
      </c>
      <c r="L859" s="0" t="n">
        <f aca="false">INDEX(Laporan!$A$1:$AZ$300,G859,4)</f>
        <v>2</v>
      </c>
      <c r="M859" s="1" t="n">
        <f aca="false">DATE(Pemetaan!$B$1,VALUE(RIGHT(INDEX(Laporan!$A$1:$AZ$300,F859+1,H859),2)),VALUE(LEFT(INDEX(Laporan!$A$1:$AZ$300,F859+1,H859),2)))</f>
        <v>46092</v>
      </c>
      <c r="N859" s="0" t="n">
        <f aca="false">INDEX(Laporan!$A$1:$AZ$300,G859,H859)</f>
        <v>1457</v>
      </c>
      <c r="O859" s="0" t="n">
        <f aca="false">IF(N859="","",IFERROR(VALUE(SUBSTITUTE(SUBSTITUTE(N859," btl",""),".","")),""))</f>
        <v>1457</v>
      </c>
      <c r="P859" s="0" t="str">
        <f aca="false">IF(B859="PRODUKSI","produced","reject")</f>
        <v>produced</v>
      </c>
    </row>
    <row r="860" customFormat="false" ht="15" hidden="false" customHeight="false" outlineLevel="0" collapsed="false">
      <c r="A860" s="0" t="n">
        <v>859</v>
      </c>
      <c r="B860" s="0" t="str">
        <f aca="false">IF(A860&lt;=36*25,"PRODUKSI","REJECT")</f>
        <v>PRODUKSI</v>
      </c>
      <c r="C860" s="0" t="n">
        <f aca="false">MOD(A860-1,Pemetaan!$B$3*Pemetaan!$B$4)</f>
        <v>858</v>
      </c>
      <c r="D860" s="0" t="n">
        <f aca="false">INT(C860/Pemetaan!$B$4)</f>
        <v>34</v>
      </c>
      <c r="E860" s="0" t="n">
        <f aca="false">MOD(C860,Pemetaan!$B$4)</f>
        <v>8</v>
      </c>
      <c r="F860" s="0" t="n">
        <f aca="false">IF(B860="PRODUKSI",Pemetaan!$B$5,Pemetaan!$B$6)</f>
        <v>5</v>
      </c>
      <c r="G860" s="0" t="n">
        <f aca="false">F860+2+D860</f>
        <v>41</v>
      </c>
      <c r="H860" s="0" t="n">
        <f aca="false">Pemetaan!$B$2+E860</f>
        <v>13</v>
      </c>
      <c r="I860" s="0" t="str">
        <f aca="false">INDEX(Laporan!$A$1:$AZ$300,G860,1)</f>
        <v>Mixing</v>
      </c>
      <c r="J860" s="0" t="str">
        <f aca="false">INDEX(Laporan!$A$1:$AZ$300,G860,2)</f>
        <v>1,5 L</v>
      </c>
      <c r="K860" s="0" t="str">
        <f aca="false">INDEX(Laporan!$A$1:$AZ$300,G860,3)</f>
        <v>Shift 2</v>
      </c>
      <c r="L860" s="0" t="n">
        <f aca="false">INDEX(Laporan!$A$1:$AZ$300,G860,4)</f>
        <v>2</v>
      </c>
      <c r="M860" s="1" t="n">
        <f aca="false">DATE(Pemetaan!$B$1,VALUE(RIGHT(INDEX(Laporan!$A$1:$AZ$300,F860+1,H860),2)),VALUE(LEFT(INDEX(Laporan!$A$1:$AZ$300,F860+1,H860),2)))</f>
        <v>46093</v>
      </c>
      <c r="N860" s="0" t="n">
        <f aca="false">INDEX(Laporan!$A$1:$AZ$300,G860,H860)</f>
        <v>1556</v>
      </c>
      <c r="O860" s="0" t="n">
        <f aca="false">IF(N860="","",IFERROR(VALUE(SUBSTITUTE(SUBSTITUTE(N860," btl",""),".","")),""))</f>
        <v>1556</v>
      </c>
      <c r="P860" s="0" t="str">
        <f aca="false">IF(B860="PRODUKSI","produced","reject")</f>
        <v>produced</v>
      </c>
    </row>
    <row r="861" customFormat="false" ht="15" hidden="false" customHeight="false" outlineLevel="0" collapsed="false">
      <c r="A861" s="0" t="n">
        <v>860</v>
      </c>
      <c r="B861" s="0" t="str">
        <f aca="false">IF(A861&lt;=36*25,"PRODUKSI","REJECT")</f>
        <v>PRODUKSI</v>
      </c>
      <c r="C861" s="0" t="n">
        <f aca="false">MOD(A861-1,Pemetaan!$B$3*Pemetaan!$B$4)</f>
        <v>859</v>
      </c>
      <c r="D861" s="0" t="n">
        <f aca="false">INT(C861/Pemetaan!$B$4)</f>
        <v>34</v>
      </c>
      <c r="E861" s="0" t="n">
        <f aca="false">MOD(C861,Pemetaan!$B$4)</f>
        <v>9</v>
      </c>
      <c r="F861" s="0" t="n">
        <f aca="false">IF(B861="PRODUKSI",Pemetaan!$B$5,Pemetaan!$B$6)</f>
        <v>5</v>
      </c>
      <c r="G861" s="0" t="n">
        <f aca="false">F861+2+D861</f>
        <v>41</v>
      </c>
      <c r="H861" s="0" t="n">
        <f aca="false">Pemetaan!$B$2+E861</f>
        <v>14</v>
      </c>
      <c r="I861" s="0" t="str">
        <f aca="false">INDEX(Laporan!$A$1:$AZ$300,G861,1)</f>
        <v>Mixing</v>
      </c>
      <c r="J861" s="0" t="str">
        <f aca="false">INDEX(Laporan!$A$1:$AZ$300,G861,2)</f>
        <v>1,5 L</v>
      </c>
      <c r="K861" s="0" t="str">
        <f aca="false">INDEX(Laporan!$A$1:$AZ$300,G861,3)</f>
        <v>Shift 2</v>
      </c>
      <c r="L861" s="0" t="n">
        <f aca="false">INDEX(Laporan!$A$1:$AZ$300,G861,4)</f>
        <v>2</v>
      </c>
      <c r="M861" s="1" t="n">
        <f aca="false">DATE(Pemetaan!$B$1,VALUE(RIGHT(INDEX(Laporan!$A$1:$AZ$300,F861+1,H861),2)),VALUE(LEFT(INDEX(Laporan!$A$1:$AZ$300,F861+1,H861),2)))</f>
        <v>46094</v>
      </c>
      <c r="N861" s="0" t="n">
        <f aca="false">INDEX(Laporan!$A$1:$AZ$300,G861,H861)</f>
        <v>1438</v>
      </c>
      <c r="O861" s="0" t="n">
        <f aca="false">IF(N861="","",IFERROR(VALUE(SUBSTITUTE(SUBSTITUTE(N861," btl",""),".","")),""))</f>
        <v>1438</v>
      </c>
      <c r="P861" s="0" t="str">
        <f aca="false">IF(B861="PRODUKSI","produced","reject")</f>
        <v>produced</v>
      </c>
    </row>
    <row r="862" customFormat="false" ht="15" hidden="false" customHeight="false" outlineLevel="0" collapsed="false">
      <c r="A862" s="0" t="n">
        <v>861</v>
      </c>
      <c r="B862" s="0" t="str">
        <f aca="false">IF(A862&lt;=36*25,"PRODUKSI","REJECT")</f>
        <v>PRODUKSI</v>
      </c>
      <c r="C862" s="0" t="n">
        <f aca="false">MOD(A862-1,Pemetaan!$B$3*Pemetaan!$B$4)</f>
        <v>860</v>
      </c>
      <c r="D862" s="0" t="n">
        <f aca="false">INT(C862/Pemetaan!$B$4)</f>
        <v>34</v>
      </c>
      <c r="E862" s="0" t="n">
        <f aca="false">MOD(C862,Pemetaan!$B$4)</f>
        <v>10</v>
      </c>
      <c r="F862" s="0" t="n">
        <f aca="false">IF(B862="PRODUKSI",Pemetaan!$B$5,Pemetaan!$B$6)</f>
        <v>5</v>
      </c>
      <c r="G862" s="0" t="n">
        <f aca="false">F862+2+D862</f>
        <v>41</v>
      </c>
      <c r="H862" s="0" t="n">
        <f aca="false">Pemetaan!$B$2+E862</f>
        <v>15</v>
      </c>
      <c r="I862" s="0" t="str">
        <f aca="false">INDEX(Laporan!$A$1:$AZ$300,G862,1)</f>
        <v>Mixing</v>
      </c>
      <c r="J862" s="0" t="str">
        <f aca="false">INDEX(Laporan!$A$1:$AZ$300,G862,2)</f>
        <v>1,5 L</v>
      </c>
      <c r="K862" s="0" t="str">
        <f aca="false">INDEX(Laporan!$A$1:$AZ$300,G862,3)</f>
        <v>Shift 2</v>
      </c>
      <c r="L862" s="0" t="n">
        <f aca="false">INDEX(Laporan!$A$1:$AZ$300,G862,4)</f>
        <v>2</v>
      </c>
      <c r="M862" s="1" t="n">
        <f aca="false">DATE(Pemetaan!$B$1,VALUE(RIGHT(INDEX(Laporan!$A$1:$AZ$300,F862+1,H862),2)),VALUE(LEFT(INDEX(Laporan!$A$1:$AZ$300,F862+1,H862),2)))</f>
        <v>46097</v>
      </c>
      <c r="N862" s="0" t="n">
        <f aca="false">INDEX(Laporan!$A$1:$AZ$300,G862,H862)</f>
        <v>1508</v>
      </c>
      <c r="O862" s="0" t="n">
        <f aca="false">IF(N862="","",IFERROR(VALUE(SUBSTITUTE(SUBSTITUTE(N862," btl",""),".","")),""))</f>
        <v>1508</v>
      </c>
      <c r="P862" s="0" t="str">
        <f aca="false">IF(B862="PRODUKSI","produced","reject")</f>
        <v>produced</v>
      </c>
    </row>
    <row r="863" customFormat="false" ht="15" hidden="false" customHeight="false" outlineLevel="0" collapsed="false">
      <c r="A863" s="0" t="n">
        <v>862</v>
      </c>
      <c r="B863" s="0" t="str">
        <f aca="false">IF(A863&lt;=36*25,"PRODUKSI","REJECT")</f>
        <v>PRODUKSI</v>
      </c>
      <c r="C863" s="0" t="n">
        <f aca="false">MOD(A863-1,Pemetaan!$B$3*Pemetaan!$B$4)</f>
        <v>861</v>
      </c>
      <c r="D863" s="0" t="n">
        <f aca="false">INT(C863/Pemetaan!$B$4)</f>
        <v>34</v>
      </c>
      <c r="E863" s="0" t="n">
        <f aca="false">MOD(C863,Pemetaan!$B$4)</f>
        <v>11</v>
      </c>
      <c r="F863" s="0" t="n">
        <f aca="false">IF(B863="PRODUKSI",Pemetaan!$B$5,Pemetaan!$B$6)</f>
        <v>5</v>
      </c>
      <c r="G863" s="0" t="n">
        <f aca="false">F863+2+D863</f>
        <v>41</v>
      </c>
      <c r="H863" s="0" t="n">
        <f aca="false">Pemetaan!$B$2+E863</f>
        <v>16</v>
      </c>
      <c r="I863" s="0" t="str">
        <f aca="false">INDEX(Laporan!$A$1:$AZ$300,G863,1)</f>
        <v>Mixing</v>
      </c>
      <c r="J863" s="0" t="str">
        <f aca="false">INDEX(Laporan!$A$1:$AZ$300,G863,2)</f>
        <v>1,5 L</v>
      </c>
      <c r="K863" s="0" t="str">
        <f aca="false">INDEX(Laporan!$A$1:$AZ$300,G863,3)</f>
        <v>Shift 2</v>
      </c>
      <c r="L863" s="0" t="n">
        <f aca="false">INDEX(Laporan!$A$1:$AZ$300,G863,4)</f>
        <v>2</v>
      </c>
      <c r="M863" s="1" t="n">
        <f aca="false">DATE(Pemetaan!$B$1,VALUE(RIGHT(INDEX(Laporan!$A$1:$AZ$300,F863+1,H863),2)),VALUE(LEFT(INDEX(Laporan!$A$1:$AZ$300,F863+1,H863),2)))</f>
        <v>46098</v>
      </c>
      <c r="N863" s="0" t="n">
        <f aca="false">INDEX(Laporan!$A$1:$AZ$300,G863,H863)</f>
        <v>1457</v>
      </c>
      <c r="O863" s="0" t="n">
        <f aca="false">IF(N863="","",IFERROR(VALUE(SUBSTITUTE(SUBSTITUTE(N863," btl",""),".","")),""))</f>
        <v>1457</v>
      </c>
      <c r="P863" s="0" t="str">
        <f aca="false">IF(B863="PRODUKSI","produced","reject")</f>
        <v>produced</v>
      </c>
    </row>
    <row r="864" customFormat="false" ht="15" hidden="false" customHeight="false" outlineLevel="0" collapsed="false">
      <c r="A864" s="0" t="n">
        <v>863</v>
      </c>
      <c r="B864" s="0" t="str">
        <f aca="false">IF(A864&lt;=36*25,"PRODUKSI","REJECT")</f>
        <v>PRODUKSI</v>
      </c>
      <c r="C864" s="0" t="n">
        <f aca="false">MOD(A864-1,Pemetaan!$B$3*Pemetaan!$B$4)</f>
        <v>862</v>
      </c>
      <c r="D864" s="0" t="n">
        <f aca="false">INT(C864/Pemetaan!$B$4)</f>
        <v>34</v>
      </c>
      <c r="E864" s="0" t="n">
        <f aca="false">MOD(C864,Pemetaan!$B$4)</f>
        <v>12</v>
      </c>
      <c r="F864" s="0" t="n">
        <f aca="false">IF(B864="PRODUKSI",Pemetaan!$B$5,Pemetaan!$B$6)</f>
        <v>5</v>
      </c>
      <c r="G864" s="0" t="n">
        <f aca="false">F864+2+D864</f>
        <v>41</v>
      </c>
      <c r="H864" s="0" t="n">
        <f aca="false">Pemetaan!$B$2+E864</f>
        <v>17</v>
      </c>
      <c r="I864" s="0" t="str">
        <f aca="false">INDEX(Laporan!$A$1:$AZ$300,G864,1)</f>
        <v>Mixing</v>
      </c>
      <c r="J864" s="0" t="str">
        <f aca="false">INDEX(Laporan!$A$1:$AZ$300,G864,2)</f>
        <v>1,5 L</v>
      </c>
      <c r="K864" s="0" t="str">
        <f aca="false">INDEX(Laporan!$A$1:$AZ$300,G864,3)</f>
        <v>Shift 2</v>
      </c>
      <c r="L864" s="0" t="n">
        <f aca="false">INDEX(Laporan!$A$1:$AZ$300,G864,4)</f>
        <v>2</v>
      </c>
      <c r="M864" s="1" t="n">
        <f aca="false">DATE(Pemetaan!$B$1,VALUE(RIGHT(INDEX(Laporan!$A$1:$AZ$300,F864+1,H864),2)),VALUE(LEFT(INDEX(Laporan!$A$1:$AZ$300,F864+1,H864),2)))</f>
        <v>46099</v>
      </c>
      <c r="N864" s="0" t="n">
        <f aca="false">INDEX(Laporan!$A$1:$AZ$300,G864,H864)</f>
        <v>1388</v>
      </c>
      <c r="O864" s="0" t="n">
        <f aca="false">IF(N864="","",IFERROR(VALUE(SUBSTITUTE(SUBSTITUTE(N864," btl",""),".","")),""))</f>
        <v>1388</v>
      </c>
      <c r="P864" s="0" t="str">
        <f aca="false">IF(B864="PRODUKSI","produced","reject")</f>
        <v>produced</v>
      </c>
    </row>
    <row r="865" customFormat="false" ht="15" hidden="false" customHeight="false" outlineLevel="0" collapsed="false">
      <c r="A865" s="0" t="n">
        <v>864</v>
      </c>
      <c r="B865" s="0" t="str">
        <f aca="false">IF(A865&lt;=36*25,"PRODUKSI","REJECT")</f>
        <v>PRODUKSI</v>
      </c>
      <c r="C865" s="0" t="n">
        <f aca="false">MOD(A865-1,Pemetaan!$B$3*Pemetaan!$B$4)</f>
        <v>863</v>
      </c>
      <c r="D865" s="0" t="n">
        <f aca="false">INT(C865/Pemetaan!$B$4)</f>
        <v>34</v>
      </c>
      <c r="E865" s="0" t="n">
        <f aca="false">MOD(C865,Pemetaan!$B$4)</f>
        <v>13</v>
      </c>
      <c r="F865" s="0" t="n">
        <f aca="false">IF(B865="PRODUKSI",Pemetaan!$B$5,Pemetaan!$B$6)</f>
        <v>5</v>
      </c>
      <c r="G865" s="0" t="n">
        <f aca="false">F865+2+D865</f>
        <v>41</v>
      </c>
      <c r="H865" s="0" t="n">
        <f aca="false">Pemetaan!$B$2+E865</f>
        <v>18</v>
      </c>
      <c r="I865" s="0" t="str">
        <f aca="false">INDEX(Laporan!$A$1:$AZ$300,G865,1)</f>
        <v>Mixing</v>
      </c>
      <c r="J865" s="0" t="str">
        <f aca="false">INDEX(Laporan!$A$1:$AZ$300,G865,2)</f>
        <v>1,5 L</v>
      </c>
      <c r="K865" s="0" t="str">
        <f aca="false">INDEX(Laporan!$A$1:$AZ$300,G865,3)</f>
        <v>Shift 2</v>
      </c>
      <c r="L865" s="0" t="n">
        <f aca="false">INDEX(Laporan!$A$1:$AZ$300,G865,4)</f>
        <v>2</v>
      </c>
      <c r="M865" s="1" t="n">
        <f aca="false">DATE(Pemetaan!$B$1,VALUE(RIGHT(INDEX(Laporan!$A$1:$AZ$300,F865+1,H865),2)),VALUE(LEFT(INDEX(Laporan!$A$1:$AZ$300,F865+1,H865),2)))</f>
        <v>46100</v>
      </c>
      <c r="N865" s="0" t="n">
        <f aca="false">INDEX(Laporan!$A$1:$AZ$300,G865,H865)</f>
        <v>1501</v>
      </c>
      <c r="O865" s="0" t="n">
        <f aca="false">IF(N865="","",IFERROR(VALUE(SUBSTITUTE(SUBSTITUTE(N865," btl",""),".","")),""))</f>
        <v>1501</v>
      </c>
      <c r="P865" s="0" t="str">
        <f aca="false">IF(B865="PRODUKSI","produced","reject")</f>
        <v>produced</v>
      </c>
    </row>
    <row r="866" customFormat="false" ht="15" hidden="false" customHeight="false" outlineLevel="0" collapsed="false">
      <c r="A866" s="0" t="n">
        <v>865</v>
      </c>
      <c r="B866" s="0" t="str">
        <f aca="false">IF(A866&lt;=36*25,"PRODUKSI","REJECT")</f>
        <v>PRODUKSI</v>
      </c>
      <c r="C866" s="0" t="n">
        <f aca="false">MOD(A866-1,Pemetaan!$B$3*Pemetaan!$B$4)</f>
        <v>864</v>
      </c>
      <c r="D866" s="0" t="n">
        <f aca="false">INT(C866/Pemetaan!$B$4)</f>
        <v>34</v>
      </c>
      <c r="E866" s="0" t="n">
        <f aca="false">MOD(C866,Pemetaan!$B$4)</f>
        <v>14</v>
      </c>
      <c r="F866" s="0" t="n">
        <f aca="false">IF(B866="PRODUKSI",Pemetaan!$B$5,Pemetaan!$B$6)</f>
        <v>5</v>
      </c>
      <c r="G866" s="0" t="n">
        <f aca="false">F866+2+D866</f>
        <v>41</v>
      </c>
      <c r="H866" s="0" t="n">
        <f aca="false">Pemetaan!$B$2+E866</f>
        <v>19</v>
      </c>
      <c r="I866" s="0" t="str">
        <f aca="false">INDEX(Laporan!$A$1:$AZ$300,G866,1)</f>
        <v>Mixing</v>
      </c>
      <c r="J866" s="0" t="str">
        <f aca="false">INDEX(Laporan!$A$1:$AZ$300,G866,2)</f>
        <v>1,5 L</v>
      </c>
      <c r="K866" s="0" t="str">
        <f aca="false">INDEX(Laporan!$A$1:$AZ$300,G866,3)</f>
        <v>Shift 2</v>
      </c>
      <c r="L866" s="0" t="n">
        <f aca="false">INDEX(Laporan!$A$1:$AZ$300,G866,4)</f>
        <v>2</v>
      </c>
      <c r="M866" s="1" t="n">
        <f aca="false">DATE(Pemetaan!$B$1,VALUE(RIGHT(INDEX(Laporan!$A$1:$AZ$300,F866+1,H866),2)),VALUE(LEFT(INDEX(Laporan!$A$1:$AZ$300,F866+1,H866),2)))</f>
        <v>46101</v>
      </c>
      <c r="N866" s="0" t="n">
        <f aca="false">INDEX(Laporan!$A$1:$AZ$300,G866,H866)</f>
        <v>1483</v>
      </c>
      <c r="O866" s="0" t="n">
        <f aca="false">IF(N866="","",IFERROR(VALUE(SUBSTITUTE(SUBSTITUTE(N866," btl",""),".","")),""))</f>
        <v>1483</v>
      </c>
      <c r="P866" s="0" t="str">
        <f aca="false">IF(B866="PRODUKSI","produced","reject")</f>
        <v>produced</v>
      </c>
    </row>
    <row r="867" customFormat="false" ht="15" hidden="false" customHeight="false" outlineLevel="0" collapsed="false">
      <c r="A867" s="0" t="n">
        <v>866</v>
      </c>
      <c r="B867" s="0" t="str">
        <f aca="false">IF(A867&lt;=36*25,"PRODUKSI","REJECT")</f>
        <v>PRODUKSI</v>
      </c>
      <c r="C867" s="0" t="n">
        <f aca="false">MOD(A867-1,Pemetaan!$B$3*Pemetaan!$B$4)</f>
        <v>865</v>
      </c>
      <c r="D867" s="0" t="n">
        <f aca="false">INT(C867/Pemetaan!$B$4)</f>
        <v>34</v>
      </c>
      <c r="E867" s="0" t="n">
        <f aca="false">MOD(C867,Pemetaan!$B$4)</f>
        <v>15</v>
      </c>
      <c r="F867" s="0" t="n">
        <f aca="false">IF(B867="PRODUKSI",Pemetaan!$B$5,Pemetaan!$B$6)</f>
        <v>5</v>
      </c>
      <c r="G867" s="0" t="n">
        <f aca="false">F867+2+D867</f>
        <v>41</v>
      </c>
      <c r="H867" s="0" t="n">
        <f aca="false">Pemetaan!$B$2+E867</f>
        <v>20</v>
      </c>
      <c r="I867" s="0" t="str">
        <f aca="false">INDEX(Laporan!$A$1:$AZ$300,G867,1)</f>
        <v>Mixing</v>
      </c>
      <c r="J867" s="0" t="str">
        <f aca="false">INDEX(Laporan!$A$1:$AZ$300,G867,2)</f>
        <v>1,5 L</v>
      </c>
      <c r="K867" s="0" t="str">
        <f aca="false">INDEX(Laporan!$A$1:$AZ$300,G867,3)</f>
        <v>Shift 2</v>
      </c>
      <c r="L867" s="0" t="n">
        <f aca="false">INDEX(Laporan!$A$1:$AZ$300,G867,4)</f>
        <v>2</v>
      </c>
      <c r="M867" s="1" t="n">
        <f aca="false">DATE(Pemetaan!$B$1,VALUE(RIGHT(INDEX(Laporan!$A$1:$AZ$300,F867+1,H867),2)),VALUE(LEFT(INDEX(Laporan!$A$1:$AZ$300,F867+1,H867),2)))</f>
        <v>46104</v>
      </c>
      <c r="N867" s="0" t="n">
        <f aca="false">INDEX(Laporan!$A$1:$AZ$300,G867,H867)</f>
        <v>1468</v>
      </c>
      <c r="O867" s="0" t="n">
        <f aca="false">IF(N867="","",IFERROR(VALUE(SUBSTITUTE(SUBSTITUTE(N867," btl",""),".","")),""))</f>
        <v>1468</v>
      </c>
      <c r="P867" s="0" t="str">
        <f aca="false">IF(B867="PRODUKSI","produced","reject")</f>
        <v>produced</v>
      </c>
    </row>
    <row r="868" customFormat="false" ht="15" hidden="false" customHeight="false" outlineLevel="0" collapsed="false">
      <c r="A868" s="0" t="n">
        <v>867</v>
      </c>
      <c r="B868" s="0" t="str">
        <f aca="false">IF(A868&lt;=36*25,"PRODUKSI","REJECT")</f>
        <v>PRODUKSI</v>
      </c>
      <c r="C868" s="0" t="n">
        <f aca="false">MOD(A868-1,Pemetaan!$B$3*Pemetaan!$B$4)</f>
        <v>866</v>
      </c>
      <c r="D868" s="0" t="n">
        <f aca="false">INT(C868/Pemetaan!$B$4)</f>
        <v>34</v>
      </c>
      <c r="E868" s="0" t="n">
        <f aca="false">MOD(C868,Pemetaan!$B$4)</f>
        <v>16</v>
      </c>
      <c r="F868" s="0" t="n">
        <f aca="false">IF(B868="PRODUKSI",Pemetaan!$B$5,Pemetaan!$B$6)</f>
        <v>5</v>
      </c>
      <c r="G868" s="0" t="n">
        <f aca="false">F868+2+D868</f>
        <v>41</v>
      </c>
      <c r="H868" s="0" t="n">
        <f aca="false">Pemetaan!$B$2+E868</f>
        <v>21</v>
      </c>
      <c r="I868" s="0" t="str">
        <f aca="false">INDEX(Laporan!$A$1:$AZ$300,G868,1)</f>
        <v>Mixing</v>
      </c>
      <c r="J868" s="0" t="str">
        <f aca="false">INDEX(Laporan!$A$1:$AZ$300,G868,2)</f>
        <v>1,5 L</v>
      </c>
      <c r="K868" s="0" t="str">
        <f aca="false">INDEX(Laporan!$A$1:$AZ$300,G868,3)</f>
        <v>Shift 2</v>
      </c>
      <c r="L868" s="0" t="n">
        <f aca="false">INDEX(Laporan!$A$1:$AZ$300,G868,4)</f>
        <v>2</v>
      </c>
      <c r="M868" s="1" t="n">
        <f aca="false">DATE(Pemetaan!$B$1,VALUE(RIGHT(INDEX(Laporan!$A$1:$AZ$300,F868+1,H868),2)),VALUE(LEFT(INDEX(Laporan!$A$1:$AZ$300,F868+1,H868),2)))</f>
        <v>46105</v>
      </c>
      <c r="N868" s="0" t="n">
        <f aca="false">INDEX(Laporan!$A$1:$AZ$300,G868,H868)</f>
        <v>1428</v>
      </c>
      <c r="O868" s="0" t="n">
        <f aca="false">IF(N868="","",IFERROR(VALUE(SUBSTITUTE(SUBSTITUTE(N868," btl",""),".","")),""))</f>
        <v>1428</v>
      </c>
      <c r="P868" s="0" t="str">
        <f aca="false">IF(B868="PRODUKSI","produced","reject")</f>
        <v>produced</v>
      </c>
    </row>
    <row r="869" customFormat="false" ht="15" hidden="false" customHeight="false" outlineLevel="0" collapsed="false">
      <c r="A869" s="0" t="n">
        <v>868</v>
      </c>
      <c r="B869" s="0" t="str">
        <f aca="false">IF(A869&lt;=36*25,"PRODUKSI","REJECT")</f>
        <v>PRODUKSI</v>
      </c>
      <c r="C869" s="0" t="n">
        <f aca="false">MOD(A869-1,Pemetaan!$B$3*Pemetaan!$B$4)</f>
        <v>867</v>
      </c>
      <c r="D869" s="0" t="n">
        <f aca="false">INT(C869/Pemetaan!$B$4)</f>
        <v>34</v>
      </c>
      <c r="E869" s="0" t="n">
        <f aca="false">MOD(C869,Pemetaan!$B$4)</f>
        <v>17</v>
      </c>
      <c r="F869" s="0" t="n">
        <f aca="false">IF(B869="PRODUKSI",Pemetaan!$B$5,Pemetaan!$B$6)</f>
        <v>5</v>
      </c>
      <c r="G869" s="0" t="n">
        <f aca="false">F869+2+D869</f>
        <v>41</v>
      </c>
      <c r="H869" s="0" t="n">
        <f aca="false">Pemetaan!$B$2+E869</f>
        <v>22</v>
      </c>
      <c r="I869" s="0" t="str">
        <f aca="false">INDEX(Laporan!$A$1:$AZ$300,G869,1)</f>
        <v>Mixing</v>
      </c>
      <c r="J869" s="0" t="str">
        <f aca="false">INDEX(Laporan!$A$1:$AZ$300,G869,2)</f>
        <v>1,5 L</v>
      </c>
      <c r="K869" s="0" t="str">
        <f aca="false">INDEX(Laporan!$A$1:$AZ$300,G869,3)</f>
        <v>Shift 2</v>
      </c>
      <c r="L869" s="0" t="n">
        <f aca="false">INDEX(Laporan!$A$1:$AZ$300,G869,4)</f>
        <v>2</v>
      </c>
      <c r="M869" s="1" t="n">
        <f aca="false">DATE(Pemetaan!$B$1,VALUE(RIGHT(INDEX(Laporan!$A$1:$AZ$300,F869+1,H869),2)),VALUE(LEFT(INDEX(Laporan!$A$1:$AZ$300,F869+1,H869),2)))</f>
        <v>46106</v>
      </c>
      <c r="N869" s="0" t="n">
        <f aca="false">INDEX(Laporan!$A$1:$AZ$300,G869,H869)</f>
        <v>1635</v>
      </c>
      <c r="O869" s="0" t="n">
        <f aca="false">IF(N869="","",IFERROR(VALUE(SUBSTITUTE(SUBSTITUTE(N869," btl",""),".","")),""))</f>
        <v>1635</v>
      </c>
      <c r="P869" s="0" t="str">
        <f aca="false">IF(B869="PRODUKSI","produced","reject")</f>
        <v>produced</v>
      </c>
    </row>
    <row r="870" customFormat="false" ht="15" hidden="false" customHeight="false" outlineLevel="0" collapsed="false">
      <c r="A870" s="0" t="n">
        <v>869</v>
      </c>
      <c r="B870" s="0" t="str">
        <f aca="false">IF(A870&lt;=36*25,"PRODUKSI","REJECT")</f>
        <v>PRODUKSI</v>
      </c>
      <c r="C870" s="0" t="n">
        <f aca="false">MOD(A870-1,Pemetaan!$B$3*Pemetaan!$B$4)</f>
        <v>868</v>
      </c>
      <c r="D870" s="0" t="n">
        <f aca="false">INT(C870/Pemetaan!$B$4)</f>
        <v>34</v>
      </c>
      <c r="E870" s="0" t="n">
        <f aca="false">MOD(C870,Pemetaan!$B$4)</f>
        <v>18</v>
      </c>
      <c r="F870" s="0" t="n">
        <f aca="false">IF(B870="PRODUKSI",Pemetaan!$B$5,Pemetaan!$B$6)</f>
        <v>5</v>
      </c>
      <c r="G870" s="0" t="n">
        <f aca="false">F870+2+D870</f>
        <v>41</v>
      </c>
      <c r="H870" s="0" t="n">
        <f aca="false">Pemetaan!$B$2+E870</f>
        <v>23</v>
      </c>
      <c r="I870" s="0" t="str">
        <f aca="false">INDEX(Laporan!$A$1:$AZ$300,G870,1)</f>
        <v>Mixing</v>
      </c>
      <c r="J870" s="0" t="str">
        <f aca="false">INDEX(Laporan!$A$1:$AZ$300,G870,2)</f>
        <v>1,5 L</v>
      </c>
      <c r="K870" s="0" t="str">
        <f aca="false">INDEX(Laporan!$A$1:$AZ$300,G870,3)</f>
        <v>Shift 2</v>
      </c>
      <c r="L870" s="0" t="n">
        <f aca="false">INDEX(Laporan!$A$1:$AZ$300,G870,4)</f>
        <v>2</v>
      </c>
      <c r="M870" s="1" t="n">
        <f aca="false">DATE(Pemetaan!$B$1,VALUE(RIGHT(INDEX(Laporan!$A$1:$AZ$300,F870+1,H870),2)),VALUE(LEFT(INDEX(Laporan!$A$1:$AZ$300,F870+1,H870),2)))</f>
        <v>46107</v>
      </c>
      <c r="N870" s="0" t="n">
        <f aca="false">INDEX(Laporan!$A$1:$AZ$300,G870,H870)</f>
        <v>1446</v>
      </c>
      <c r="O870" s="0" t="n">
        <f aca="false">IF(N870="","",IFERROR(VALUE(SUBSTITUTE(SUBSTITUTE(N870," btl",""),".","")),""))</f>
        <v>1446</v>
      </c>
      <c r="P870" s="0" t="str">
        <f aca="false">IF(B870="PRODUKSI","produced","reject")</f>
        <v>produced</v>
      </c>
    </row>
    <row r="871" customFormat="false" ht="15" hidden="false" customHeight="false" outlineLevel="0" collapsed="false">
      <c r="A871" s="0" t="n">
        <v>870</v>
      </c>
      <c r="B871" s="0" t="str">
        <f aca="false">IF(A871&lt;=36*25,"PRODUKSI","REJECT")</f>
        <v>PRODUKSI</v>
      </c>
      <c r="C871" s="0" t="n">
        <f aca="false">MOD(A871-1,Pemetaan!$B$3*Pemetaan!$B$4)</f>
        <v>869</v>
      </c>
      <c r="D871" s="0" t="n">
        <f aca="false">INT(C871/Pemetaan!$B$4)</f>
        <v>34</v>
      </c>
      <c r="E871" s="0" t="n">
        <f aca="false">MOD(C871,Pemetaan!$B$4)</f>
        <v>19</v>
      </c>
      <c r="F871" s="0" t="n">
        <f aca="false">IF(B871="PRODUKSI",Pemetaan!$B$5,Pemetaan!$B$6)</f>
        <v>5</v>
      </c>
      <c r="G871" s="0" t="n">
        <f aca="false">F871+2+D871</f>
        <v>41</v>
      </c>
      <c r="H871" s="0" t="n">
        <f aca="false">Pemetaan!$B$2+E871</f>
        <v>24</v>
      </c>
      <c r="I871" s="0" t="str">
        <f aca="false">INDEX(Laporan!$A$1:$AZ$300,G871,1)</f>
        <v>Mixing</v>
      </c>
      <c r="J871" s="0" t="str">
        <f aca="false">INDEX(Laporan!$A$1:$AZ$300,G871,2)</f>
        <v>1,5 L</v>
      </c>
      <c r="K871" s="0" t="str">
        <f aca="false">INDEX(Laporan!$A$1:$AZ$300,G871,3)</f>
        <v>Shift 2</v>
      </c>
      <c r="L871" s="0" t="n">
        <f aca="false">INDEX(Laporan!$A$1:$AZ$300,G871,4)</f>
        <v>2</v>
      </c>
      <c r="M871" s="1" t="n">
        <f aca="false">DATE(Pemetaan!$B$1,VALUE(RIGHT(INDEX(Laporan!$A$1:$AZ$300,F871+1,H871),2)),VALUE(LEFT(INDEX(Laporan!$A$1:$AZ$300,F871+1,H871),2)))</f>
        <v>46108</v>
      </c>
      <c r="N871" s="0" t="n">
        <f aca="false">INDEX(Laporan!$A$1:$AZ$300,G871,H871)</f>
        <v>1714</v>
      </c>
      <c r="O871" s="0" t="n">
        <f aca="false">IF(N871="","",IFERROR(VALUE(SUBSTITUTE(SUBSTITUTE(N871," btl",""),".","")),""))</f>
        <v>1714</v>
      </c>
      <c r="P871" s="0" t="str">
        <f aca="false">IF(B871="PRODUKSI","produced","reject")</f>
        <v>produced</v>
      </c>
    </row>
    <row r="872" customFormat="false" ht="15" hidden="false" customHeight="false" outlineLevel="0" collapsed="false">
      <c r="A872" s="0" t="n">
        <v>871</v>
      </c>
      <c r="B872" s="0" t="str">
        <f aca="false">IF(A872&lt;=36*25,"PRODUKSI","REJECT")</f>
        <v>PRODUKSI</v>
      </c>
      <c r="C872" s="0" t="n">
        <f aca="false">MOD(A872-1,Pemetaan!$B$3*Pemetaan!$B$4)</f>
        <v>870</v>
      </c>
      <c r="D872" s="0" t="n">
        <f aca="false">INT(C872/Pemetaan!$B$4)</f>
        <v>34</v>
      </c>
      <c r="E872" s="0" t="n">
        <f aca="false">MOD(C872,Pemetaan!$B$4)</f>
        <v>20</v>
      </c>
      <c r="F872" s="0" t="n">
        <f aca="false">IF(B872="PRODUKSI",Pemetaan!$B$5,Pemetaan!$B$6)</f>
        <v>5</v>
      </c>
      <c r="G872" s="0" t="n">
        <f aca="false">F872+2+D872</f>
        <v>41</v>
      </c>
      <c r="H872" s="0" t="n">
        <f aca="false">Pemetaan!$B$2+E872</f>
        <v>25</v>
      </c>
      <c r="I872" s="0" t="str">
        <f aca="false">INDEX(Laporan!$A$1:$AZ$300,G872,1)</f>
        <v>Mixing</v>
      </c>
      <c r="J872" s="0" t="str">
        <f aca="false">INDEX(Laporan!$A$1:$AZ$300,G872,2)</f>
        <v>1,5 L</v>
      </c>
      <c r="K872" s="0" t="str">
        <f aca="false">INDEX(Laporan!$A$1:$AZ$300,G872,3)</f>
        <v>Shift 2</v>
      </c>
      <c r="L872" s="0" t="n">
        <f aca="false">INDEX(Laporan!$A$1:$AZ$300,G872,4)</f>
        <v>2</v>
      </c>
      <c r="M872" s="1" t="n">
        <f aca="false">DATE(Pemetaan!$B$1,VALUE(RIGHT(INDEX(Laporan!$A$1:$AZ$300,F872+1,H872),2)),VALUE(LEFT(INDEX(Laporan!$A$1:$AZ$300,F872+1,H872),2)))</f>
        <v>46111</v>
      </c>
      <c r="N872" s="0" t="n">
        <f aca="false">INDEX(Laporan!$A$1:$AZ$300,G872,H872)</f>
        <v>1497</v>
      </c>
      <c r="O872" s="0" t="n">
        <f aca="false">IF(N872="","",IFERROR(VALUE(SUBSTITUTE(SUBSTITUTE(N872," btl",""),".","")),""))</f>
        <v>1497</v>
      </c>
      <c r="P872" s="0" t="str">
        <f aca="false">IF(B872="PRODUKSI","produced","reject")</f>
        <v>produced</v>
      </c>
    </row>
    <row r="873" customFormat="false" ht="15" hidden="false" customHeight="false" outlineLevel="0" collapsed="false">
      <c r="A873" s="0" t="n">
        <v>872</v>
      </c>
      <c r="B873" s="0" t="str">
        <f aca="false">IF(A873&lt;=36*25,"PRODUKSI","REJECT")</f>
        <v>PRODUKSI</v>
      </c>
      <c r="C873" s="0" t="n">
        <f aca="false">MOD(A873-1,Pemetaan!$B$3*Pemetaan!$B$4)</f>
        <v>871</v>
      </c>
      <c r="D873" s="0" t="n">
        <f aca="false">INT(C873/Pemetaan!$B$4)</f>
        <v>34</v>
      </c>
      <c r="E873" s="0" t="n">
        <f aca="false">MOD(C873,Pemetaan!$B$4)</f>
        <v>21</v>
      </c>
      <c r="F873" s="0" t="n">
        <f aca="false">IF(B873="PRODUKSI",Pemetaan!$B$5,Pemetaan!$B$6)</f>
        <v>5</v>
      </c>
      <c r="G873" s="0" t="n">
        <f aca="false">F873+2+D873</f>
        <v>41</v>
      </c>
      <c r="H873" s="0" t="n">
        <f aca="false">Pemetaan!$B$2+E873</f>
        <v>26</v>
      </c>
      <c r="I873" s="0" t="str">
        <f aca="false">INDEX(Laporan!$A$1:$AZ$300,G873,1)</f>
        <v>Mixing</v>
      </c>
      <c r="J873" s="0" t="str">
        <f aca="false">INDEX(Laporan!$A$1:$AZ$300,G873,2)</f>
        <v>1,5 L</v>
      </c>
      <c r="K873" s="0" t="str">
        <f aca="false">INDEX(Laporan!$A$1:$AZ$300,G873,3)</f>
        <v>Shift 2</v>
      </c>
      <c r="L873" s="0" t="n">
        <f aca="false">INDEX(Laporan!$A$1:$AZ$300,G873,4)</f>
        <v>2</v>
      </c>
      <c r="M873" s="1" t="n">
        <f aca="false">DATE(Pemetaan!$B$1,VALUE(RIGHT(INDEX(Laporan!$A$1:$AZ$300,F873+1,H873),2)),VALUE(LEFT(INDEX(Laporan!$A$1:$AZ$300,F873+1,H873),2)))</f>
        <v>46112</v>
      </c>
      <c r="N873" s="0" t="n">
        <f aca="false">INDEX(Laporan!$A$1:$AZ$300,G873,H873)</f>
        <v>1656</v>
      </c>
      <c r="O873" s="0" t="n">
        <f aca="false">IF(N873="","",IFERROR(VALUE(SUBSTITUTE(SUBSTITUTE(N873," btl",""),".","")),""))</f>
        <v>1656</v>
      </c>
      <c r="P873" s="0" t="str">
        <f aca="false">IF(B873="PRODUKSI","produced","reject")</f>
        <v>produced</v>
      </c>
    </row>
    <row r="874" customFormat="false" ht="15" hidden="false" customHeight="false" outlineLevel="0" collapsed="false">
      <c r="A874" s="0" t="n">
        <v>873</v>
      </c>
      <c r="B874" s="0" t="str">
        <f aca="false">IF(A874&lt;=36*25,"PRODUKSI","REJECT")</f>
        <v>PRODUKSI</v>
      </c>
      <c r="C874" s="0" t="n">
        <f aca="false">MOD(A874-1,Pemetaan!$B$3*Pemetaan!$B$4)</f>
        <v>872</v>
      </c>
      <c r="D874" s="0" t="n">
        <f aca="false">INT(C874/Pemetaan!$B$4)</f>
        <v>34</v>
      </c>
      <c r="E874" s="0" t="n">
        <f aca="false">MOD(C874,Pemetaan!$B$4)</f>
        <v>22</v>
      </c>
      <c r="F874" s="0" t="n">
        <f aca="false">IF(B874="PRODUKSI",Pemetaan!$B$5,Pemetaan!$B$6)</f>
        <v>5</v>
      </c>
      <c r="G874" s="0" t="n">
        <f aca="false">F874+2+D874</f>
        <v>41</v>
      </c>
      <c r="H874" s="0" t="n">
        <f aca="false">Pemetaan!$B$2+E874</f>
        <v>27</v>
      </c>
      <c r="I874" s="0" t="str">
        <f aca="false">INDEX(Laporan!$A$1:$AZ$300,G874,1)</f>
        <v>Mixing</v>
      </c>
      <c r="J874" s="0" t="str">
        <f aca="false">INDEX(Laporan!$A$1:$AZ$300,G874,2)</f>
        <v>1,5 L</v>
      </c>
      <c r="K874" s="0" t="str">
        <f aca="false">INDEX(Laporan!$A$1:$AZ$300,G874,3)</f>
        <v>Shift 2</v>
      </c>
      <c r="L874" s="0" t="n">
        <f aca="false">INDEX(Laporan!$A$1:$AZ$300,G874,4)</f>
        <v>2</v>
      </c>
      <c r="M874" s="1" t="n">
        <f aca="false">DATE(Pemetaan!$B$1,VALUE(RIGHT(INDEX(Laporan!$A$1:$AZ$300,F874+1,H874),2)),VALUE(LEFT(INDEX(Laporan!$A$1:$AZ$300,F874+1,H874),2)))</f>
        <v>46113</v>
      </c>
      <c r="N874" s="0" t="n">
        <f aca="false">INDEX(Laporan!$A$1:$AZ$300,G874,H874)</f>
        <v>1575</v>
      </c>
      <c r="O874" s="0" t="n">
        <f aca="false">IF(N874="","",IFERROR(VALUE(SUBSTITUTE(SUBSTITUTE(N874," btl",""),".","")),""))</f>
        <v>1575</v>
      </c>
      <c r="P874" s="0" t="str">
        <f aca="false">IF(B874="PRODUKSI","produced","reject")</f>
        <v>produced</v>
      </c>
    </row>
    <row r="875" customFormat="false" ht="15" hidden="false" customHeight="false" outlineLevel="0" collapsed="false">
      <c r="A875" s="0" t="n">
        <v>874</v>
      </c>
      <c r="B875" s="0" t="str">
        <f aca="false">IF(A875&lt;=36*25,"PRODUKSI","REJECT")</f>
        <v>PRODUKSI</v>
      </c>
      <c r="C875" s="0" t="n">
        <f aca="false">MOD(A875-1,Pemetaan!$B$3*Pemetaan!$B$4)</f>
        <v>873</v>
      </c>
      <c r="D875" s="0" t="n">
        <f aca="false">INT(C875/Pemetaan!$B$4)</f>
        <v>34</v>
      </c>
      <c r="E875" s="0" t="n">
        <f aca="false">MOD(C875,Pemetaan!$B$4)</f>
        <v>23</v>
      </c>
      <c r="F875" s="0" t="n">
        <f aca="false">IF(B875="PRODUKSI",Pemetaan!$B$5,Pemetaan!$B$6)</f>
        <v>5</v>
      </c>
      <c r="G875" s="0" t="n">
        <f aca="false">F875+2+D875</f>
        <v>41</v>
      </c>
      <c r="H875" s="0" t="n">
        <f aca="false">Pemetaan!$B$2+E875</f>
        <v>28</v>
      </c>
      <c r="I875" s="0" t="str">
        <f aca="false">INDEX(Laporan!$A$1:$AZ$300,G875,1)</f>
        <v>Mixing</v>
      </c>
      <c r="J875" s="0" t="str">
        <f aca="false">INDEX(Laporan!$A$1:$AZ$300,G875,2)</f>
        <v>1,5 L</v>
      </c>
      <c r="K875" s="0" t="str">
        <f aca="false">INDEX(Laporan!$A$1:$AZ$300,G875,3)</f>
        <v>Shift 2</v>
      </c>
      <c r="L875" s="0" t="n">
        <f aca="false">INDEX(Laporan!$A$1:$AZ$300,G875,4)</f>
        <v>2</v>
      </c>
      <c r="M875" s="1" t="n">
        <f aca="false">DATE(Pemetaan!$B$1,VALUE(RIGHT(INDEX(Laporan!$A$1:$AZ$300,F875+1,H875),2)),VALUE(LEFT(INDEX(Laporan!$A$1:$AZ$300,F875+1,H875),2)))</f>
        <v>46114</v>
      </c>
      <c r="N875" s="0" t="n">
        <f aca="false">INDEX(Laporan!$A$1:$AZ$300,G875,H875)</f>
        <v>1449</v>
      </c>
      <c r="O875" s="0" t="n">
        <f aca="false">IF(N875="","",IFERROR(VALUE(SUBSTITUTE(SUBSTITUTE(N875," btl",""),".","")),""))</f>
        <v>1449</v>
      </c>
      <c r="P875" s="0" t="str">
        <f aca="false">IF(B875="PRODUKSI","produced","reject")</f>
        <v>produced</v>
      </c>
    </row>
    <row r="876" customFormat="false" ht="15" hidden="false" customHeight="false" outlineLevel="0" collapsed="false">
      <c r="A876" s="0" t="n">
        <v>875</v>
      </c>
      <c r="B876" s="0" t="str">
        <f aca="false">IF(A876&lt;=36*25,"PRODUKSI","REJECT")</f>
        <v>PRODUKSI</v>
      </c>
      <c r="C876" s="0" t="n">
        <f aca="false">MOD(A876-1,Pemetaan!$B$3*Pemetaan!$B$4)</f>
        <v>874</v>
      </c>
      <c r="D876" s="0" t="n">
        <f aca="false">INT(C876/Pemetaan!$B$4)</f>
        <v>34</v>
      </c>
      <c r="E876" s="0" t="n">
        <f aca="false">MOD(C876,Pemetaan!$B$4)</f>
        <v>24</v>
      </c>
      <c r="F876" s="0" t="n">
        <f aca="false">IF(B876="PRODUKSI",Pemetaan!$B$5,Pemetaan!$B$6)</f>
        <v>5</v>
      </c>
      <c r="G876" s="0" t="n">
        <f aca="false">F876+2+D876</f>
        <v>41</v>
      </c>
      <c r="H876" s="0" t="n">
        <f aca="false">Pemetaan!$B$2+E876</f>
        <v>29</v>
      </c>
      <c r="I876" s="0" t="str">
        <f aca="false">INDEX(Laporan!$A$1:$AZ$300,G876,1)</f>
        <v>Mixing</v>
      </c>
      <c r="J876" s="0" t="str">
        <f aca="false">INDEX(Laporan!$A$1:$AZ$300,G876,2)</f>
        <v>1,5 L</v>
      </c>
      <c r="K876" s="0" t="str">
        <f aca="false">INDEX(Laporan!$A$1:$AZ$300,G876,3)</f>
        <v>Shift 2</v>
      </c>
      <c r="L876" s="0" t="n">
        <f aca="false">INDEX(Laporan!$A$1:$AZ$300,G876,4)</f>
        <v>2</v>
      </c>
      <c r="M876" s="1" t="n">
        <f aca="false">DATE(Pemetaan!$B$1,VALUE(RIGHT(INDEX(Laporan!$A$1:$AZ$300,F876+1,H876),2)),VALUE(LEFT(INDEX(Laporan!$A$1:$AZ$300,F876+1,H876),2)))</f>
        <v>46115</v>
      </c>
      <c r="N876" s="0" t="n">
        <f aca="false">INDEX(Laporan!$A$1:$AZ$300,G876,H876)</f>
        <v>1417</v>
      </c>
      <c r="O876" s="0" t="n">
        <f aca="false">IF(N876="","",IFERROR(VALUE(SUBSTITUTE(SUBSTITUTE(N876," btl",""),".","")),""))</f>
        <v>1417</v>
      </c>
      <c r="P876" s="0" t="str">
        <f aca="false">IF(B876="PRODUKSI","produced","reject")</f>
        <v>produced</v>
      </c>
    </row>
    <row r="877" customFormat="false" ht="15" hidden="false" customHeight="false" outlineLevel="0" collapsed="false">
      <c r="A877" s="0" t="n">
        <v>876</v>
      </c>
      <c r="B877" s="0" t="str">
        <f aca="false">IF(A877&lt;=36*25,"PRODUKSI","REJECT")</f>
        <v>PRODUKSI</v>
      </c>
      <c r="C877" s="0" t="n">
        <f aca="false">MOD(A877-1,Pemetaan!$B$3*Pemetaan!$B$4)</f>
        <v>875</v>
      </c>
      <c r="D877" s="0" t="n">
        <f aca="false">INT(C877/Pemetaan!$B$4)</f>
        <v>35</v>
      </c>
      <c r="E877" s="0" t="n">
        <f aca="false">MOD(C877,Pemetaan!$B$4)</f>
        <v>0</v>
      </c>
      <c r="F877" s="0" t="n">
        <f aca="false">IF(B877="PRODUKSI",Pemetaan!$B$5,Pemetaan!$B$6)</f>
        <v>5</v>
      </c>
      <c r="G877" s="0" t="n">
        <f aca="false">F877+2+D877</f>
        <v>42</v>
      </c>
      <c r="H877" s="0" t="n">
        <f aca="false">Pemetaan!$B$2+E877</f>
        <v>5</v>
      </c>
      <c r="I877" s="0" t="str">
        <f aca="false">INDEX(Laporan!$A$1:$AZ$300,G877,1)</f>
        <v>Mixing</v>
      </c>
      <c r="J877" s="0" t="str">
        <f aca="false">INDEX(Laporan!$A$1:$AZ$300,G877,2)</f>
        <v>1,5 L</v>
      </c>
      <c r="K877" s="0" t="str">
        <f aca="false">INDEX(Laporan!$A$1:$AZ$300,G877,3)</f>
        <v>Shift 2</v>
      </c>
      <c r="L877" s="0" t="n">
        <f aca="false">INDEX(Laporan!$A$1:$AZ$300,G877,4)</f>
        <v>3</v>
      </c>
      <c r="M877" s="1" t="n">
        <f aca="false">DATE(Pemetaan!$B$1,VALUE(RIGHT(INDEX(Laporan!$A$1:$AZ$300,F877+1,H877),2)),VALUE(LEFT(INDEX(Laporan!$A$1:$AZ$300,F877+1,H877),2)))</f>
        <v>46083</v>
      </c>
      <c r="N877" s="0" t="n">
        <f aca="false">INDEX(Laporan!$A$1:$AZ$300,G877,H877)</f>
        <v>1508</v>
      </c>
      <c r="O877" s="0" t="n">
        <f aca="false">IF(N877="","",IFERROR(VALUE(SUBSTITUTE(SUBSTITUTE(N877," btl",""),".","")),""))</f>
        <v>1508</v>
      </c>
      <c r="P877" s="0" t="str">
        <f aca="false">IF(B877="PRODUKSI","produced","reject")</f>
        <v>produced</v>
      </c>
    </row>
    <row r="878" customFormat="false" ht="15" hidden="false" customHeight="false" outlineLevel="0" collapsed="false">
      <c r="A878" s="0" t="n">
        <v>877</v>
      </c>
      <c r="B878" s="0" t="str">
        <f aca="false">IF(A878&lt;=36*25,"PRODUKSI","REJECT")</f>
        <v>PRODUKSI</v>
      </c>
      <c r="C878" s="0" t="n">
        <f aca="false">MOD(A878-1,Pemetaan!$B$3*Pemetaan!$B$4)</f>
        <v>876</v>
      </c>
      <c r="D878" s="0" t="n">
        <f aca="false">INT(C878/Pemetaan!$B$4)</f>
        <v>35</v>
      </c>
      <c r="E878" s="0" t="n">
        <f aca="false">MOD(C878,Pemetaan!$B$4)</f>
        <v>1</v>
      </c>
      <c r="F878" s="0" t="n">
        <f aca="false">IF(B878="PRODUKSI",Pemetaan!$B$5,Pemetaan!$B$6)</f>
        <v>5</v>
      </c>
      <c r="G878" s="0" t="n">
        <f aca="false">F878+2+D878</f>
        <v>42</v>
      </c>
      <c r="H878" s="0" t="n">
        <f aca="false">Pemetaan!$B$2+E878</f>
        <v>6</v>
      </c>
      <c r="I878" s="0" t="str">
        <f aca="false">INDEX(Laporan!$A$1:$AZ$300,G878,1)</f>
        <v>Mixing</v>
      </c>
      <c r="J878" s="0" t="str">
        <f aca="false">INDEX(Laporan!$A$1:$AZ$300,G878,2)</f>
        <v>1,5 L</v>
      </c>
      <c r="K878" s="0" t="str">
        <f aca="false">INDEX(Laporan!$A$1:$AZ$300,G878,3)</f>
        <v>Shift 2</v>
      </c>
      <c r="L878" s="0" t="n">
        <f aca="false">INDEX(Laporan!$A$1:$AZ$300,G878,4)</f>
        <v>3</v>
      </c>
      <c r="M878" s="1" t="n">
        <f aca="false">DATE(Pemetaan!$B$1,VALUE(RIGHT(INDEX(Laporan!$A$1:$AZ$300,F878+1,H878),2)),VALUE(LEFT(INDEX(Laporan!$A$1:$AZ$300,F878+1,H878),2)))</f>
        <v>46084</v>
      </c>
      <c r="N878" s="0" t="n">
        <f aca="false">INDEX(Laporan!$A$1:$AZ$300,G878,H878)</f>
        <v>1315</v>
      </c>
      <c r="O878" s="0" t="n">
        <f aca="false">IF(N878="","",IFERROR(VALUE(SUBSTITUTE(SUBSTITUTE(N878," btl",""),".","")),""))</f>
        <v>1315</v>
      </c>
      <c r="P878" s="0" t="str">
        <f aca="false">IF(B878="PRODUKSI","produced","reject")</f>
        <v>produced</v>
      </c>
    </row>
    <row r="879" customFormat="false" ht="15" hidden="false" customHeight="false" outlineLevel="0" collapsed="false">
      <c r="A879" s="0" t="n">
        <v>878</v>
      </c>
      <c r="B879" s="0" t="str">
        <f aca="false">IF(A879&lt;=36*25,"PRODUKSI","REJECT")</f>
        <v>PRODUKSI</v>
      </c>
      <c r="C879" s="0" t="n">
        <f aca="false">MOD(A879-1,Pemetaan!$B$3*Pemetaan!$B$4)</f>
        <v>877</v>
      </c>
      <c r="D879" s="0" t="n">
        <f aca="false">INT(C879/Pemetaan!$B$4)</f>
        <v>35</v>
      </c>
      <c r="E879" s="0" t="n">
        <f aca="false">MOD(C879,Pemetaan!$B$4)</f>
        <v>2</v>
      </c>
      <c r="F879" s="0" t="n">
        <f aca="false">IF(B879="PRODUKSI",Pemetaan!$B$5,Pemetaan!$B$6)</f>
        <v>5</v>
      </c>
      <c r="G879" s="0" t="n">
        <f aca="false">F879+2+D879</f>
        <v>42</v>
      </c>
      <c r="H879" s="0" t="n">
        <f aca="false">Pemetaan!$B$2+E879</f>
        <v>7</v>
      </c>
      <c r="I879" s="0" t="str">
        <f aca="false">INDEX(Laporan!$A$1:$AZ$300,G879,1)</f>
        <v>Mixing</v>
      </c>
      <c r="J879" s="0" t="str">
        <f aca="false">INDEX(Laporan!$A$1:$AZ$300,G879,2)</f>
        <v>1,5 L</v>
      </c>
      <c r="K879" s="0" t="str">
        <f aca="false">INDEX(Laporan!$A$1:$AZ$300,G879,3)</f>
        <v>Shift 2</v>
      </c>
      <c r="L879" s="0" t="n">
        <f aca="false">INDEX(Laporan!$A$1:$AZ$300,G879,4)</f>
        <v>3</v>
      </c>
      <c r="M879" s="1" t="n">
        <f aca="false">DATE(Pemetaan!$B$1,VALUE(RIGHT(INDEX(Laporan!$A$1:$AZ$300,F879+1,H879),2)),VALUE(LEFT(INDEX(Laporan!$A$1:$AZ$300,F879+1,H879),2)))</f>
        <v>46085</v>
      </c>
      <c r="N879" s="0" t="n">
        <f aca="false">INDEX(Laporan!$A$1:$AZ$300,G879,H879)</f>
        <v>1582</v>
      </c>
      <c r="O879" s="0" t="n">
        <f aca="false">IF(N879="","",IFERROR(VALUE(SUBSTITUTE(SUBSTITUTE(N879," btl",""),".","")),""))</f>
        <v>1582</v>
      </c>
      <c r="P879" s="0" t="str">
        <f aca="false">IF(B879="PRODUKSI","produced","reject")</f>
        <v>produced</v>
      </c>
    </row>
    <row r="880" customFormat="false" ht="15" hidden="false" customHeight="false" outlineLevel="0" collapsed="false">
      <c r="A880" s="0" t="n">
        <v>879</v>
      </c>
      <c r="B880" s="0" t="str">
        <f aca="false">IF(A880&lt;=36*25,"PRODUKSI","REJECT")</f>
        <v>PRODUKSI</v>
      </c>
      <c r="C880" s="0" t="n">
        <f aca="false">MOD(A880-1,Pemetaan!$B$3*Pemetaan!$B$4)</f>
        <v>878</v>
      </c>
      <c r="D880" s="0" t="n">
        <f aca="false">INT(C880/Pemetaan!$B$4)</f>
        <v>35</v>
      </c>
      <c r="E880" s="0" t="n">
        <f aca="false">MOD(C880,Pemetaan!$B$4)</f>
        <v>3</v>
      </c>
      <c r="F880" s="0" t="n">
        <f aca="false">IF(B880="PRODUKSI",Pemetaan!$B$5,Pemetaan!$B$6)</f>
        <v>5</v>
      </c>
      <c r="G880" s="0" t="n">
        <f aca="false">F880+2+D880</f>
        <v>42</v>
      </c>
      <c r="H880" s="0" t="n">
        <f aca="false">Pemetaan!$B$2+E880</f>
        <v>8</v>
      </c>
      <c r="I880" s="0" t="str">
        <f aca="false">INDEX(Laporan!$A$1:$AZ$300,G880,1)</f>
        <v>Mixing</v>
      </c>
      <c r="J880" s="0" t="str">
        <f aca="false">INDEX(Laporan!$A$1:$AZ$300,G880,2)</f>
        <v>1,5 L</v>
      </c>
      <c r="K880" s="0" t="str">
        <f aca="false">INDEX(Laporan!$A$1:$AZ$300,G880,3)</f>
        <v>Shift 2</v>
      </c>
      <c r="L880" s="0" t="n">
        <f aca="false">INDEX(Laporan!$A$1:$AZ$300,G880,4)</f>
        <v>3</v>
      </c>
      <c r="M880" s="1" t="n">
        <f aca="false">DATE(Pemetaan!$B$1,VALUE(RIGHT(INDEX(Laporan!$A$1:$AZ$300,F880+1,H880),2)),VALUE(LEFT(INDEX(Laporan!$A$1:$AZ$300,F880+1,H880),2)))</f>
        <v>46086</v>
      </c>
      <c r="N880" s="0" t="n">
        <f aca="false">INDEX(Laporan!$A$1:$AZ$300,G880,H880)</f>
        <v>1474</v>
      </c>
      <c r="O880" s="0" t="n">
        <f aca="false">IF(N880="","",IFERROR(VALUE(SUBSTITUTE(SUBSTITUTE(N880," btl",""),".","")),""))</f>
        <v>1474</v>
      </c>
      <c r="P880" s="0" t="str">
        <f aca="false">IF(B880="PRODUKSI","produced","reject")</f>
        <v>produced</v>
      </c>
    </row>
    <row r="881" customFormat="false" ht="15" hidden="false" customHeight="false" outlineLevel="0" collapsed="false">
      <c r="A881" s="0" t="n">
        <v>880</v>
      </c>
      <c r="B881" s="0" t="str">
        <f aca="false">IF(A881&lt;=36*25,"PRODUKSI","REJECT")</f>
        <v>PRODUKSI</v>
      </c>
      <c r="C881" s="0" t="n">
        <f aca="false">MOD(A881-1,Pemetaan!$B$3*Pemetaan!$B$4)</f>
        <v>879</v>
      </c>
      <c r="D881" s="0" t="n">
        <f aca="false">INT(C881/Pemetaan!$B$4)</f>
        <v>35</v>
      </c>
      <c r="E881" s="0" t="n">
        <f aca="false">MOD(C881,Pemetaan!$B$4)</f>
        <v>4</v>
      </c>
      <c r="F881" s="0" t="n">
        <f aca="false">IF(B881="PRODUKSI",Pemetaan!$B$5,Pemetaan!$B$6)</f>
        <v>5</v>
      </c>
      <c r="G881" s="0" t="n">
        <f aca="false">F881+2+D881</f>
        <v>42</v>
      </c>
      <c r="H881" s="0" t="n">
        <f aca="false">Pemetaan!$B$2+E881</f>
        <v>9</v>
      </c>
      <c r="I881" s="0" t="str">
        <f aca="false">INDEX(Laporan!$A$1:$AZ$300,G881,1)</f>
        <v>Mixing</v>
      </c>
      <c r="J881" s="0" t="str">
        <f aca="false">INDEX(Laporan!$A$1:$AZ$300,G881,2)</f>
        <v>1,5 L</v>
      </c>
      <c r="K881" s="0" t="str">
        <f aca="false">INDEX(Laporan!$A$1:$AZ$300,G881,3)</f>
        <v>Shift 2</v>
      </c>
      <c r="L881" s="0" t="n">
        <f aca="false">INDEX(Laporan!$A$1:$AZ$300,G881,4)</f>
        <v>3</v>
      </c>
      <c r="M881" s="1" t="n">
        <f aca="false">DATE(Pemetaan!$B$1,VALUE(RIGHT(INDEX(Laporan!$A$1:$AZ$300,F881+1,H881),2)),VALUE(LEFT(INDEX(Laporan!$A$1:$AZ$300,F881+1,H881),2)))</f>
        <v>46087</v>
      </c>
      <c r="N881" s="0" t="n">
        <f aca="false">INDEX(Laporan!$A$1:$AZ$300,G881,H881)</f>
        <v>1396</v>
      </c>
      <c r="O881" s="0" t="n">
        <f aca="false">IF(N881="","",IFERROR(VALUE(SUBSTITUTE(SUBSTITUTE(N881," btl",""),".","")),""))</f>
        <v>1396</v>
      </c>
      <c r="P881" s="0" t="str">
        <f aca="false">IF(B881="PRODUKSI","produced","reject")</f>
        <v>produced</v>
      </c>
    </row>
    <row r="882" customFormat="false" ht="15" hidden="false" customHeight="false" outlineLevel="0" collapsed="false">
      <c r="A882" s="0" t="n">
        <v>881</v>
      </c>
      <c r="B882" s="0" t="str">
        <f aca="false">IF(A882&lt;=36*25,"PRODUKSI","REJECT")</f>
        <v>PRODUKSI</v>
      </c>
      <c r="C882" s="0" t="n">
        <f aca="false">MOD(A882-1,Pemetaan!$B$3*Pemetaan!$B$4)</f>
        <v>880</v>
      </c>
      <c r="D882" s="0" t="n">
        <f aca="false">INT(C882/Pemetaan!$B$4)</f>
        <v>35</v>
      </c>
      <c r="E882" s="0" t="n">
        <f aca="false">MOD(C882,Pemetaan!$B$4)</f>
        <v>5</v>
      </c>
      <c r="F882" s="0" t="n">
        <f aca="false">IF(B882="PRODUKSI",Pemetaan!$B$5,Pemetaan!$B$6)</f>
        <v>5</v>
      </c>
      <c r="G882" s="0" t="n">
        <f aca="false">F882+2+D882</f>
        <v>42</v>
      </c>
      <c r="H882" s="0" t="n">
        <f aca="false">Pemetaan!$B$2+E882</f>
        <v>10</v>
      </c>
      <c r="I882" s="0" t="str">
        <f aca="false">INDEX(Laporan!$A$1:$AZ$300,G882,1)</f>
        <v>Mixing</v>
      </c>
      <c r="J882" s="0" t="str">
        <f aca="false">INDEX(Laporan!$A$1:$AZ$300,G882,2)</f>
        <v>1,5 L</v>
      </c>
      <c r="K882" s="0" t="str">
        <f aca="false">INDEX(Laporan!$A$1:$AZ$300,G882,3)</f>
        <v>Shift 2</v>
      </c>
      <c r="L882" s="0" t="n">
        <f aca="false">INDEX(Laporan!$A$1:$AZ$300,G882,4)</f>
        <v>3</v>
      </c>
      <c r="M882" s="1" t="n">
        <f aca="false">DATE(Pemetaan!$B$1,VALUE(RIGHT(INDEX(Laporan!$A$1:$AZ$300,F882+1,H882),2)),VALUE(LEFT(INDEX(Laporan!$A$1:$AZ$300,F882+1,H882),2)))</f>
        <v>46090</v>
      </c>
      <c r="N882" s="0" t="n">
        <f aca="false">INDEX(Laporan!$A$1:$AZ$300,G882,H882)</f>
        <v>1685</v>
      </c>
      <c r="O882" s="0" t="n">
        <f aca="false">IF(N882="","",IFERROR(VALUE(SUBSTITUTE(SUBSTITUTE(N882," btl",""),".","")),""))</f>
        <v>1685</v>
      </c>
      <c r="P882" s="0" t="str">
        <f aca="false">IF(B882="PRODUKSI","produced","reject")</f>
        <v>produced</v>
      </c>
    </row>
    <row r="883" customFormat="false" ht="15" hidden="false" customHeight="false" outlineLevel="0" collapsed="false">
      <c r="A883" s="0" t="n">
        <v>882</v>
      </c>
      <c r="B883" s="0" t="str">
        <f aca="false">IF(A883&lt;=36*25,"PRODUKSI","REJECT")</f>
        <v>PRODUKSI</v>
      </c>
      <c r="C883" s="0" t="n">
        <f aca="false">MOD(A883-1,Pemetaan!$B$3*Pemetaan!$B$4)</f>
        <v>881</v>
      </c>
      <c r="D883" s="0" t="n">
        <f aca="false">INT(C883/Pemetaan!$B$4)</f>
        <v>35</v>
      </c>
      <c r="E883" s="0" t="n">
        <f aca="false">MOD(C883,Pemetaan!$B$4)</f>
        <v>6</v>
      </c>
      <c r="F883" s="0" t="n">
        <f aca="false">IF(B883="PRODUKSI",Pemetaan!$B$5,Pemetaan!$B$6)</f>
        <v>5</v>
      </c>
      <c r="G883" s="0" t="n">
        <f aca="false">F883+2+D883</f>
        <v>42</v>
      </c>
      <c r="H883" s="0" t="n">
        <f aca="false">Pemetaan!$B$2+E883</f>
        <v>11</v>
      </c>
      <c r="I883" s="0" t="str">
        <f aca="false">INDEX(Laporan!$A$1:$AZ$300,G883,1)</f>
        <v>Mixing</v>
      </c>
      <c r="J883" s="0" t="str">
        <f aca="false">INDEX(Laporan!$A$1:$AZ$300,G883,2)</f>
        <v>1,5 L</v>
      </c>
      <c r="K883" s="0" t="str">
        <f aca="false">INDEX(Laporan!$A$1:$AZ$300,G883,3)</f>
        <v>Shift 2</v>
      </c>
      <c r="L883" s="0" t="n">
        <f aca="false">INDEX(Laporan!$A$1:$AZ$300,G883,4)</f>
        <v>3</v>
      </c>
      <c r="M883" s="1" t="n">
        <f aca="false">DATE(Pemetaan!$B$1,VALUE(RIGHT(INDEX(Laporan!$A$1:$AZ$300,F883+1,H883),2)),VALUE(LEFT(INDEX(Laporan!$A$1:$AZ$300,F883+1,H883),2)))</f>
        <v>46091</v>
      </c>
      <c r="N883" s="0" t="n">
        <f aca="false">INDEX(Laporan!$A$1:$AZ$300,G883,H883)</f>
        <v>1433</v>
      </c>
      <c r="O883" s="0" t="n">
        <f aca="false">IF(N883="","",IFERROR(VALUE(SUBSTITUTE(SUBSTITUTE(N883," btl",""),".","")),""))</f>
        <v>1433</v>
      </c>
      <c r="P883" s="0" t="str">
        <f aca="false">IF(B883="PRODUKSI","produced","reject")</f>
        <v>produced</v>
      </c>
    </row>
    <row r="884" customFormat="false" ht="15" hidden="false" customHeight="false" outlineLevel="0" collapsed="false">
      <c r="A884" s="0" t="n">
        <v>883</v>
      </c>
      <c r="B884" s="0" t="str">
        <f aca="false">IF(A884&lt;=36*25,"PRODUKSI","REJECT")</f>
        <v>PRODUKSI</v>
      </c>
      <c r="C884" s="0" t="n">
        <f aca="false">MOD(A884-1,Pemetaan!$B$3*Pemetaan!$B$4)</f>
        <v>882</v>
      </c>
      <c r="D884" s="0" t="n">
        <f aca="false">INT(C884/Pemetaan!$B$4)</f>
        <v>35</v>
      </c>
      <c r="E884" s="0" t="n">
        <f aca="false">MOD(C884,Pemetaan!$B$4)</f>
        <v>7</v>
      </c>
      <c r="F884" s="0" t="n">
        <f aca="false">IF(B884="PRODUKSI",Pemetaan!$B$5,Pemetaan!$B$6)</f>
        <v>5</v>
      </c>
      <c r="G884" s="0" t="n">
        <f aca="false">F884+2+D884</f>
        <v>42</v>
      </c>
      <c r="H884" s="0" t="n">
        <f aca="false">Pemetaan!$B$2+E884</f>
        <v>12</v>
      </c>
      <c r="I884" s="0" t="str">
        <f aca="false">INDEX(Laporan!$A$1:$AZ$300,G884,1)</f>
        <v>Mixing</v>
      </c>
      <c r="J884" s="0" t="str">
        <f aca="false">INDEX(Laporan!$A$1:$AZ$300,G884,2)</f>
        <v>1,5 L</v>
      </c>
      <c r="K884" s="0" t="str">
        <f aca="false">INDEX(Laporan!$A$1:$AZ$300,G884,3)</f>
        <v>Shift 2</v>
      </c>
      <c r="L884" s="0" t="n">
        <f aca="false">INDEX(Laporan!$A$1:$AZ$300,G884,4)</f>
        <v>3</v>
      </c>
      <c r="M884" s="1" t="n">
        <f aca="false">DATE(Pemetaan!$B$1,VALUE(RIGHT(INDEX(Laporan!$A$1:$AZ$300,F884+1,H884),2)),VALUE(LEFT(INDEX(Laporan!$A$1:$AZ$300,F884+1,H884),2)))</f>
        <v>46092</v>
      </c>
      <c r="N884" s="0" t="n">
        <f aca="false">INDEX(Laporan!$A$1:$AZ$300,G884,H884)</f>
        <v>1651</v>
      </c>
      <c r="O884" s="0" t="n">
        <f aca="false">IF(N884="","",IFERROR(VALUE(SUBSTITUTE(SUBSTITUTE(N884," btl",""),".","")),""))</f>
        <v>1651</v>
      </c>
      <c r="P884" s="0" t="str">
        <f aca="false">IF(B884="PRODUKSI","produced","reject")</f>
        <v>produced</v>
      </c>
    </row>
    <row r="885" customFormat="false" ht="15" hidden="false" customHeight="false" outlineLevel="0" collapsed="false">
      <c r="A885" s="0" t="n">
        <v>884</v>
      </c>
      <c r="B885" s="0" t="str">
        <f aca="false">IF(A885&lt;=36*25,"PRODUKSI","REJECT")</f>
        <v>PRODUKSI</v>
      </c>
      <c r="C885" s="0" t="n">
        <f aca="false">MOD(A885-1,Pemetaan!$B$3*Pemetaan!$B$4)</f>
        <v>883</v>
      </c>
      <c r="D885" s="0" t="n">
        <f aca="false">INT(C885/Pemetaan!$B$4)</f>
        <v>35</v>
      </c>
      <c r="E885" s="0" t="n">
        <f aca="false">MOD(C885,Pemetaan!$B$4)</f>
        <v>8</v>
      </c>
      <c r="F885" s="0" t="n">
        <f aca="false">IF(B885="PRODUKSI",Pemetaan!$B$5,Pemetaan!$B$6)</f>
        <v>5</v>
      </c>
      <c r="G885" s="0" t="n">
        <f aca="false">F885+2+D885</f>
        <v>42</v>
      </c>
      <c r="H885" s="0" t="n">
        <f aca="false">Pemetaan!$B$2+E885</f>
        <v>13</v>
      </c>
      <c r="I885" s="0" t="str">
        <f aca="false">INDEX(Laporan!$A$1:$AZ$300,G885,1)</f>
        <v>Mixing</v>
      </c>
      <c r="J885" s="0" t="str">
        <f aca="false">INDEX(Laporan!$A$1:$AZ$300,G885,2)</f>
        <v>1,5 L</v>
      </c>
      <c r="K885" s="0" t="str">
        <f aca="false">INDEX(Laporan!$A$1:$AZ$300,G885,3)</f>
        <v>Shift 2</v>
      </c>
      <c r="L885" s="0" t="n">
        <f aca="false">INDEX(Laporan!$A$1:$AZ$300,G885,4)</f>
        <v>3</v>
      </c>
      <c r="M885" s="1" t="n">
        <f aca="false">DATE(Pemetaan!$B$1,VALUE(RIGHT(INDEX(Laporan!$A$1:$AZ$300,F885+1,H885),2)),VALUE(LEFT(INDEX(Laporan!$A$1:$AZ$300,F885+1,H885),2)))</f>
        <v>46093</v>
      </c>
      <c r="N885" s="0" t="n">
        <f aca="false">INDEX(Laporan!$A$1:$AZ$300,G885,H885)</f>
        <v>1352</v>
      </c>
      <c r="O885" s="0" t="n">
        <f aca="false">IF(N885="","",IFERROR(VALUE(SUBSTITUTE(SUBSTITUTE(N885," btl",""),".","")),""))</f>
        <v>1352</v>
      </c>
      <c r="P885" s="0" t="str">
        <f aca="false">IF(B885="PRODUKSI","produced","reject")</f>
        <v>produced</v>
      </c>
    </row>
    <row r="886" customFormat="false" ht="15" hidden="false" customHeight="false" outlineLevel="0" collapsed="false">
      <c r="A886" s="0" t="n">
        <v>885</v>
      </c>
      <c r="B886" s="0" t="str">
        <f aca="false">IF(A886&lt;=36*25,"PRODUKSI","REJECT")</f>
        <v>PRODUKSI</v>
      </c>
      <c r="C886" s="0" t="n">
        <f aca="false">MOD(A886-1,Pemetaan!$B$3*Pemetaan!$B$4)</f>
        <v>884</v>
      </c>
      <c r="D886" s="0" t="n">
        <f aca="false">INT(C886/Pemetaan!$B$4)</f>
        <v>35</v>
      </c>
      <c r="E886" s="0" t="n">
        <f aca="false">MOD(C886,Pemetaan!$B$4)</f>
        <v>9</v>
      </c>
      <c r="F886" s="0" t="n">
        <f aca="false">IF(B886="PRODUKSI",Pemetaan!$B$5,Pemetaan!$B$6)</f>
        <v>5</v>
      </c>
      <c r="G886" s="0" t="n">
        <f aca="false">F886+2+D886</f>
        <v>42</v>
      </c>
      <c r="H886" s="0" t="n">
        <f aca="false">Pemetaan!$B$2+E886</f>
        <v>14</v>
      </c>
      <c r="I886" s="0" t="str">
        <f aca="false">INDEX(Laporan!$A$1:$AZ$300,G886,1)</f>
        <v>Mixing</v>
      </c>
      <c r="J886" s="0" t="str">
        <f aca="false">INDEX(Laporan!$A$1:$AZ$300,G886,2)</f>
        <v>1,5 L</v>
      </c>
      <c r="K886" s="0" t="str">
        <f aca="false">INDEX(Laporan!$A$1:$AZ$300,G886,3)</f>
        <v>Shift 2</v>
      </c>
      <c r="L886" s="0" t="n">
        <f aca="false">INDEX(Laporan!$A$1:$AZ$300,G886,4)</f>
        <v>3</v>
      </c>
      <c r="M886" s="1" t="n">
        <f aca="false">DATE(Pemetaan!$B$1,VALUE(RIGHT(INDEX(Laporan!$A$1:$AZ$300,F886+1,H886),2)),VALUE(LEFT(INDEX(Laporan!$A$1:$AZ$300,F886+1,H886),2)))</f>
        <v>46094</v>
      </c>
      <c r="N886" s="0" t="n">
        <f aca="false">INDEX(Laporan!$A$1:$AZ$300,G886,H886)</f>
        <v>1299</v>
      </c>
      <c r="O886" s="0" t="n">
        <f aca="false">IF(N886="","",IFERROR(VALUE(SUBSTITUTE(SUBSTITUTE(N886," btl",""),".","")),""))</f>
        <v>1299</v>
      </c>
      <c r="P886" s="0" t="str">
        <f aca="false">IF(B886="PRODUKSI","produced","reject")</f>
        <v>produced</v>
      </c>
    </row>
    <row r="887" customFormat="false" ht="15" hidden="false" customHeight="false" outlineLevel="0" collapsed="false">
      <c r="A887" s="0" t="n">
        <v>886</v>
      </c>
      <c r="B887" s="0" t="str">
        <f aca="false">IF(A887&lt;=36*25,"PRODUKSI","REJECT")</f>
        <v>PRODUKSI</v>
      </c>
      <c r="C887" s="0" t="n">
        <f aca="false">MOD(A887-1,Pemetaan!$B$3*Pemetaan!$B$4)</f>
        <v>885</v>
      </c>
      <c r="D887" s="0" t="n">
        <f aca="false">INT(C887/Pemetaan!$B$4)</f>
        <v>35</v>
      </c>
      <c r="E887" s="0" t="n">
        <f aca="false">MOD(C887,Pemetaan!$B$4)</f>
        <v>10</v>
      </c>
      <c r="F887" s="0" t="n">
        <f aca="false">IF(B887="PRODUKSI",Pemetaan!$B$5,Pemetaan!$B$6)</f>
        <v>5</v>
      </c>
      <c r="G887" s="0" t="n">
        <f aca="false">F887+2+D887</f>
        <v>42</v>
      </c>
      <c r="H887" s="0" t="n">
        <f aca="false">Pemetaan!$B$2+E887</f>
        <v>15</v>
      </c>
      <c r="I887" s="0" t="str">
        <f aca="false">INDEX(Laporan!$A$1:$AZ$300,G887,1)</f>
        <v>Mixing</v>
      </c>
      <c r="J887" s="0" t="str">
        <f aca="false">INDEX(Laporan!$A$1:$AZ$300,G887,2)</f>
        <v>1,5 L</v>
      </c>
      <c r="K887" s="0" t="str">
        <f aca="false">INDEX(Laporan!$A$1:$AZ$300,G887,3)</f>
        <v>Shift 2</v>
      </c>
      <c r="L887" s="0" t="n">
        <f aca="false">INDEX(Laporan!$A$1:$AZ$300,G887,4)</f>
        <v>3</v>
      </c>
      <c r="M887" s="1" t="n">
        <f aca="false">DATE(Pemetaan!$B$1,VALUE(RIGHT(INDEX(Laporan!$A$1:$AZ$300,F887+1,H887),2)),VALUE(LEFT(INDEX(Laporan!$A$1:$AZ$300,F887+1,H887),2)))</f>
        <v>46097</v>
      </c>
      <c r="N887" s="0" t="n">
        <f aca="false">INDEX(Laporan!$A$1:$AZ$300,G887,H887)</f>
        <v>1580</v>
      </c>
      <c r="O887" s="0" t="n">
        <f aca="false">IF(N887="","",IFERROR(VALUE(SUBSTITUTE(SUBSTITUTE(N887," btl",""),".","")),""))</f>
        <v>1580</v>
      </c>
      <c r="P887" s="0" t="str">
        <f aca="false">IF(B887="PRODUKSI","produced","reject")</f>
        <v>produced</v>
      </c>
    </row>
    <row r="888" customFormat="false" ht="15" hidden="false" customHeight="false" outlineLevel="0" collapsed="false">
      <c r="A888" s="0" t="n">
        <v>887</v>
      </c>
      <c r="B888" s="0" t="str">
        <f aca="false">IF(A888&lt;=36*25,"PRODUKSI","REJECT")</f>
        <v>PRODUKSI</v>
      </c>
      <c r="C888" s="0" t="n">
        <f aca="false">MOD(A888-1,Pemetaan!$B$3*Pemetaan!$B$4)</f>
        <v>886</v>
      </c>
      <c r="D888" s="0" t="n">
        <f aca="false">INT(C888/Pemetaan!$B$4)</f>
        <v>35</v>
      </c>
      <c r="E888" s="0" t="n">
        <f aca="false">MOD(C888,Pemetaan!$B$4)</f>
        <v>11</v>
      </c>
      <c r="F888" s="0" t="n">
        <f aca="false">IF(B888="PRODUKSI",Pemetaan!$B$5,Pemetaan!$B$6)</f>
        <v>5</v>
      </c>
      <c r="G888" s="0" t="n">
        <f aca="false">F888+2+D888</f>
        <v>42</v>
      </c>
      <c r="H888" s="0" t="n">
        <f aca="false">Pemetaan!$B$2+E888</f>
        <v>16</v>
      </c>
      <c r="I888" s="0" t="str">
        <f aca="false">INDEX(Laporan!$A$1:$AZ$300,G888,1)</f>
        <v>Mixing</v>
      </c>
      <c r="J888" s="0" t="str">
        <f aca="false">INDEX(Laporan!$A$1:$AZ$300,G888,2)</f>
        <v>1,5 L</v>
      </c>
      <c r="K888" s="0" t="str">
        <f aca="false">INDEX(Laporan!$A$1:$AZ$300,G888,3)</f>
        <v>Shift 2</v>
      </c>
      <c r="L888" s="0" t="n">
        <f aca="false">INDEX(Laporan!$A$1:$AZ$300,G888,4)</f>
        <v>3</v>
      </c>
      <c r="M888" s="1" t="n">
        <f aca="false">DATE(Pemetaan!$B$1,VALUE(RIGHT(INDEX(Laporan!$A$1:$AZ$300,F888+1,H888),2)),VALUE(LEFT(INDEX(Laporan!$A$1:$AZ$300,F888+1,H888),2)))</f>
        <v>46098</v>
      </c>
      <c r="N888" s="0" t="n">
        <f aca="false">INDEX(Laporan!$A$1:$AZ$300,G888,H888)</f>
        <v>1524</v>
      </c>
      <c r="O888" s="0" t="n">
        <f aca="false">IF(N888="","",IFERROR(VALUE(SUBSTITUTE(SUBSTITUTE(N888," btl",""),".","")),""))</f>
        <v>1524</v>
      </c>
      <c r="P888" s="0" t="str">
        <f aca="false">IF(B888="PRODUKSI","produced","reject")</f>
        <v>produced</v>
      </c>
    </row>
    <row r="889" customFormat="false" ht="15" hidden="false" customHeight="false" outlineLevel="0" collapsed="false">
      <c r="A889" s="0" t="n">
        <v>888</v>
      </c>
      <c r="B889" s="0" t="str">
        <f aca="false">IF(A889&lt;=36*25,"PRODUKSI","REJECT")</f>
        <v>PRODUKSI</v>
      </c>
      <c r="C889" s="0" t="n">
        <f aca="false">MOD(A889-1,Pemetaan!$B$3*Pemetaan!$B$4)</f>
        <v>887</v>
      </c>
      <c r="D889" s="0" t="n">
        <f aca="false">INT(C889/Pemetaan!$B$4)</f>
        <v>35</v>
      </c>
      <c r="E889" s="0" t="n">
        <f aca="false">MOD(C889,Pemetaan!$B$4)</f>
        <v>12</v>
      </c>
      <c r="F889" s="0" t="n">
        <f aca="false">IF(B889="PRODUKSI",Pemetaan!$B$5,Pemetaan!$B$6)</f>
        <v>5</v>
      </c>
      <c r="G889" s="0" t="n">
        <f aca="false">F889+2+D889</f>
        <v>42</v>
      </c>
      <c r="H889" s="0" t="n">
        <f aca="false">Pemetaan!$B$2+E889</f>
        <v>17</v>
      </c>
      <c r="I889" s="0" t="str">
        <f aca="false">INDEX(Laporan!$A$1:$AZ$300,G889,1)</f>
        <v>Mixing</v>
      </c>
      <c r="J889" s="0" t="str">
        <f aca="false">INDEX(Laporan!$A$1:$AZ$300,G889,2)</f>
        <v>1,5 L</v>
      </c>
      <c r="K889" s="0" t="str">
        <f aca="false">INDEX(Laporan!$A$1:$AZ$300,G889,3)</f>
        <v>Shift 2</v>
      </c>
      <c r="L889" s="0" t="n">
        <f aca="false">INDEX(Laporan!$A$1:$AZ$300,G889,4)</f>
        <v>3</v>
      </c>
      <c r="M889" s="1" t="n">
        <f aca="false">DATE(Pemetaan!$B$1,VALUE(RIGHT(INDEX(Laporan!$A$1:$AZ$300,F889+1,H889),2)),VALUE(LEFT(INDEX(Laporan!$A$1:$AZ$300,F889+1,H889),2)))</f>
        <v>46099</v>
      </c>
      <c r="N889" s="0" t="n">
        <f aca="false">INDEX(Laporan!$A$1:$AZ$300,G889,H889)</f>
        <v>1463</v>
      </c>
      <c r="O889" s="0" t="n">
        <f aca="false">IF(N889="","",IFERROR(VALUE(SUBSTITUTE(SUBSTITUTE(N889," btl",""),".","")),""))</f>
        <v>1463</v>
      </c>
      <c r="P889" s="0" t="str">
        <f aca="false">IF(B889="PRODUKSI","produced","reject")</f>
        <v>produced</v>
      </c>
    </row>
    <row r="890" customFormat="false" ht="15" hidden="false" customHeight="false" outlineLevel="0" collapsed="false">
      <c r="A890" s="0" t="n">
        <v>889</v>
      </c>
      <c r="B890" s="0" t="str">
        <f aca="false">IF(A890&lt;=36*25,"PRODUKSI","REJECT")</f>
        <v>PRODUKSI</v>
      </c>
      <c r="C890" s="0" t="n">
        <f aca="false">MOD(A890-1,Pemetaan!$B$3*Pemetaan!$B$4)</f>
        <v>888</v>
      </c>
      <c r="D890" s="0" t="n">
        <f aca="false">INT(C890/Pemetaan!$B$4)</f>
        <v>35</v>
      </c>
      <c r="E890" s="0" t="n">
        <f aca="false">MOD(C890,Pemetaan!$B$4)</f>
        <v>13</v>
      </c>
      <c r="F890" s="0" t="n">
        <f aca="false">IF(B890="PRODUKSI",Pemetaan!$B$5,Pemetaan!$B$6)</f>
        <v>5</v>
      </c>
      <c r="G890" s="0" t="n">
        <f aca="false">F890+2+D890</f>
        <v>42</v>
      </c>
      <c r="H890" s="0" t="n">
        <f aca="false">Pemetaan!$B$2+E890</f>
        <v>18</v>
      </c>
      <c r="I890" s="0" t="str">
        <f aca="false">INDEX(Laporan!$A$1:$AZ$300,G890,1)</f>
        <v>Mixing</v>
      </c>
      <c r="J890" s="0" t="str">
        <f aca="false">INDEX(Laporan!$A$1:$AZ$300,G890,2)</f>
        <v>1,5 L</v>
      </c>
      <c r="K890" s="0" t="str">
        <f aca="false">INDEX(Laporan!$A$1:$AZ$300,G890,3)</f>
        <v>Shift 2</v>
      </c>
      <c r="L890" s="0" t="n">
        <f aca="false">INDEX(Laporan!$A$1:$AZ$300,G890,4)</f>
        <v>3</v>
      </c>
      <c r="M890" s="1" t="n">
        <f aca="false">DATE(Pemetaan!$B$1,VALUE(RIGHT(INDEX(Laporan!$A$1:$AZ$300,F890+1,H890),2)),VALUE(LEFT(INDEX(Laporan!$A$1:$AZ$300,F890+1,H890),2)))</f>
        <v>46100</v>
      </c>
      <c r="N890" s="0" t="n">
        <f aca="false">INDEX(Laporan!$A$1:$AZ$300,G890,H890)</f>
        <v>1609</v>
      </c>
      <c r="O890" s="0" t="n">
        <f aca="false">IF(N890="","",IFERROR(VALUE(SUBSTITUTE(SUBSTITUTE(N890," btl",""),".","")),""))</f>
        <v>1609</v>
      </c>
      <c r="P890" s="0" t="str">
        <f aca="false">IF(B890="PRODUKSI","produced","reject")</f>
        <v>produced</v>
      </c>
    </row>
    <row r="891" customFormat="false" ht="15" hidden="false" customHeight="false" outlineLevel="0" collapsed="false">
      <c r="A891" s="0" t="n">
        <v>890</v>
      </c>
      <c r="B891" s="0" t="str">
        <f aca="false">IF(A891&lt;=36*25,"PRODUKSI","REJECT")</f>
        <v>PRODUKSI</v>
      </c>
      <c r="C891" s="0" t="n">
        <f aca="false">MOD(A891-1,Pemetaan!$B$3*Pemetaan!$B$4)</f>
        <v>889</v>
      </c>
      <c r="D891" s="0" t="n">
        <f aca="false">INT(C891/Pemetaan!$B$4)</f>
        <v>35</v>
      </c>
      <c r="E891" s="0" t="n">
        <f aca="false">MOD(C891,Pemetaan!$B$4)</f>
        <v>14</v>
      </c>
      <c r="F891" s="0" t="n">
        <f aca="false">IF(B891="PRODUKSI",Pemetaan!$B$5,Pemetaan!$B$6)</f>
        <v>5</v>
      </c>
      <c r="G891" s="0" t="n">
        <f aca="false">F891+2+D891</f>
        <v>42</v>
      </c>
      <c r="H891" s="0" t="n">
        <f aca="false">Pemetaan!$B$2+E891</f>
        <v>19</v>
      </c>
      <c r="I891" s="0" t="str">
        <f aca="false">INDEX(Laporan!$A$1:$AZ$300,G891,1)</f>
        <v>Mixing</v>
      </c>
      <c r="J891" s="0" t="str">
        <f aca="false">INDEX(Laporan!$A$1:$AZ$300,G891,2)</f>
        <v>1,5 L</v>
      </c>
      <c r="K891" s="0" t="str">
        <f aca="false">INDEX(Laporan!$A$1:$AZ$300,G891,3)</f>
        <v>Shift 2</v>
      </c>
      <c r="L891" s="0" t="n">
        <f aca="false">INDEX(Laporan!$A$1:$AZ$300,G891,4)</f>
        <v>3</v>
      </c>
      <c r="M891" s="1" t="n">
        <f aca="false">DATE(Pemetaan!$B$1,VALUE(RIGHT(INDEX(Laporan!$A$1:$AZ$300,F891+1,H891),2)),VALUE(LEFT(INDEX(Laporan!$A$1:$AZ$300,F891+1,H891),2)))</f>
        <v>46101</v>
      </c>
      <c r="N891" s="0" t="n">
        <f aca="false">INDEX(Laporan!$A$1:$AZ$300,G891,H891)</f>
        <v>1401</v>
      </c>
      <c r="O891" s="0" t="n">
        <f aca="false">IF(N891="","",IFERROR(VALUE(SUBSTITUTE(SUBSTITUTE(N891," btl",""),".","")),""))</f>
        <v>1401</v>
      </c>
      <c r="P891" s="0" t="str">
        <f aca="false">IF(B891="PRODUKSI","produced","reject")</f>
        <v>produced</v>
      </c>
    </row>
    <row r="892" customFormat="false" ht="15" hidden="false" customHeight="false" outlineLevel="0" collapsed="false">
      <c r="A892" s="0" t="n">
        <v>891</v>
      </c>
      <c r="B892" s="0" t="str">
        <f aca="false">IF(A892&lt;=36*25,"PRODUKSI","REJECT")</f>
        <v>PRODUKSI</v>
      </c>
      <c r="C892" s="0" t="n">
        <f aca="false">MOD(A892-1,Pemetaan!$B$3*Pemetaan!$B$4)</f>
        <v>890</v>
      </c>
      <c r="D892" s="0" t="n">
        <f aca="false">INT(C892/Pemetaan!$B$4)</f>
        <v>35</v>
      </c>
      <c r="E892" s="0" t="n">
        <f aca="false">MOD(C892,Pemetaan!$B$4)</f>
        <v>15</v>
      </c>
      <c r="F892" s="0" t="n">
        <f aca="false">IF(B892="PRODUKSI",Pemetaan!$B$5,Pemetaan!$B$6)</f>
        <v>5</v>
      </c>
      <c r="G892" s="0" t="n">
        <f aca="false">F892+2+D892</f>
        <v>42</v>
      </c>
      <c r="H892" s="0" t="n">
        <f aca="false">Pemetaan!$B$2+E892</f>
        <v>20</v>
      </c>
      <c r="I892" s="0" t="str">
        <f aca="false">INDEX(Laporan!$A$1:$AZ$300,G892,1)</f>
        <v>Mixing</v>
      </c>
      <c r="J892" s="0" t="str">
        <f aca="false">INDEX(Laporan!$A$1:$AZ$300,G892,2)</f>
        <v>1,5 L</v>
      </c>
      <c r="K892" s="0" t="str">
        <f aca="false">INDEX(Laporan!$A$1:$AZ$300,G892,3)</f>
        <v>Shift 2</v>
      </c>
      <c r="L892" s="0" t="n">
        <f aca="false">INDEX(Laporan!$A$1:$AZ$300,G892,4)</f>
        <v>3</v>
      </c>
      <c r="M892" s="1" t="n">
        <f aca="false">DATE(Pemetaan!$B$1,VALUE(RIGHT(INDEX(Laporan!$A$1:$AZ$300,F892+1,H892),2)),VALUE(LEFT(INDEX(Laporan!$A$1:$AZ$300,F892+1,H892),2)))</f>
        <v>46104</v>
      </c>
      <c r="N892" s="0" t="n">
        <f aca="false">INDEX(Laporan!$A$1:$AZ$300,G892,H892)</f>
        <v>1375</v>
      </c>
      <c r="O892" s="0" t="n">
        <f aca="false">IF(N892="","",IFERROR(VALUE(SUBSTITUTE(SUBSTITUTE(N892," btl",""),".","")),""))</f>
        <v>1375</v>
      </c>
      <c r="P892" s="0" t="str">
        <f aca="false">IF(B892="PRODUKSI","produced","reject")</f>
        <v>produced</v>
      </c>
    </row>
    <row r="893" customFormat="false" ht="15" hidden="false" customHeight="false" outlineLevel="0" collapsed="false">
      <c r="A893" s="0" t="n">
        <v>892</v>
      </c>
      <c r="B893" s="0" t="str">
        <f aca="false">IF(A893&lt;=36*25,"PRODUKSI","REJECT")</f>
        <v>PRODUKSI</v>
      </c>
      <c r="C893" s="0" t="n">
        <f aca="false">MOD(A893-1,Pemetaan!$B$3*Pemetaan!$B$4)</f>
        <v>891</v>
      </c>
      <c r="D893" s="0" t="n">
        <f aca="false">INT(C893/Pemetaan!$B$4)</f>
        <v>35</v>
      </c>
      <c r="E893" s="0" t="n">
        <f aca="false">MOD(C893,Pemetaan!$B$4)</f>
        <v>16</v>
      </c>
      <c r="F893" s="0" t="n">
        <f aca="false">IF(B893="PRODUKSI",Pemetaan!$B$5,Pemetaan!$B$6)</f>
        <v>5</v>
      </c>
      <c r="G893" s="0" t="n">
        <f aca="false">F893+2+D893</f>
        <v>42</v>
      </c>
      <c r="H893" s="0" t="n">
        <f aca="false">Pemetaan!$B$2+E893</f>
        <v>21</v>
      </c>
      <c r="I893" s="0" t="str">
        <f aca="false">INDEX(Laporan!$A$1:$AZ$300,G893,1)</f>
        <v>Mixing</v>
      </c>
      <c r="J893" s="0" t="str">
        <f aca="false">INDEX(Laporan!$A$1:$AZ$300,G893,2)</f>
        <v>1,5 L</v>
      </c>
      <c r="K893" s="0" t="str">
        <f aca="false">INDEX(Laporan!$A$1:$AZ$300,G893,3)</f>
        <v>Shift 2</v>
      </c>
      <c r="L893" s="0" t="n">
        <f aca="false">INDEX(Laporan!$A$1:$AZ$300,G893,4)</f>
        <v>3</v>
      </c>
      <c r="M893" s="1" t="n">
        <f aca="false">DATE(Pemetaan!$B$1,VALUE(RIGHT(INDEX(Laporan!$A$1:$AZ$300,F893+1,H893),2)),VALUE(LEFT(INDEX(Laporan!$A$1:$AZ$300,F893+1,H893),2)))</f>
        <v>46105</v>
      </c>
      <c r="N893" s="0" t="n">
        <f aca="false">INDEX(Laporan!$A$1:$AZ$300,G893,H893)</f>
        <v>1537</v>
      </c>
      <c r="O893" s="0" t="n">
        <f aca="false">IF(N893="","",IFERROR(VALUE(SUBSTITUTE(SUBSTITUTE(N893," btl",""),".","")),""))</f>
        <v>1537</v>
      </c>
      <c r="P893" s="0" t="str">
        <f aca="false">IF(B893="PRODUKSI","produced","reject")</f>
        <v>produced</v>
      </c>
    </row>
    <row r="894" customFormat="false" ht="15" hidden="false" customHeight="false" outlineLevel="0" collapsed="false">
      <c r="A894" s="0" t="n">
        <v>893</v>
      </c>
      <c r="B894" s="0" t="str">
        <f aca="false">IF(A894&lt;=36*25,"PRODUKSI","REJECT")</f>
        <v>PRODUKSI</v>
      </c>
      <c r="C894" s="0" t="n">
        <f aca="false">MOD(A894-1,Pemetaan!$B$3*Pemetaan!$B$4)</f>
        <v>892</v>
      </c>
      <c r="D894" s="0" t="n">
        <f aca="false">INT(C894/Pemetaan!$B$4)</f>
        <v>35</v>
      </c>
      <c r="E894" s="0" t="n">
        <f aca="false">MOD(C894,Pemetaan!$B$4)</f>
        <v>17</v>
      </c>
      <c r="F894" s="0" t="n">
        <f aca="false">IF(B894="PRODUKSI",Pemetaan!$B$5,Pemetaan!$B$6)</f>
        <v>5</v>
      </c>
      <c r="G894" s="0" t="n">
        <f aca="false">F894+2+D894</f>
        <v>42</v>
      </c>
      <c r="H894" s="0" t="n">
        <f aca="false">Pemetaan!$B$2+E894</f>
        <v>22</v>
      </c>
      <c r="I894" s="0" t="str">
        <f aca="false">INDEX(Laporan!$A$1:$AZ$300,G894,1)</f>
        <v>Mixing</v>
      </c>
      <c r="J894" s="0" t="str">
        <f aca="false">INDEX(Laporan!$A$1:$AZ$300,G894,2)</f>
        <v>1,5 L</v>
      </c>
      <c r="K894" s="0" t="str">
        <f aca="false">INDEX(Laporan!$A$1:$AZ$300,G894,3)</f>
        <v>Shift 2</v>
      </c>
      <c r="L894" s="0" t="n">
        <f aca="false">INDEX(Laporan!$A$1:$AZ$300,G894,4)</f>
        <v>3</v>
      </c>
      <c r="M894" s="1" t="n">
        <f aca="false">DATE(Pemetaan!$B$1,VALUE(RIGHT(INDEX(Laporan!$A$1:$AZ$300,F894+1,H894),2)),VALUE(LEFT(INDEX(Laporan!$A$1:$AZ$300,F894+1,H894),2)))</f>
        <v>46106</v>
      </c>
      <c r="N894" s="0" t="n">
        <f aca="false">INDEX(Laporan!$A$1:$AZ$300,G894,H894)</f>
        <v>1399</v>
      </c>
      <c r="O894" s="0" t="n">
        <f aca="false">IF(N894="","",IFERROR(VALUE(SUBSTITUTE(SUBSTITUTE(N894," btl",""),".","")),""))</f>
        <v>1399</v>
      </c>
      <c r="P894" s="0" t="str">
        <f aca="false">IF(B894="PRODUKSI","produced","reject")</f>
        <v>produced</v>
      </c>
    </row>
    <row r="895" customFormat="false" ht="15" hidden="false" customHeight="false" outlineLevel="0" collapsed="false">
      <c r="A895" s="0" t="n">
        <v>894</v>
      </c>
      <c r="B895" s="0" t="str">
        <f aca="false">IF(A895&lt;=36*25,"PRODUKSI","REJECT")</f>
        <v>PRODUKSI</v>
      </c>
      <c r="C895" s="0" t="n">
        <f aca="false">MOD(A895-1,Pemetaan!$B$3*Pemetaan!$B$4)</f>
        <v>893</v>
      </c>
      <c r="D895" s="0" t="n">
        <f aca="false">INT(C895/Pemetaan!$B$4)</f>
        <v>35</v>
      </c>
      <c r="E895" s="0" t="n">
        <f aca="false">MOD(C895,Pemetaan!$B$4)</f>
        <v>18</v>
      </c>
      <c r="F895" s="0" t="n">
        <f aca="false">IF(B895="PRODUKSI",Pemetaan!$B$5,Pemetaan!$B$6)</f>
        <v>5</v>
      </c>
      <c r="G895" s="0" t="n">
        <f aca="false">F895+2+D895</f>
        <v>42</v>
      </c>
      <c r="H895" s="0" t="n">
        <f aca="false">Pemetaan!$B$2+E895</f>
        <v>23</v>
      </c>
      <c r="I895" s="0" t="str">
        <f aca="false">INDEX(Laporan!$A$1:$AZ$300,G895,1)</f>
        <v>Mixing</v>
      </c>
      <c r="J895" s="0" t="str">
        <f aca="false">INDEX(Laporan!$A$1:$AZ$300,G895,2)</f>
        <v>1,5 L</v>
      </c>
      <c r="K895" s="0" t="str">
        <f aca="false">INDEX(Laporan!$A$1:$AZ$300,G895,3)</f>
        <v>Shift 2</v>
      </c>
      <c r="L895" s="0" t="n">
        <f aca="false">INDEX(Laporan!$A$1:$AZ$300,G895,4)</f>
        <v>3</v>
      </c>
      <c r="M895" s="1" t="n">
        <f aca="false">DATE(Pemetaan!$B$1,VALUE(RIGHT(INDEX(Laporan!$A$1:$AZ$300,F895+1,H895),2)),VALUE(LEFT(INDEX(Laporan!$A$1:$AZ$300,F895+1,H895),2)))</f>
        <v>46107</v>
      </c>
      <c r="N895" s="0" t="n">
        <f aca="false">INDEX(Laporan!$A$1:$AZ$300,G895,H895)</f>
        <v>1397</v>
      </c>
      <c r="O895" s="0" t="n">
        <f aca="false">IF(N895="","",IFERROR(VALUE(SUBSTITUTE(SUBSTITUTE(N895," btl",""),".","")),""))</f>
        <v>1397</v>
      </c>
      <c r="P895" s="0" t="str">
        <f aca="false">IF(B895="PRODUKSI","produced","reject")</f>
        <v>produced</v>
      </c>
    </row>
    <row r="896" customFormat="false" ht="15" hidden="false" customHeight="false" outlineLevel="0" collapsed="false">
      <c r="A896" s="0" t="n">
        <v>895</v>
      </c>
      <c r="B896" s="0" t="str">
        <f aca="false">IF(A896&lt;=36*25,"PRODUKSI","REJECT")</f>
        <v>PRODUKSI</v>
      </c>
      <c r="C896" s="0" t="n">
        <f aca="false">MOD(A896-1,Pemetaan!$B$3*Pemetaan!$B$4)</f>
        <v>894</v>
      </c>
      <c r="D896" s="0" t="n">
        <f aca="false">INT(C896/Pemetaan!$B$4)</f>
        <v>35</v>
      </c>
      <c r="E896" s="0" t="n">
        <f aca="false">MOD(C896,Pemetaan!$B$4)</f>
        <v>19</v>
      </c>
      <c r="F896" s="0" t="n">
        <f aca="false">IF(B896="PRODUKSI",Pemetaan!$B$5,Pemetaan!$B$6)</f>
        <v>5</v>
      </c>
      <c r="G896" s="0" t="n">
        <f aca="false">F896+2+D896</f>
        <v>42</v>
      </c>
      <c r="H896" s="0" t="n">
        <f aca="false">Pemetaan!$B$2+E896</f>
        <v>24</v>
      </c>
      <c r="I896" s="0" t="str">
        <f aca="false">INDEX(Laporan!$A$1:$AZ$300,G896,1)</f>
        <v>Mixing</v>
      </c>
      <c r="J896" s="0" t="str">
        <f aca="false">INDEX(Laporan!$A$1:$AZ$300,G896,2)</f>
        <v>1,5 L</v>
      </c>
      <c r="K896" s="0" t="str">
        <f aca="false">INDEX(Laporan!$A$1:$AZ$300,G896,3)</f>
        <v>Shift 2</v>
      </c>
      <c r="L896" s="0" t="n">
        <f aca="false">INDEX(Laporan!$A$1:$AZ$300,G896,4)</f>
        <v>3</v>
      </c>
      <c r="M896" s="1" t="n">
        <f aca="false">DATE(Pemetaan!$B$1,VALUE(RIGHT(INDEX(Laporan!$A$1:$AZ$300,F896+1,H896),2)),VALUE(LEFT(INDEX(Laporan!$A$1:$AZ$300,F896+1,H896),2)))</f>
        <v>46108</v>
      </c>
      <c r="N896" s="0" t="n">
        <f aca="false">INDEX(Laporan!$A$1:$AZ$300,G896,H896)</f>
        <v>1498</v>
      </c>
      <c r="O896" s="0" t="n">
        <f aca="false">IF(N896="","",IFERROR(VALUE(SUBSTITUTE(SUBSTITUTE(N896," btl",""),".","")),""))</f>
        <v>1498</v>
      </c>
      <c r="P896" s="0" t="str">
        <f aca="false">IF(B896="PRODUKSI","produced","reject")</f>
        <v>produced</v>
      </c>
    </row>
    <row r="897" customFormat="false" ht="15" hidden="false" customHeight="false" outlineLevel="0" collapsed="false">
      <c r="A897" s="0" t="n">
        <v>896</v>
      </c>
      <c r="B897" s="0" t="str">
        <f aca="false">IF(A897&lt;=36*25,"PRODUKSI","REJECT")</f>
        <v>PRODUKSI</v>
      </c>
      <c r="C897" s="0" t="n">
        <f aca="false">MOD(A897-1,Pemetaan!$B$3*Pemetaan!$B$4)</f>
        <v>895</v>
      </c>
      <c r="D897" s="0" t="n">
        <f aca="false">INT(C897/Pemetaan!$B$4)</f>
        <v>35</v>
      </c>
      <c r="E897" s="0" t="n">
        <f aca="false">MOD(C897,Pemetaan!$B$4)</f>
        <v>20</v>
      </c>
      <c r="F897" s="0" t="n">
        <f aca="false">IF(B897="PRODUKSI",Pemetaan!$B$5,Pemetaan!$B$6)</f>
        <v>5</v>
      </c>
      <c r="G897" s="0" t="n">
        <f aca="false">F897+2+D897</f>
        <v>42</v>
      </c>
      <c r="H897" s="0" t="n">
        <f aca="false">Pemetaan!$B$2+E897</f>
        <v>25</v>
      </c>
      <c r="I897" s="0" t="str">
        <f aca="false">INDEX(Laporan!$A$1:$AZ$300,G897,1)</f>
        <v>Mixing</v>
      </c>
      <c r="J897" s="0" t="str">
        <f aca="false">INDEX(Laporan!$A$1:$AZ$300,G897,2)</f>
        <v>1,5 L</v>
      </c>
      <c r="K897" s="0" t="str">
        <f aca="false">INDEX(Laporan!$A$1:$AZ$300,G897,3)</f>
        <v>Shift 2</v>
      </c>
      <c r="L897" s="0" t="n">
        <f aca="false">INDEX(Laporan!$A$1:$AZ$300,G897,4)</f>
        <v>3</v>
      </c>
      <c r="M897" s="1" t="n">
        <f aca="false">DATE(Pemetaan!$B$1,VALUE(RIGHT(INDEX(Laporan!$A$1:$AZ$300,F897+1,H897),2)),VALUE(LEFT(INDEX(Laporan!$A$1:$AZ$300,F897+1,H897),2)))</f>
        <v>46111</v>
      </c>
      <c r="N897" s="0" t="n">
        <f aca="false">INDEX(Laporan!$A$1:$AZ$300,G897,H897)</f>
        <v>1404</v>
      </c>
      <c r="O897" s="0" t="n">
        <f aca="false">IF(N897="","",IFERROR(VALUE(SUBSTITUTE(SUBSTITUTE(N897," btl",""),".","")),""))</f>
        <v>1404</v>
      </c>
      <c r="P897" s="0" t="str">
        <f aca="false">IF(B897="PRODUKSI","produced","reject")</f>
        <v>produced</v>
      </c>
    </row>
    <row r="898" customFormat="false" ht="15" hidden="false" customHeight="false" outlineLevel="0" collapsed="false">
      <c r="A898" s="0" t="n">
        <v>897</v>
      </c>
      <c r="B898" s="0" t="str">
        <f aca="false">IF(A898&lt;=36*25,"PRODUKSI","REJECT")</f>
        <v>PRODUKSI</v>
      </c>
      <c r="C898" s="0" t="n">
        <f aca="false">MOD(A898-1,Pemetaan!$B$3*Pemetaan!$B$4)</f>
        <v>896</v>
      </c>
      <c r="D898" s="0" t="n">
        <f aca="false">INT(C898/Pemetaan!$B$4)</f>
        <v>35</v>
      </c>
      <c r="E898" s="0" t="n">
        <f aca="false">MOD(C898,Pemetaan!$B$4)</f>
        <v>21</v>
      </c>
      <c r="F898" s="0" t="n">
        <f aca="false">IF(B898="PRODUKSI",Pemetaan!$B$5,Pemetaan!$B$6)</f>
        <v>5</v>
      </c>
      <c r="G898" s="0" t="n">
        <f aca="false">F898+2+D898</f>
        <v>42</v>
      </c>
      <c r="H898" s="0" t="n">
        <f aca="false">Pemetaan!$B$2+E898</f>
        <v>26</v>
      </c>
      <c r="I898" s="0" t="str">
        <f aca="false">INDEX(Laporan!$A$1:$AZ$300,G898,1)</f>
        <v>Mixing</v>
      </c>
      <c r="J898" s="0" t="str">
        <f aca="false">INDEX(Laporan!$A$1:$AZ$300,G898,2)</f>
        <v>1,5 L</v>
      </c>
      <c r="K898" s="0" t="str">
        <f aca="false">INDEX(Laporan!$A$1:$AZ$300,G898,3)</f>
        <v>Shift 2</v>
      </c>
      <c r="L898" s="0" t="n">
        <f aca="false">INDEX(Laporan!$A$1:$AZ$300,G898,4)</f>
        <v>3</v>
      </c>
      <c r="M898" s="1" t="n">
        <f aca="false">DATE(Pemetaan!$B$1,VALUE(RIGHT(INDEX(Laporan!$A$1:$AZ$300,F898+1,H898),2)),VALUE(LEFT(INDEX(Laporan!$A$1:$AZ$300,F898+1,H898),2)))</f>
        <v>46112</v>
      </c>
      <c r="N898" s="0" t="n">
        <f aca="false">INDEX(Laporan!$A$1:$AZ$300,G898,H898)</f>
        <v>1487</v>
      </c>
      <c r="O898" s="0" t="n">
        <f aca="false">IF(N898="","",IFERROR(VALUE(SUBSTITUTE(SUBSTITUTE(N898," btl",""),".","")),""))</f>
        <v>1487</v>
      </c>
      <c r="P898" s="0" t="str">
        <f aca="false">IF(B898="PRODUKSI","produced","reject")</f>
        <v>produced</v>
      </c>
    </row>
    <row r="899" customFormat="false" ht="15" hidden="false" customHeight="false" outlineLevel="0" collapsed="false">
      <c r="A899" s="0" t="n">
        <v>898</v>
      </c>
      <c r="B899" s="0" t="str">
        <f aca="false">IF(A899&lt;=36*25,"PRODUKSI","REJECT")</f>
        <v>PRODUKSI</v>
      </c>
      <c r="C899" s="0" t="n">
        <f aca="false">MOD(A899-1,Pemetaan!$B$3*Pemetaan!$B$4)</f>
        <v>897</v>
      </c>
      <c r="D899" s="0" t="n">
        <f aca="false">INT(C899/Pemetaan!$B$4)</f>
        <v>35</v>
      </c>
      <c r="E899" s="0" t="n">
        <f aca="false">MOD(C899,Pemetaan!$B$4)</f>
        <v>22</v>
      </c>
      <c r="F899" s="0" t="n">
        <f aca="false">IF(B899="PRODUKSI",Pemetaan!$B$5,Pemetaan!$B$6)</f>
        <v>5</v>
      </c>
      <c r="G899" s="0" t="n">
        <f aca="false">F899+2+D899</f>
        <v>42</v>
      </c>
      <c r="H899" s="0" t="n">
        <f aca="false">Pemetaan!$B$2+E899</f>
        <v>27</v>
      </c>
      <c r="I899" s="0" t="str">
        <f aca="false">INDEX(Laporan!$A$1:$AZ$300,G899,1)</f>
        <v>Mixing</v>
      </c>
      <c r="J899" s="0" t="str">
        <f aca="false">INDEX(Laporan!$A$1:$AZ$300,G899,2)</f>
        <v>1,5 L</v>
      </c>
      <c r="K899" s="0" t="str">
        <f aca="false">INDEX(Laporan!$A$1:$AZ$300,G899,3)</f>
        <v>Shift 2</v>
      </c>
      <c r="L899" s="0" t="n">
        <f aca="false">INDEX(Laporan!$A$1:$AZ$300,G899,4)</f>
        <v>3</v>
      </c>
      <c r="M899" s="1" t="n">
        <f aca="false">DATE(Pemetaan!$B$1,VALUE(RIGHT(INDEX(Laporan!$A$1:$AZ$300,F899+1,H899),2)),VALUE(LEFT(INDEX(Laporan!$A$1:$AZ$300,F899+1,H899),2)))</f>
        <v>46113</v>
      </c>
      <c r="N899" s="0" t="n">
        <f aca="false">INDEX(Laporan!$A$1:$AZ$300,G899,H899)</f>
        <v>1434</v>
      </c>
      <c r="O899" s="0" t="n">
        <f aca="false">IF(N899="","",IFERROR(VALUE(SUBSTITUTE(SUBSTITUTE(N899," btl",""),".","")),""))</f>
        <v>1434</v>
      </c>
      <c r="P899" s="0" t="str">
        <f aca="false">IF(B899="PRODUKSI","produced","reject")</f>
        <v>produced</v>
      </c>
    </row>
    <row r="900" customFormat="false" ht="15" hidden="false" customHeight="false" outlineLevel="0" collapsed="false">
      <c r="A900" s="0" t="n">
        <v>899</v>
      </c>
      <c r="B900" s="0" t="str">
        <f aca="false">IF(A900&lt;=36*25,"PRODUKSI","REJECT")</f>
        <v>PRODUKSI</v>
      </c>
      <c r="C900" s="0" t="n">
        <f aca="false">MOD(A900-1,Pemetaan!$B$3*Pemetaan!$B$4)</f>
        <v>898</v>
      </c>
      <c r="D900" s="0" t="n">
        <f aca="false">INT(C900/Pemetaan!$B$4)</f>
        <v>35</v>
      </c>
      <c r="E900" s="0" t="n">
        <f aca="false">MOD(C900,Pemetaan!$B$4)</f>
        <v>23</v>
      </c>
      <c r="F900" s="0" t="n">
        <f aca="false">IF(B900="PRODUKSI",Pemetaan!$B$5,Pemetaan!$B$6)</f>
        <v>5</v>
      </c>
      <c r="G900" s="0" t="n">
        <f aca="false">F900+2+D900</f>
        <v>42</v>
      </c>
      <c r="H900" s="0" t="n">
        <f aca="false">Pemetaan!$B$2+E900</f>
        <v>28</v>
      </c>
      <c r="I900" s="0" t="str">
        <f aca="false">INDEX(Laporan!$A$1:$AZ$300,G900,1)</f>
        <v>Mixing</v>
      </c>
      <c r="J900" s="0" t="str">
        <f aca="false">INDEX(Laporan!$A$1:$AZ$300,G900,2)</f>
        <v>1,5 L</v>
      </c>
      <c r="K900" s="0" t="str">
        <f aca="false">INDEX(Laporan!$A$1:$AZ$300,G900,3)</f>
        <v>Shift 2</v>
      </c>
      <c r="L900" s="0" t="n">
        <f aca="false">INDEX(Laporan!$A$1:$AZ$300,G900,4)</f>
        <v>3</v>
      </c>
      <c r="M900" s="1" t="n">
        <f aca="false">DATE(Pemetaan!$B$1,VALUE(RIGHT(INDEX(Laporan!$A$1:$AZ$300,F900+1,H900),2)),VALUE(LEFT(INDEX(Laporan!$A$1:$AZ$300,F900+1,H900),2)))</f>
        <v>46114</v>
      </c>
      <c r="N900" s="0" t="n">
        <f aca="false">INDEX(Laporan!$A$1:$AZ$300,G900,H900)</f>
        <v>1250</v>
      </c>
      <c r="O900" s="0" t="n">
        <f aca="false">IF(N900="","",IFERROR(VALUE(SUBSTITUTE(SUBSTITUTE(N900," btl",""),".","")),""))</f>
        <v>1250</v>
      </c>
      <c r="P900" s="0" t="str">
        <f aca="false">IF(B900="PRODUKSI","produced","reject")</f>
        <v>produced</v>
      </c>
    </row>
    <row r="901" customFormat="false" ht="15" hidden="false" customHeight="false" outlineLevel="0" collapsed="false">
      <c r="A901" s="0" t="n">
        <v>900</v>
      </c>
      <c r="B901" s="0" t="str">
        <f aca="false">IF(A901&lt;=36*25,"PRODUKSI","REJECT")</f>
        <v>PRODUKSI</v>
      </c>
      <c r="C901" s="0" t="n">
        <f aca="false">MOD(A901-1,Pemetaan!$B$3*Pemetaan!$B$4)</f>
        <v>899</v>
      </c>
      <c r="D901" s="0" t="n">
        <f aca="false">INT(C901/Pemetaan!$B$4)</f>
        <v>35</v>
      </c>
      <c r="E901" s="0" t="n">
        <f aca="false">MOD(C901,Pemetaan!$B$4)</f>
        <v>24</v>
      </c>
      <c r="F901" s="0" t="n">
        <f aca="false">IF(B901="PRODUKSI",Pemetaan!$B$5,Pemetaan!$B$6)</f>
        <v>5</v>
      </c>
      <c r="G901" s="0" t="n">
        <f aca="false">F901+2+D901</f>
        <v>42</v>
      </c>
      <c r="H901" s="0" t="n">
        <f aca="false">Pemetaan!$B$2+E901</f>
        <v>29</v>
      </c>
      <c r="I901" s="0" t="str">
        <f aca="false">INDEX(Laporan!$A$1:$AZ$300,G901,1)</f>
        <v>Mixing</v>
      </c>
      <c r="J901" s="0" t="str">
        <f aca="false">INDEX(Laporan!$A$1:$AZ$300,G901,2)</f>
        <v>1,5 L</v>
      </c>
      <c r="K901" s="0" t="str">
        <f aca="false">INDEX(Laporan!$A$1:$AZ$300,G901,3)</f>
        <v>Shift 2</v>
      </c>
      <c r="L901" s="0" t="n">
        <f aca="false">INDEX(Laporan!$A$1:$AZ$300,G901,4)</f>
        <v>3</v>
      </c>
      <c r="M901" s="1" t="n">
        <f aca="false">DATE(Pemetaan!$B$1,VALUE(RIGHT(INDEX(Laporan!$A$1:$AZ$300,F901+1,H901),2)),VALUE(LEFT(INDEX(Laporan!$A$1:$AZ$300,F901+1,H901),2)))</f>
        <v>46115</v>
      </c>
      <c r="N901" s="0" t="n">
        <f aca="false">INDEX(Laporan!$A$1:$AZ$300,G901,H901)</f>
        <v>1565</v>
      </c>
      <c r="O901" s="0" t="n">
        <f aca="false">IF(N901="","",IFERROR(VALUE(SUBSTITUTE(SUBSTITUTE(N901," btl",""),".","")),""))</f>
        <v>1565</v>
      </c>
      <c r="P901" s="0" t="str">
        <f aca="false">IF(B901="PRODUKSI","produced","reject")</f>
        <v>produced</v>
      </c>
    </row>
    <row r="902" customFormat="false" ht="15" hidden="false" customHeight="false" outlineLevel="0" collapsed="false">
      <c r="A902" s="0" t="n">
        <v>901</v>
      </c>
      <c r="B902" s="0" t="str">
        <f aca="false">IF(A902&lt;=36*25,"PRODUKSI","REJECT")</f>
        <v>REJECT</v>
      </c>
      <c r="C902" s="0" t="n">
        <f aca="false">MOD(A902-1,Pemetaan!$B$3*Pemetaan!$B$4)</f>
        <v>0</v>
      </c>
      <c r="D902" s="0" t="n">
        <f aca="false">INT(C902/Pemetaan!$B$4)</f>
        <v>0</v>
      </c>
      <c r="E902" s="0" t="n">
        <f aca="false">MOD(C902,Pemetaan!$B$4)</f>
        <v>0</v>
      </c>
      <c r="F902" s="0" t="n">
        <f aca="false">IF(B902="PRODUKSI",Pemetaan!$B$5,Pemetaan!$B$6)</f>
        <v>46</v>
      </c>
      <c r="G902" s="0" t="n">
        <f aca="false">F902+2+D902</f>
        <v>48</v>
      </c>
      <c r="H902" s="0" t="n">
        <f aca="false">Pemetaan!$B$2+E902</f>
        <v>5</v>
      </c>
      <c r="I902" s="0" t="str">
        <f aca="false">INDEX(Laporan!$A$1:$AZ$300,G902,1)</f>
        <v>Water Treatment</v>
      </c>
      <c r="J902" s="0" t="str">
        <f aca="false">INDEX(Laporan!$A$1:$AZ$300,G902,2)</f>
        <v>330 ml</v>
      </c>
      <c r="K902" s="0" t="str">
        <f aca="false">INDEX(Laporan!$A$1:$AZ$300,G902,3)</f>
        <v>Shift 1</v>
      </c>
      <c r="L902" s="0" t="n">
        <f aca="false">INDEX(Laporan!$A$1:$AZ$300,G902,4)</f>
        <v>1</v>
      </c>
      <c r="M902" s="1" t="n">
        <f aca="false">DATE(Pemetaan!$B$1,VALUE(RIGHT(INDEX(Laporan!$A$1:$AZ$300,F902+1,H902),2)),VALUE(LEFT(INDEX(Laporan!$A$1:$AZ$300,F902+1,H902),2)))</f>
        <v>46083</v>
      </c>
      <c r="N902" s="0" t="n">
        <f aca="false">INDEX(Laporan!$A$1:$AZ$300,G902,H902)</f>
        <v>7</v>
      </c>
      <c r="O902" s="0" t="n">
        <f aca="false">IF(N902="","",IFERROR(VALUE(SUBSTITUTE(SUBSTITUTE(N902," btl",""),".","")),""))</f>
        <v>7</v>
      </c>
      <c r="P902" s="0" t="str">
        <f aca="false">IF(B902="PRODUKSI","produced","reject")</f>
        <v>reject</v>
      </c>
    </row>
    <row r="903" customFormat="false" ht="15" hidden="false" customHeight="false" outlineLevel="0" collapsed="false">
      <c r="A903" s="0" t="n">
        <v>902</v>
      </c>
      <c r="B903" s="0" t="str">
        <f aca="false">IF(A903&lt;=36*25,"PRODUKSI","REJECT")</f>
        <v>REJECT</v>
      </c>
      <c r="C903" s="0" t="n">
        <f aca="false">MOD(A903-1,Pemetaan!$B$3*Pemetaan!$B$4)</f>
        <v>1</v>
      </c>
      <c r="D903" s="0" t="n">
        <f aca="false">INT(C903/Pemetaan!$B$4)</f>
        <v>0</v>
      </c>
      <c r="E903" s="0" t="n">
        <f aca="false">MOD(C903,Pemetaan!$B$4)</f>
        <v>1</v>
      </c>
      <c r="F903" s="0" t="n">
        <f aca="false">IF(B903="PRODUKSI",Pemetaan!$B$5,Pemetaan!$B$6)</f>
        <v>46</v>
      </c>
      <c r="G903" s="0" t="n">
        <f aca="false">F903+2+D903</f>
        <v>48</v>
      </c>
      <c r="H903" s="0" t="n">
        <f aca="false">Pemetaan!$B$2+E903</f>
        <v>6</v>
      </c>
      <c r="I903" s="0" t="str">
        <f aca="false">INDEX(Laporan!$A$1:$AZ$300,G903,1)</f>
        <v>Water Treatment</v>
      </c>
      <c r="J903" s="0" t="str">
        <f aca="false">INDEX(Laporan!$A$1:$AZ$300,G903,2)</f>
        <v>330 ml</v>
      </c>
      <c r="K903" s="0" t="str">
        <f aca="false">INDEX(Laporan!$A$1:$AZ$300,G903,3)</f>
        <v>Shift 1</v>
      </c>
      <c r="L903" s="0" t="n">
        <f aca="false">INDEX(Laporan!$A$1:$AZ$300,G903,4)</f>
        <v>1</v>
      </c>
      <c r="M903" s="1" t="n">
        <f aca="false">DATE(Pemetaan!$B$1,VALUE(RIGHT(INDEX(Laporan!$A$1:$AZ$300,F903+1,H903),2)),VALUE(LEFT(INDEX(Laporan!$A$1:$AZ$300,F903+1,H903),2)))</f>
        <v>46084</v>
      </c>
      <c r="N903" s="0" t="n">
        <f aca="false">INDEX(Laporan!$A$1:$AZ$300,G903,H903)</f>
        <v>10</v>
      </c>
      <c r="O903" s="0" t="n">
        <f aca="false">IF(N903="","",IFERROR(VALUE(SUBSTITUTE(SUBSTITUTE(N903," btl",""),".","")),""))</f>
        <v>10</v>
      </c>
      <c r="P903" s="0" t="str">
        <f aca="false">IF(B903="PRODUKSI","produced","reject")</f>
        <v>reject</v>
      </c>
    </row>
    <row r="904" customFormat="false" ht="15" hidden="false" customHeight="false" outlineLevel="0" collapsed="false">
      <c r="A904" s="0" t="n">
        <v>903</v>
      </c>
      <c r="B904" s="0" t="str">
        <f aca="false">IF(A904&lt;=36*25,"PRODUKSI","REJECT")</f>
        <v>REJECT</v>
      </c>
      <c r="C904" s="0" t="n">
        <f aca="false">MOD(A904-1,Pemetaan!$B$3*Pemetaan!$B$4)</f>
        <v>2</v>
      </c>
      <c r="D904" s="0" t="n">
        <f aca="false">INT(C904/Pemetaan!$B$4)</f>
        <v>0</v>
      </c>
      <c r="E904" s="0" t="n">
        <f aca="false">MOD(C904,Pemetaan!$B$4)</f>
        <v>2</v>
      </c>
      <c r="F904" s="0" t="n">
        <f aca="false">IF(B904="PRODUKSI",Pemetaan!$B$5,Pemetaan!$B$6)</f>
        <v>46</v>
      </c>
      <c r="G904" s="0" t="n">
        <f aca="false">F904+2+D904</f>
        <v>48</v>
      </c>
      <c r="H904" s="0" t="n">
        <f aca="false">Pemetaan!$B$2+E904</f>
        <v>7</v>
      </c>
      <c r="I904" s="0" t="str">
        <f aca="false">INDEX(Laporan!$A$1:$AZ$300,G904,1)</f>
        <v>Water Treatment</v>
      </c>
      <c r="J904" s="0" t="str">
        <f aca="false">INDEX(Laporan!$A$1:$AZ$300,G904,2)</f>
        <v>330 ml</v>
      </c>
      <c r="K904" s="0" t="str">
        <f aca="false">INDEX(Laporan!$A$1:$AZ$300,G904,3)</f>
        <v>Shift 1</v>
      </c>
      <c r="L904" s="0" t="n">
        <f aca="false">INDEX(Laporan!$A$1:$AZ$300,G904,4)</f>
        <v>1</v>
      </c>
      <c r="M904" s="1" t="n">
        <f aca="false">DATE(Pemetaan!$B$1,VALUE(RIGHT(INDEX(Laporan!$A$1:$AZ$300,F904+1,H904),2)),VALUE(LEFT(INDEX(Laporan!$A$1:$AZ$300,F904+1,H904),2)))</f>
        <v>46085</v>
      </c>
      <c r="N904" s="0" t="n">
        <f aca="false">INDEX(Laporan!$A$1:$AZ$300,G904,H904)</f>
        <v>17</v>
      </c>
      <c r="O904" s="0" t="n">
        <f aca="false">IF(N904="","",IFERROR(VALUE(SUBSTITUTE(SUBSTITUTE(N904," btl",""),".","")),""))</f>
        <v>17</v>
      </c>
      <c r="P904" s="0" t="str">
        <f aca="false">IF(B904="PRODUKSI","produced","reject")</f>
        <v>reject</v>
      </c>
    </row>
    <row r="905" customFormat="false" ht="15" hidden="false" customHeight="false" outlineLevel="0" collapsed="false">
      <c r="A905" s="0" t="n">
        <v>904</v>
      </c>
      <c r="B905" s="0" t="str">
        <f aca="false">IF(A905&lt;=36*25,"PRODUKSI","REJECT")</f>
        <v>REJECT</v>
      </c>
      <c r="C905" s="0" t="n">
        <f aca="false">MOD(A905-1,Pemetaan!$B$3*Pemetaan!$B$4)</f>
        <v>3</v>
      </c>
      <c r="D905" s="0" t="n">
        <f aca="false">INT(C905/Pemetaan!$B$4)</f>
        <v>0</v>
      </c>
      <c r="E905" s="0" t="n">
        <f aca="false">MOD(C905,Pemetaan!$B$4)</f>
        <v>3</v>
      </c>
      <c r="F905" s="0" t="n">
        <f aca="false">IF(B905="PRODUKSI",Pemetaan!$B$5,Pemetaan!$B$6)</f>
        <v>46</v>
      </c>
      <c r="G905" s="0" t="n">
        <f aca="false">F905+2+D905</f>
        <v>48</v>
      </c>
      <c r="H905" s="0" t="n">
        <f aca="false">Pemetaan!$B$2+E905</f>
        <v>8</v>
      </c>
      <c r="I905" s="0" t="str">
        <f aca="false">INDEX(Laporan!$A$1:$AZ$300,G905,1)</f>
        <v>Water Treatment</v>
      </c>
      <c r="J905" s="0" t="str">
        <f aca="false">INDEX(Laporan!$A$1:$AZ$300,G905,2)</f>
        <v>330 ml</v>
      </c>
      <c r="K905" s="0" t="str">
        <f aca="false">INDEX(Laporan!$A$1:$AZ$300,G905,3)</f>
        <v>Shift 1</v>
      </c>
      <c r="L905" s="0" t="n">
        <f aca="false">INDEX(Laporan!$A$1:$AZ$300,G905,4)</f>
        <v>1</v>
      </c>
      <c r="M905" s="1" t="n">
        <f aca="false">DATE(Pemetaan!$B$1,VALUE(RIGHT(INDEX(Laporan!$A$1:$AZ$300,F905+1,H905),2)),VALUE(LEFT(INDEX(Laporan!$A$1:$AZ$300,F905+1,H905),2)))</f>
        <v>46086</v>
      </c>
      <c r="N905" s="0" t="str">
        <f aca="false">INDEX(Laporan!$A$1:$AZ$300,G905,H905)</f>
        <v>-</v>
      </c>
      <c r="O905" s="0" t="str">
        <f aca="false">IF(N905="","",IFERROR(VALUE(SUBSTITUTE(SUBSTITUTE(N905," btl",""),".","")),""))</f>
        <v/>
      </c>
      <c r="P905" s="0" t="str">
        <f aca="false">IF(B905="PRODUKSI","produced","reject")</f>
        <v>reject</v>
      </c>
    </row>
    <row r="906" customFormat="false" ht="15" hidden="false" customHeight="false" outlineLevel="0" collapsed="false">
      <c r="A906" s="0" t="n">
        <v>905</v>
      </c>
      <c r="B906" s="0" t="str">
        <f aca="false">IF(A906&lt;=36*25,"PRODUKSI","REJECT")</f>
        <v>REJECT</v>
      </c>
      <c r="C906" s="0" t="n">
        <f aca="false">MOD(A906-1,Pemetaan!$B$3*Pemetaan!$B$4)</f>
        <v>4</v>
      </c>
      <c r="D906" s="0" t="n">
        <f aca="false">INT(C906/Pemetaan!$B$4)</f>
        <v>0</v>
      </c>
      <c r="E906" s="0" t="n">
        <f aca="false">MOD(C906,Pemetaan!$B$4)</f>
        <v>4</v>
      </c>
      <c r="F906" s="0" t="n">
        <f aca="false">IF(B906="PRODUKSI",Pemetaan!$B$5,Pemetaan!$B$6)</f>
        <v>46</v>
      </c>
      <c r="G906" s="0" t="n">
        <f aca="false">F906+2+D906</f>
        <v>48</v>
      </c>
      <c r="H906" s="0" t="n">
        <f aca="false">Pemetaan!$B$2+E906</f>
        <v>9</v>
      </c>
      <c r="I906" s="0" t="str">
        <f aca="false">INDEX(Laporan!$A$1:$AZ$300,G906,1)</f>
        <v>Water Treatment</v>
      </c>
      <c r="J906" s="0" t="str">
        <f aca="false">INDEX(Laporan!$A$1:$AZ$300,G906,2)</f>
        <v>330 ml</v>
      </c>
      <c r="K906" s="0" t="str">
        <f aca="false">INDEX(Laporan!$A$1:$AZ$300,G906,3)</f>
        <v>Shift 1</v>
      </c>
      <c r="L906" s="0" t="n">
        <f aca="false">INDEX(Laporan!$A$1:$AZ$300,G906,4)</f>
        <v>1</v>
      </c>
      <c r="M906" s="1" t="n">
        <f aca="false">DATE(Pemetaan!$B$1,VALUE(RIGHT(INDEX(Laporan!$A$1:$AZ$300,F906+1,H906),2)),VALUE(LEFT(INDEX(Laporan!$A$1:$AZ$300,F906+1,H906),2)))</f>
        <v>46087</v>
      </c>
      <c r="N906" s="0" t="n">
        <f aca="false">INDEX(Laporan!$A$1:$AZ$300,G906,H906)</f>
        <v>14</v>
      </c>
      <c r="O906" s="0" t="n">
        <f aca="false">IF(N906="","",IFERROR(VALUE(SUBSTITUTE(SUBSTITUTE(N906," btl",""),".","")),""))</f>
        <v>14</v>
      </c>
      <c r="P906" s="0" t="str">
        <f aca="false">IF(B906="PRODUKSI","produced","reject")</f>
        <v>reject</v>
      </c>
    </row>
    <row r="907" customFormat="false" ht="15" hidden="false" customHeight="false" outlineLevel="0" collapsed="false">
      <c r="A907" s="0" t="n">
        <v>906</v>
      </c>
      <c r="B907" s="0" t="str">
        <f aca="false">IF(A907&lt;=36*25,"PRODUKSI","REJECT")</f>
        <v>REJECT</v>
      </c>
      <c r="C907" s="0" t="n">
        <f aca="false">MOD(A907-1,Pemetaan!$B$3*Pemetaan!$B$4)</f>
        <v>5</v>
      </c>
      <c r="D907" s="0" t="n">
        <f aca="false">INT(C907/Pemetaan!$B$4)</f>
        <v>0</v>
      </c>
      <c r="E907" s="0" t="n">
        <f aca="false">MOD(C907,Pemetaan!$B$4)</f>
        <v>5</v>
      </c>
      <c r="F907" s="0" t="n">
        <f aca="false">IF(B907="PRODUKSI",Pemetaan!$B$5,Pemetaan!$B$6)</f>
        <v>46</v>
      </c>
      <c r="G907" s="0" t="n">
        <f aca="false">F907+2+D907</f>
        <v>48</v>
      </c>
      <c r="H907" s="0" t="n">
        <f aca="false">Pemetaan!$B$2+E907</f>
        <v>10</v>
      </c>
      <c r="I907" s="0" t="str">
        <f aca="false">INDEX(Laporan!$A$1:$AZ$300,G907,1)</f>
        <v>Water Treatment</v>
      </c>
      <c r="J907" s="0" t="str">
        <f aca="false">INDEX(Laporan!$A$1:$AZ$300,G907,2)</f>
        <v>330 ml</v>
      </c>
      <c r="K907" s="0" t="str">
        <f aca="false">INDEX(Laporan!$A$1:$AZ$300,G907,3)</f>
        <v>Shift 1</v>
      </c>
      <c r="L907" s="0" t="n">
        <f aca="false">INDEX(Laporan!$A$1:$AZ$300,G907,4)</f>
        <v>1</v>
      </c>
      <c r="M907" s="1" t="n">
        <f aca="false">DATE(Pemetaan!$B$1,VALUE(RIGHT(INDEX(Laporan!$A$1:$AZ$300,F907+1,H907),2)),VALUE(LEFT(INDEX(Laporan!$A$1:$AZ$300,F907+1,H907),2)))</f>
        <v>46090</v>
      </c>
      <c r="N907" s="0" t="n">
        <f aca="false">INDEX(Laporan!$A$1:$AZ$300,G907,H907)</f>
        <v>11</v>
      </c>
      <c r="O907" s="0" t="n">
        <f aca="false">IF(N907="","",IFERROR(VALUE(SUBSTITUTE(SUBSTITUTE(N907," btl",""),".","")),""))</f>
        <v>11</v>
      </c>
      <c r="P907" s="0" t="str">
        <f aca="false">IF(B907="PRODUKSI","produced","reject")</f>
        <v>reject</v>
      </c>
    </row>
    <row r="908" customFormat="false" ht="15" hidden="false" customHeight="false" outlineLevel="0" collapsed="false">
      <c r="A908" s="0" t="n">
        <v>907</v>
      </c>
      <c r="B908" s="0" t="str">
        <f aca="false">IF(A908&lt;=36*25,"PRODUKSI","REJECT")</f>
        <v>REJECT</v>
      </c>
      <c r="C908" s="0" t="n">
        <f aca="false">MOD(A908-1,Pemetaan!$B$3*Pemetaan!$B$4)</f>
        <v>6</v>
      </c>
      <c r="D908" s="0" t="n">
        <f aca="false">INT(C908/Pemetaan!$B$4)</f>
        <v>0</v>
      </c>
      <c r="E908" s="0" t="n">
        <f aca="false">MOD(C908,Pemetaan!$B$4)</f>
        <v>6</v>
      </c>
      <c r="F908" s="0" t="n">
        <f aca="false">IF(B908="PRODUKSI",Pemetaan!$B$5,Pemetaan!$B$6)</f>
        <v>46</v>
      </c>
      <c r="G908" s="0" t="n">
        <f aca="false">F908+2+D908</f>
        <v>48</v>
      </c>
      <c r="H908" s="0" t="n">
        <f aca="false">Pemetaan!$B$2+E908</f>
        <v>11</v>
      </c>
      <c r="I908" s="0" t="str">
        <f aca="false">INDEX(Laporan!$A$1:$AZ$300,G908,1)</f>
        <v>Water Treatment</v>
      </c>
      <c r="J908" s="0" t="str">
        <f aca="false">INDEX(Laporan!$A$1:$AZ$300,G908,2)</f>
        <v>330 ml</v>
      </c>
      <c r="K908" s="0" t="str">
        <f aca="false">INDEX(Laporan!$A$1:$AZ$300,G908,3)</f>
        <v>Shift 1</v>
      </c>
      <c r="L908" s="0" t="n">
        <f aca="false">INDEX(Laporan!$A$1:$AZ$300,G908,4)</f>
        <v>1</v>
      </c>
      <c r="M908" s="1" t="n">
        <f aca="false">DATE(Pemetaan!$B$1,VALUE(RIGHT(INDEX(Laporan!$A$1:$AZ$300,F908+1,H908),2)),VALUE(LEFT(INDEX(Laporan!$A$1:$AZ$300,F908+1,H908),2)))</f>
        <v>46091</v>
      </c>
      <c r="N908" s="0" t="n">
        <f aca="false">INDEX(Laporan!$A$1:$AZ$300,G908,H908)</f>
        <v>18</v>
      </c>
      <c r="O908" s="0" t="n">
        <f aca="false">IF(N908="","",IFERROR(VALUE(SUBSTITUTE(SUBSTITUTE(N908," btl",""),".","")),""))</f>
        <v>18</v>
      </c>
      <c r="P908" s="0" t="str">
        <f aca="false">IF(B908="PRODUKSI","produced","reject")</f>
        <v>reject</v>
      </c>
    </row>
    <row r="909" customFormat="false" ht="15" hidden="false" customHeight="false" outlineLevel="0" collapsed="false">
      <c r="A909" s="0" t="n">
        <v>908</v>
      </c>
      <c r="B909" s="0" t="str">
        <f aca="false">IF(A909&lt;=36*25,"PRODUKSI","REJECT")</f>
        <v>REJECT</v>
      </c>
      <c r="C909" s="0" t="n">
        <f aca="false">MOD(A909-1,Pemetaan!$B$3*Pemetaan!$B$4)</f>
        <v>7</v>
      </c>
      <c r="D909" s="0" t="n">
        <f aca="false">INT(C909/Pemetaan!$B$4)</f>
        <v>0</v>
      </c>
      <c r="E909" s="0" t="n">
        <f aca="false">MOD(C909,Pemetaan!$B$4)</f>
        <v>7</v>
      </c>
      <c r="F909" s="0" t="n">
        <f aca="false">IF(B909="PRODUKSI",Pemetaan!$B$5,Pemetaan!$B$6)</f>
        <v>46</v>
      </c>
      <c r="G909" s="0" t="n">
        <f aca="false">F909+2+D909</f>
        <v>48</v>
      </c>
      <c r="H909" s="0" t="n">
        <f aca="false">Pemetaan!$B$2+E909</f>
        <v>12</v>
      </c>
      <c r="I909" s="0" t="str">
        <f aca="false">INDEX(Laporan!$A$1:$AZ$300,G909,1)</f>
        <v>Water Treatment</v>
      </c>
      <c r="J909" s="0" t="str">
        <f aca="false">INDEX(Laporan!$A$1:$AZ$300,G909,2)</f>
        <v>330 ml</v>
      </c>
      <c r="K909" s="0" t="str">
        <f aca="false">INDEX(Laporan!$A$1:$AZ$300,G909,3)</f>
        <v>Shift 1</v>
      </c>
      <c r="L909" s="0" t="n">
        <f aca="false">INDEX(Laporan!$A$1:$AZ$300,G909,4)</f>
        <v>1</v>
      </c>
      <c r="M909" s="1" t="n">
        <f aca="false">DATE(Pemetaan!$B$1,VALUE(RIGHT(INDEX(Laporan!$A$1:$AZ$300,F909+1,H909),2)),VALUE(LEFT(INDEX(Laporan!$A$1:$AZ$300,F909+1,H909),2)))</f>
        <v>46092</v>
      </c>
      <c r="N909" s="0" t="n">
        <f aca="false">INDEX(Laporan!$A$1:$AZ$300,G909,H909)</f>
        <v>18</v>
      </c>
      <c r="O909" s="0" t="n">
        <f aca="false">IF(N909="","",IFERROR(VALUE(SUBSTITUTE(SUBSTITUTE(N909," btl",""),".","")),""))</f>
        <v>18</v>
      </c>
      <c r="P909" s="0" t="str">
        <f aca="false">IF(B909="PRODUKSI","produced","reject")</f>
        <v>reject</v>
      </c>
    </row>
    <row r="910" customFormat="false" ht="15" hidden="false" customHeight="false" outlineLevel="0" collapsed="false">
      <c r="A910" s="0" t="n">
        <v>909</v>
      </c>
      <c r="B910" s="0" t="str">
        <f aca="false">IF(A910&lt;=36*25,"PRODUKSI","REJECT")</f>
        <v>REJECT</v>
      </c>
      <c r="C910" s="0" t="n">
        <f aca="false">MOD(A910-1,Pemetaan!$B$3*Pemetaan!$B$4)</f>
        <v>8</v>
      </c>
      <c r="D910" s="0" t="n">
        <f aca="false">INT(C910/Pemetaan!$B$4)</f>
        <v>0</v>
      </c>
      <c r="E910" s="0" t="n">
        <f aca="false">MOD(C910,Pemetaan!$B$4)</f>
        <v>8</v>
      </c>
      <c r="F910" s="0" t="n">
        <f aca="false">IF(B910="PRODUKSI",Pemetaan!$B$5,Pemetaan!$B$6)</f>
        <v>46</v>
      </c>
      <c r="G910" s="0" t="n">
        <f aca="false">F910+2+D910</f>
        <v>48</v>
      </c>
      <c r="H910" s="0" t="n">
        <f aca="false">Pemetaan!$B$2+E910</f>
        <v>13</v>
      </c>
      <c r="I910" s="0" t="str">
        <f aca="false">INDEX(Laporan!$A$1:$AZ$300,G910,1)</f>
        <v>Water Treatment</v>
      </c>
      <c r="J910" s="0" t="str">
        <f aca="false">INDEX(Laporan!$A$1:$AZ$300,G910,2)</f>
        <v>330 ml</v>
      </c>
      <c r="K910" s="0" t="str">
        <f aca="false">INDEX(Laporan!$A$1:$AZ$300,G910,3)</f>
        <v>Shift 1</v>
      </c>
      <c r="L910" s="0" t="n">
        <f aca="false">INDEX(Laporan!$A$1:$AZ$300,G910,4)</f>
        <v>1</v>
      </c>
      <c r="M910" s="1" t="n">
        <f aca="false">DATE(Pemetaan!$B$1,VALUE(RIGHT(INDEX(Laporan!$A$1:$AZ$300,F910+1,H910),2)),VALUE(LEFT(INDEX(Laporan!$A$1:$AZ$300,F910+1,H910),2)))</f>
        <v>46093</v>
      </c>
      <c r="N910" s="0" t="n">
        <f aca="false">INDEX(Laporan!$A$1:$AZ$300,G910,H910)</f>
        <v>9</v>
      </c>
      <c r="O910" s="0" t="n">
        <f aca="false">IF(N910="","",IFERROR(VALUE(SUBSTITUTE(SUBSTITUTE(N910," btl",""),".","")),""))</f>
        <v>9</v>
      </c>
      <c r="P910" s="0" t="str">
        <f aca="false">IF(B910="PRODUKSI","produced","reject")</f>
        <v>reject</v>
      </c>
    </row>
    <row r="911" customFormat="false" ht="15" hidden="false" customHeight="false" outlineLevel="0" collapsed="false">
      <c r="A911" s="0" t="n">
        <v>910</v>
      </c>
      <c r="B911" s="0" t="str">
        <f aca="false">IF(A911&lt;=36*25,"PRODUKSI","REJECT")</f>
        <v>REJECT</v>
      </c>
      <c r="C911" s="0" t="n">
        <f aca="false">MOD(A911-1,Pemetaan!$B$3*Pemetaan!$B$4)</f>
        <v>9</v>
      </c>
      <c r="D911" s="0" t="n">
        <f aca="false">INT(C911/Pemetaan!$B$4)</f>
        <v>0</v>
      </c>
      <c r="E911" s="0" t="n">
        <f aca="false">MOD(C911,Pemetaan!$B$4)</f>
        <v>9</v>
      </c>
      <c r="F911" s="0" t="n">
        <f aca="false">IF(B911="PRODUKSI",Pemetaan!$B$5,Pemetaan!$B$6)</f>
        <v>46</v>
      </c>
      <c r="G911" s="0" t="n">
        <f aca="false">F911+2+D911</f>
        <v>48</v>
      </c>
      <c r="H911" s="0" t="n">
        <f aca="false">Pemetaan!$B$2+E911</f>
        <v>14</v>
      </c>
      <c r="I911" s="0" t="str">
        <f aca="false">INDEX(Laporan!$A$1:$AZ$300,G911,1)</f>
        <v>Water Treatment</v>
      </c>
      <c r="J911" s="0" t="str">
        <f aca="false">INDEX(Laporan!$A$1:$AZ$300,G911,2)</f>
        <v>330 ml</v>
      </c>
      <c r="K911" s="0" t="str">
        <f aca="false">INDEX(Laporan!$A$1:$AZ$300,G911,3)</f>
        <v>Shift 1</v>
      </c>
      <c r="L911" s="0" t="n">
        <f aca="false">INDEX(Laporan!$A$1:$AZ$300,G911,4)</f>
        <v>1</v>
      </c>
      <c r="M911" s="1" t="n">
        <f aca="false">DATE(Pemetaan!$B$1,VALUE(RIGHT(INDEX(Laporan!$A$1:$AZ$300,F911+1,H911),2)),VALUE(LEFT(INDEX(Laporan!$A$1:$AZ$300,F911+1,H911),2)))</f>
        <v>46094</v>
      </c>
      <c r="N911" s="0" t="n">
        <f aca="false">INDEX(Laporan!$A$1:$AZ$300,G911,H911)</f>
        <v>12</v>
      </c>
      <c r="O911" s="0" t="n">
        <f aca="false">IF(N911="","",IFERROR(VALUE(SUBSTITUTE(SUBSTITUTE(N911," btl",""),".","")),""))</f>
        <v>12</v>
      </c>
      <c r="P911" s="0" t="str">
        <f aca="false">IF(B911="PRODUKSI","produced","reject")</f>
        <v>reject</v>
      </c>
    </row>
    <row r="912" customFormat="false" ht="15" hidden="false" customHeight="false" outlineLevel="0" collapsed="false">
      <c r="A912" s="0" t="n">
        <v>911</v>
      </c>
      <c r="B912" s="0" t="str">
        <f aca="false">IF(A912&lt;=36*25,"PRODUKSI","REJECT")</f>
        <v>REJECT</v>
      </c>
      <c r="C912" s="0" t="n">
        <f aca="false">MOD(A912-1,Pemetaan!$B$3*Pemetaan!$B$4)</f>
        <v>10</v>
      </c>
      <c r="D912" s="0" t="n">
        <f aca="false">INT(C912/Pemetaan!$B$4)</f>
        <v>0</v>
      </c>
      <c r="E912" s="0" t="n">
        <f aca="false">MOD(C912,Pemetaan!$B$4)</f>
        <v>10</v>
      </c>
      <c r="F912" s="0" t="n">
        <f aca="false">IF(B912="PRODUKSI",Pemetaan!$B$5,Pemetaan!$B$6)</f>
        <v>46</v>
      </c>
      <c r="G912" s="0" t="n">
        <f aca="false">F912+2+D912</f>
        <v>48</v>
      </c>
      <c r="H912" s="0" t="n">
        <f aca="false">Pemetaan!$B$2+E912</f>
        <v>15</v>
      </c>
      <c r="I912" s="0" t="str">
        <f aca="false">INDEX(Laporan!$A$1:$AZ$300,G912,1)</f>
        <v>Water Treatment</v>
      </c>
      <c r="J912" s="0" t="str">
        <f aca="false">INDEX(Laporan!$A$1:$AZ$300,G912,2)</f>
        <v>330 ml</v>
      </c>
      <c r="K912" s="0" t="str">
        <f aca="false">INDEX(Laporan!$A$1:$AZ$300,G912,3)</f>
        <v>Shift 1</v>
      </c>
      <c r="L912" s="0" t="n">
        <f aca="false">INDEX(Laporan!$A$1:$AZ$300,G912,4)</f>
        <v>1</v>
      </c>
      <c r="M912" s="1" t="n">
        <f aca="false">DATE(Pemetaan!$B$1,VALUE(RIGHT(INDEX(Laporan!$A$1:$AZ$300,F912+1,H912),2)),VALUE(LEFT(INDEX(Laporan!$A$1:$AZ$300,F912+1,H912),2)))</f>
        <v>46097</v>
      </c>
      <c r="N912" s="0" t="n">
        <f aca="false">INDEX(Laporan!$A$1:$AZ$300,G912,H912)</f>
        <v>9</v>
      </c>
      <c r="O912" s="0" t="n">
        <f aca="false">IF(N912="","",IFERROR(VALUE(SUBSTITUTE(SUBSTITUTE(N912," btl",""),".","")),""))</f>
        <v>9</v>
      </c>
      <c r="P912" s="0" t="str">
        <f aca="false">IF(B912="PRODUKSI","produced","reject")</f>
        <v>reject</v>
      </c>
    </row>
    <row r="913" customFormat="false" ht="15" hidden="false" customHeight="false" outlineLevel="0" collapsed="false">
      <c r="A913" s="0" t="n">
        <v>912</v>
      </c>
      <c r="B913" s="0" t="str">
        <f aca="false">IF(A913&lt;=36*25,"PRODUKSI","REJECT")</f>
        <v>REJECT</v>
      </c>
      <c r="C913" s="0" t="n">
        <f aca="false">MOD(A913-1,Pemetaan!$B$3*Pemetaan!$B$4)</f>
        <v>11</v>
      </c>
      <c r="D913" s="0" t="n">
        <f aca="false">INT(C913/Pemetaan!$B$4)</f>
        <v>0</v>
      </c>
      <c r="E913" s="0" t="n">
        <f aca="false">MOD(C913,Pemetaan!$B$4)</f>
        <v>11</v>
      </c>
      <c r="F913" s="0" t="n">
        <f aca="false">IF(B913="PRODUKSI",Pemetaan!$B$5,Pemetaan!$B$6)</f>
        <v>46</v>
      </c>
      <c r="G913" s="0" t="n">
        <f aca="false">F913+2+D913</f>
        <v>48</v>
      </c>
      <c r="H913" s="0" t="n">
        <f aca="false">Pemetaan!$B$2+E913</f>
        <v>16</v>
      </c>
      <c r="I913" s="0" t="str">
        <f aca="false">INDEX(Laporan!$A$1:$AZ$300,G913,1)</f>
        <v>Water Treatment</v>
      </c>
      <c r="J913" s="0" t="str">
        <f aca="false">INDEX(Laporan!$A$1:$AZ$300,G913,2)</f>
        <v>330 ml</v>
      </c>
      <c r="K913" s="0" t="str">
        <f aca="false">INDEX(Laporan!$A$1:$AZ$300,G913,3)</f>
        <v>Shift 1</v>
      </c>
      <c r="L913" s="0" t="n">
        <f aca="false">INDEX(Laporan!$A$1:$AZ$300,G913,4)</f>
        <v>1</v>
      </c>
      <c r="M913" s="1" t="n">
        <f aca="false">DATE(Pemetaan!$B$1,VALUE(RIGHT(INDEX(Laporan!$A$1:$AZ$300,F913+1,H913),2)),VALUE(LEFT(INDEX(Laporan!$A$1:$AZ$300,F913+1,H913),2)))</f>
        <v>46098</v>
      </c>
      <c r="N913" s="0" t="n">
        <f aca="false">INDEX(Laporan!$A$1:$AZ$300,G913,H913)</f>
        <v>13</v>
      </c>
      <c r="O913" s="0" t="n">
        <f aca="false">IF(N913="","",IFERROR(VALUE(SUBSTITUTE(SUBSTITUTE(N913," btl",""),".","")),""))</f>
        <v>13</v>
      </c>
      <c r="P913" s="0" t="str">
        <f aca="false">IF(B913="PRODUKSI","produced","reject")</f>
        <v>reject</v>
      </c>
    </row>
    <row r="914" customFormat="false" ht="15" hidden="false" customHeight="false" outlineLevel="0" collapsed="false">
      <c r="A914" s="0" t="n">
        <v>913</v>
      </c>
      <c r="B914" s="0" t="str">
        <f aca="false">IF(A914&lt;=36*25,"PRODUKSI","REJECT")</f>
        <v>REJECT</v>
      </c>
      <c r="C914" s="0" t="n">
        <f aca="false">MOD(A914-1,Pemetaan!$B$3*Pemetaan!$B$4)</f>
        <v>12</v>
      </c>
      <c r="D914" s="0" t="n">
        <f aca="false">INT(C914/Pemetaan!$B$4)</f>
        <v>0</v>
      </c>
      <c r="E914" s="0" t="n">
        <f aca="false">MOD(C914,Pemetaan!$B$4)</f>
        <v>12</v>
      </c>
      <c r="F914" s="0" t="n">
        <f aca="false">IF(B914="PRODUKSI",Pemetaan!$B$5,Pemetaan!$B$6)</f>
        <v>46</v>
      </c>
      <c r="G914" s="0" t="n">
        <f aca="false">F914+2+D914</f>
        <v>48</v>
      </c>
      <c r="H914" s="0" t="n">
        <f aca="false">Pemetaan!$B$2+E914</f>
        <v>17</v>
      </c>
      <c r="I914" s="0" t="str">
        <f aca="false">INDEX(Laporan!$A$1:$AZ$300,G914,1)</f>
        <v>Water Treatment</v>
      </c>
      <c r="J914" s="0" t="str">
        <f aca="false">INDEX(Laporan!$A$1:$AZ$300,G914,2)</f>
        <v>330 ml</v>
      </c>
      <c r="K914" s="0" t="str">
        <f aca="false">INDEX(Laporan!$A$1:$AZ$300,G914,3)</f>
        <v>Shift 1</v>
      </c>
      <c r="L914" s="0" t="n">
        <f aca="false">INDEX(Laporan!$A$1:$AZ$300,G914,4)</f>
        <v>1</v>
      </c>
      <c r="M914" s="1" t="n">
        <f aca="false">DATE(Pemetaan!$B$1,VALUE(RIGHT(INDEX(Laporan!$A$1:$AZ$300,F914+1,H914),2)),VALUE(LEFT(INDEX(Laporan!$A$1:$AZ$300,F914+1,H914),2)))</f>
        <v>46099</v>
      </c>
      <c r="N914" s="0" t="n">
        <f aca="false">INDEX(Laporan!$A$1:$AZ$300,G914,H914)</f>
        <v>23</v>
      </c>
      <c r="O914" s="0" t="n">
        <f aca="false">IF(N914="","",IFERROR(VALUE(SUBSTITUTE(SUBSTITUTE(N914," btl",""),".","")),""))</f>
        <v>23</v>
      </c>
      <c r="P914" s="0" t="str">
        <f aca="false">IF(B914="PRODUKSI","produced","reject")</f>
        <v>reject</v>
      </c>
    </row>
    <row r="915" customFormat="false" ht="15" hidden="false" customHeight="false" outlineLevel="0" collapsed="false">
      <c r="A915" s="0" t="n">
        <v>914</v>
      </c>
      <c r="B915" s="0" t="str">
        <f aca="false">IF(A915&lt;=36*25,"PRODUKSI","REJECT")</f>
        <v>REJECT</v>
      </c>
      <c r="C915" s="0" t="n">
        <f aca="false">MOD(A915-1,Pemetaan!$B$3*Pemetaan!$B$4)</f>
        <v>13</v>
      </c>
      <c r="D915" s="0" t="n">
        <f aca="false">INT(C915/Pemetaan!$B$4)</f>
        <v>0</v>
      </c>
      <c r="E915" s="0" t="n">
        <f aca="false">MOD(C915,Pemetaan!$B$4)</f>
        <v>13</v>
      </c>
      <c r="F915" s="0" t="n">
        <f aca="false">IF(B915="PRODUKSI",Pemetaan!$B$5,Pemetaan!$B$6)</f>
        <v>46</v>
      </c>
      <c r="G915" s="0" t="n">
        <f aca="false">F915+2+D915</f>
        <v>48</v>
      </c>
      <c r="H915" s="0" t="n">
        <f aca="false">Pemetaan!$B$2+E915</f>
        <v>18</v>
      </c>
      <c r="I915" s="0" t="str">
        <f aca="false">INDEX(Laporan!$A$1:$AZ$300,G915,1)</f>
        <v>Water Treatment</v>
      </c>
      <c r="J915" s="0" t="str">
        <f aca="false">INDEX(Laporan!$A$1:$AZ$300,G915,2)</f>
        <v>330 ml</v>
      </c>
      <c r="K915" s="0" t="str">
        <f aca="false">INDEX(Laporan!$A$1:$AZ$300,G915,3)</f>
        <v>Shift 1</v>
      </c>
      <c r="L915" s="0" t="n">
        <f aca="false">INDEX(Laporan!$A$1:$AZ$300,G915,4)</f>
        <v>1</v>
      </c>
      <c r="M915" s="1" t="n">
        <f aca="false">DATE(Pemetaan!$B$1,VALUE(RIGHT(INDEX(Laporan!$A$1:$AZ$300,F915+1,H915),2)),VALUE(LEFT(INDEX(Laporan!$A$1:$AZ$300,F915+1,H915),2)))</f>
        <v>46100</v>
      </c>
      <c r="N915" s="0" t="n">
        <f aca="false">INDEX(Laporan!$A$1:$AZ$300,G915,H915)</f>
        <v>7</v>
      </c>
      <c r="O915" s="0" t="n">
        <f aca="false">IF(N915="","",IFERROR(VALUE(SUBSTITUTE(SUBSTITUTE(N915," btl",""),".","")),""))</f>
        <v>7</v>
      </c>
      <c r="P915" s="0" t="str">
        <f aca="false">IF(B915="PRODUKSI","produced","reject")</f>
        <v>reject</v>
      </c>
    </row>
    <row r="916" customFormat="false" ht="15" hidden="false" customHeight="false" outlineLevel="0" collapsed="false">
      <c r="A916" s="0" t="n">
        <v>915</v>
      </c>
      <c r="B916" s="0" t="str">
        <f aca="false">IF(A916&lt;=36*25,"PRODUKSI","REJECT")</f>
        <v>REJECT</v>
      </c>
      <c r="C916" s="0" t="n">
        <f aca="false">MOD(A916-1,Pemetaan!$B$3*Pemetaan!$B$4)</f>
        <v>14</v>
      </c>
      <c r="D916" s="0" t="n">
        <f aca="false">INT(C916/Pemetaan!$B$4)</f>
        <v>0</v>
      </c>
      <c r="E916" s="0" t="n">
        <f aca="false">MOD(C916,Pemetaan!$B$4)</f>
        <v>14</v>
      </c>
      <c r="F916" s="0" t="n">
        <f aca="false">IF(B916="PRODUKSI",Pemetaan!$B$5,Pemetaan!$B$6)</f>
        <v>46</v>
      </c>
      <c r="G916" s="0" t="n">
        <f aca="false">F916+2+D916</f>
        <v>48</v>
      </c>
      <c r="H916" s="0" t="n">
        <f aca="false">Pemetaan!$B$2+E916</f>
        <v>19</v>
      </c>
      <c r="I916" s="0" t="str">
        <f aca="false">INDEX(Laporan!$A$1:$AZ$300,G916,1)</f>
        <v>Water Treatment</v>
      </c>
      <c r="J916" s="0" t="str">
        <f aca="false">INDEX(Laporan!$A$1:$AZ$300,G916,2)</f>
        <v>330 ml</v>
      </c>
      <c r="K916" s="0" t="str">
        <f aca="false">INDEX(Laporan!$A$1:$AZ$300,G916,3)</f>
        <v>Shift 1</v>
      </c>
      <c r="L916" s="0" t="n">
        <f aca="false">INDEX(Laporan!$A$1:$AZ$300,G916,4)</f>
        <v>1</v>
      </c>
      <c r="M916" s="1" t="n">
        <f aca="false">DATE(Pemetaan!$B$1,VALUE(RIGHT(INDEX(Laporan!$A$1:$AZ$300,F916+1,H916),2)),VALUE(LEFT(INDEX(Laporan!$A$1:$AZ$300,F916+1,H916),2)))</f>
        <v>46101</v>
      </c>
      <c r="N916" s="0" t="n">
        <f aca="false">INDEX(Laporan!$A$1:$AZ$300,G916,H916)</f>
        <v>19</v>
      </c>
      <c r="O916" s="0" t="n">
        <f aca="false">IF(N916="","",IFERROR(VALUE(SUBSTITUTE(SUBSTITUTE(N916," btl",""),".","")),""))</f>
        <v>19</v>
      </c>
      <c r="P916" s="0" t="str">
        <f aca="false">IF(B916="PRODUKSI","produced","reject")</f>
        <v>reject</v>
      </c>
    </row>
    <row r="917" customFormat="false" ht="15" hidden="false" customHeight="false" outlineLevel="0" collapsed="false">
      <c r="A917" s="0" t="n">
        <v>916</v>
      </c>
      <c r="B917" s="0" t="str">
        <f aca="false">IF(A917&lt;=36*25,"PRODUKSI","REJECT")</f>
        <v>REJECT</v>
      </c>
      <c r="C917" s="0" t="n">
        <f aca="false">MOD(A917-1,Pemetaan!$B$3*Pemetaan!$B$4)</f>
        <v>15</v>
      </c>
      <c r="D917" s="0" t="n">
        <f aca="false">INT(C917/Pemetaan!$B$4)</f>
        <v>0</v>
      </c>
      <c r="E917" s="0" t="n">
        <f aca="false">MOD(C917,Pemetaan!$B$4)</f>
        <v>15</v>
      </c>
      <c r="F917" s="0" t="n">
        <f aca="false">IF(B917="PRODUKSI",Pemetaan!$B$5,Pemetaan!$B$6)</f>
        <v>46</v>
      </c>
      <c r="G917" s="0" t="n">
        <f aca="false">F917+2+D917</f>
        <v>48</v>
      </c>
      <c r="H917" s="0" t="n">
        <f aca="false">Pemetaan!$B$2+E917</f>
        <v>20</v>
      </c>
      <c r="I917" s="0" t="str">
        <f aca="false">INDEX(Laporan!$A$1:$AZ$300,G917,1)</f>
        <v>Water Treatment</v>
      </c>
      <c r="J917" s="0" t="str">
        <f aca="false">INDEX(Laporan!$A$1:$AZ$300,G917,2)</f>
        <v>330 ml</v>
      </c>
      <c r="K917" s="0" t="str">
        <f aca="false">INDEX(Laporan!$A$1:$AZ$300,G917,3)</f>
        <v>Shift 1</v>
      </c>
      <c r="L917" s="0" t="n">
        <f aca="false">INDEX(Laporan!$A$1:$AZ$300,G917,4)</f>
        <v>1</v>
      </c>
      <c r="M917" s="1" t="n">
        <f aca="false">DATE(Pemetaan!$B$1,VALUE(RIGHT(INDEX(Laporan!$A$1:$AZ$300,F917+1,H917),2)),VALUE(LEFT(INDEX(Laporan!$A$1:$AZ$300,F917+1,H917),2)))</f>
        <v>46104</v>
      </c>
      <c r="N917" s="0" t="n">
        <f aca="false">INDEX(Laporan!$A$1:$AZ$300,G917,H917)</f>
        <v>6</v>
      </c>
      <c r="O917" s="0" t="n">
        <f aca="false">IF(N917="","",IFERROR(VALUE(SUBSTITUTE(SUBSTITUTE(N917," btl",""),".","")),""))</f>
        <v>6</v>
      </c>
      <c r="P917" s="0" t="str">
        <f aca="false">IF(B917="PRODUKSI","produced","reject")</f>
        <v>reject</v>
      </c>
    </row>
    <row r="918" customFormat="false" ht="15" hidden="false" customHeight="false" outlineLevel="0" collapsed="false">
      <c r="A918" s="0" t="n">
        <v>917</v>
      </c>
      <c r="B918" s="0" t="str">
        <f aca="false">IF(A918&lt;=36*25,"PRODUKSI","REJECT")</f>
        <v>REJECT</v>
      </c>
      <c r="C918" s="0" t="n">
        <f aca="false">MOD(A918-1,Pemetaan!$B$3*Pemetaan!$B$4)</f>
        <v>16</v>
      </c>
      <c r="D918" s="0" t="n">
        <f aca="false">INT(C918/Pemetaan!$B$4)</f>
        <v>0</v>
      </c>
      <c r="E918" s="0" t="n">
        <f aca="false">MOD(C918,Pemetaan!$B$4)</f>
        <v>16</v>
      </c>
      <c r="F918" s="0" t="n">
        <f aca="false">IF(B918="PRODUKSI",Pemetaan!$B$5,Pemetaan!$B$6)</f>
        <v>46</v>
      </c>
      <c r="G918" s="0" t="n">
        <f aca="false">F918+2+D918</f>
        <v>48</v>
      </c>
      <c r="H918" s="0" t="n">
        <f aca="false">Pemetaan!$B$2+E918</f>
        <v>21</v>
      </c>
      <c r="I918" s="0" t="str">
        <f aca="false">INDEX(Laporan!$A$1:$AZ$300,G918,1)</f>
        <v>Water Treatment</v>
      </c>
      <c r="J918" s="0" t="str">
        <f aca="false">INDEX(Laporan!$A$1:$AZ$300,G918,2)</f>
        <v>330 ml</v>
      </c>
      <c r="K918" s="0" t="str">
        <f aca="false">INDEX(Laporan!$A$1:$AZ$300,G918,3)</f>
        <v>Shift 1</v>
      </c>
      <c r="L918" s="0" t="n">
        <f aca="false">INDEX(Laporan!$A$1:$AZ$300,G918,4)</f>
        <v>1</v>
      </c>
      <c r="M918" s="1" t="n">
        <f aca="false">DATE(Pemetaan!$B$1,VALUE(RIGHT(INDEX(Laporan!$A$1:$AZ$300,F918+1,H918),2)),VALUE(LEFT(INDEX(Laporan!$A$1:$AZ$300,F918+1,H918),2)))</f>
        <v>46105</v>
      </c>
      <c r="N918" s="0" t="n">
        <f aca="false">INDEX(Laporan!$A$1:$AZ$300,G918,H918)</f>
        <v>13</v>
      </c>
      <c r="O918" s="0" t="n">
        <f aca="false">IF(N918="","",IFERROR(VALUE(SUBSTITUTE(SUBSTITUTE(N918," btl",""),".","")),""))</f>
        <v>13</v>
      </c>
      <c r="P918" s="0" t="str">
        <f aca="false">IF(B918="PRODUKSI","produced","reject")</f>
        <v>reject</v>
      </c>
    </row>
    <row r="919" customFormat="false" ht="15" hidden="false" customHeight="false" outlineLevel="0" collapsed="false">
      <c r="A919" s="0" t="n">
        <v>918</v>
      </c>
      <c r="B919" s="0" t="str">
        <f aca="false">IF(A919&lt;=36*25,"PRODUKSI","REJECT")</f>
        <v>REJECT</v>
      </c>
      <c r="C919" s="0" t="n">
        <f aca="false">MOD(A919-1,Pemetaan!$B$3*Pemetaan!$B$4)</f>
        <v>17</v>
      </c>
      <c r="D919" s="0" t="n">
        <f aca="false">INT(C919/Pemetaan!$B$4)</f>
        <v>0</v>
      </c>
      <c r="E919" s="0" t="n">
        <f aca="false">MOD(C919,Pemetaan!$B$4)</f>
        <v>17</v>
      </c>
      <c r="F919" s="0" t="n">
        <f aca="false">IF(B919="PRODUKSI",Pemetaan!$B$5,Pemetaan!$B$6)</f>
        <v>46</v>
      </c>
      <c r="G919" s="0" t="n">
        <f aca="false">F919+2+D919</f>
        <v>48</v>
      </c>
      <c r="H919" s="0" t="n">
        <f aca="false">Pemetaan!$B$2+E919</f>
        <v>22</v>
      </c>
      <c r="I919" s="0" t="str">
        <f aca="false">INDEX(Laporan!$A$1:$AZ$300,G919,1)</f>
        <v>Water Treatment</v>
      </c>
      <c r="J919" s="0" t="str">
        <f aca="false">INDEX(Laporan!$A$1:$AZ$300,G919,2)</f>
        <v>330 ml</v>
      </c>
      <c r="K919" s="0" t="str">
        <f aca="false">INDEX(Laporan!$A$1:$AZ$300,G919,3)</f>
        <v>Shift 1</v>
      </c>
      <c r="L919" s="0" t="n">
        <f aca="false">INDEX(Laporan!$A$1:$AZ$300,G919,4)</f>
        <v>1</v>
      </c>
      <c r="M919" s="1" t="n">
        <f aca="false">DATE(Pemetaan!$B$1,VALUE(RIGHT(INDEX(Laporan!$A$1:$AZ$300,F919+1,H919),2)),VALUE(LEFT(INDEX(Laporan!$A$1:$AZ$300,F919+1,H919),2)))</f>
        <v>46106</v>
      </c>
      <c r="N919" s="0" t="n">
        <f aca="false">INDEX(Laporan!$A$1:$AZ$300,G919,H919)</f>
        <v>15</v>
      </c>
      <c r="O919" s="0" t="n">
        <f aca="false">IF(N919="","",IFERROR(VALUE(SUBSTITUTE(SUBSTITUTE(N919," btl",""),".","")),""))</f>
        <v>15</v>
      </c>
      <c r="P919" s="0" t="str">
        <f aca="false">IF(B919="PRODUKSI","produced","reject")</f>
        <v>reject</v>
      </c>
    </row>
    <row r="920" customFormat="false" ht="15" hidden="false" customHeight="false" outlineLevel="0" collapsed="false">
      <c r="A920" s="0" t="n">
        <v>919</v>
      </c>
      <c r="B920" s="0" t="str">
        <f aca="false">IF(A920&lt;=36*25,"PRODUKSI","REJECT")</f>
        <v>REJECT</v>
      </c>
      <c r="C920" s="0" t="n">
        <f aca="false">MOD(A920-1,Pemetaan!$B$3*Pemetaan!$B$4)</f>
        <v>18</v>
      </c>
      <c r="D920" s="0" t="n">
        <f aca="false">INT(C920/Pemetaan!$B$4)</f>
        <v>0</v>
      </c>
      <c r="E920" s="0" t="n">
        <f aca="false">MOD(C920,Pemetaan!$B$4)</f>
        <v>18</v>
      </c>
      <c r="F920" s="0" t="n">
        <f aca="false">IF(B920="PRODUKSI",Pemetaan!$B$5,Pemetaan!$B$6)</f>
        <v>46</v>
      </c>
      <c r="G920" s="0" t="n">
        <f aca="false">F920+2+D920</f>
        <v>48</v>
      </c>
      <c r="H920" s="0" t="n">
        <f aca="false">Pemetaan!$B$2+E920</f>
        <v>23</v>
      </c>
      <c r="I920" s="0" t="str">
        <f aca="false">INDEX(Laporan!$A$1:$AZ$300,G920,1)</f>
        <v>Water Treatment</v>
      </c>
      <c r="J920" s="0" t="str">
        <f aca="false">INDEX(Laporan!$A$1:$AZ$300,G920,2)</f>
        <v>330 ml</v>
      </c>
      <c r="K920" s="0" t="str">
        <f aca="false">INDEX(Laporan!$A$1:$AZ$300,G920,3)</f>
        <v>Shift 1</v>
      </c>
      <c r="L920" s="0" t="n">
        <f aca="false">INDEX(Laporan!$A$1:$AZ$300,G920,4)</f>
        <v>1</v>
      </c>
      <c r="M920" s="1" t="n">
        <f aca="false">DATE(Pemetaan!$B$1,VALUE(RIGHT(INDEX(Laporan!$A$1:$AZ$300,F920+1,H920),2)),VALUE(LEFT(INDEX(Laporan!$A$1:$AZ$300,F920+1,H920),2)))</f>
        <v>46107</v>
      </c>
      <c r="N920" s="0" t="n">
        <f aca="false">INDEX(Laporan!$A$1:$AZ$300,G920,H920)</f>
        <v>14</v>
      </c>
      <c r="O920" s="0" t="n">
        <f aca="false">IF(N920="","",IFERROR(VALUE(SUBSTITUTE(SUBSTITUTE(N920," btl",""),".","")),""))</f>
        <v>14</v>
      </c>
      <c r="P920" s="0" t="str">
        <f aca="false">IF(B920="PRODUKSI","produced","reject")</f>
        <v>reject</v>
      </c>
    </row>
    <row r="921" customFormat="false" ht="15" hidden="false" customHeight="false" outlineLevel="0" collapsed="false">
      <c r="A921" s="0" t="n">
        <v>920</v>
      </c>
      <c r="B921" s="0" t="str">
        <f aca="false">IF(A921&lt;=36*25,"PRODUKSI","REJECT")</f>
        <v>REJECT</v>
      </c>
      <c r="C921" s="0" t="n">
        <f aca="false">MOD(A921-1,Pemetaan!$B$3*Pemetaan!$B$4)</f>
        <v>19</v>
      </c>
      <c r="D921" s="0" t="n">
        <f aca="false">INT(C921/Pemetaan!$B$4)</f>
        <v>0</v>
      </c>
      <c r="E921" s="0" t="n">
        <f aca="false">MOD(C921,Pemetaan!$B$4)</f>
        <v>19</v>
      </c>
      <c r="F921" s="0" t="n">
        <f aca="false">IF(B921="PRODUKSI",Pemetaan!$B$5,Pemetaan!$B$6)</f>
        <v>46</v>
      </c>
      <c r="G921" s="0" t="n">
        <f aca="false">F921+2+D921</f>
        <v>48</v>
      </c>
      <c r="H921" s="0" t="n">
        <f aca="false">Pemetaan!$B$2+E921</f>
        <v>24</v>
      </c>
      <c r="I921" s="0" t="str">
        <f aca="false">INDEX(Laporan!$A$1:$AZ$300,G921,1)</f>
        <v>Water Treatment</v>
      </c>
      <c r="J921" s="0" t="str">
        <f aca="false">INDEX(Laporan!$A$1:$AZ$300,G921,2)</f>
        <v>330 ml</v>
      </c>
      <c r="K921" s="0" t="str">
        <f aca="false">INDEX(Laporan!$A$1:$AZ$300,G921,3)</f>
        <v>Shift 1</v>
      </c>
      <c r="L921" s="0" t="n">
        <f aca="false">INDEX(Laporan!$A$1:$AZ$300,G921,4)</f>
        <v>1</v>
      </c>
      <c r="M921" s="1" t="n">
        <f aca="false">DATE(Pemetaan!$B$1,VALUE(RIGHT(INDEX(Laporan!$A$1:$AZ$300,F921+1,H921),2)),VALUE(LEFT(INDEX(Laporan!$A$1:$AZ$300,F921+1,H921),2)))</f>
        <v>46108</v>
      </c>
      <c r="N921" s="0" t="n">
        <f aca="false">INDEX(Laporan!$A$1:$AZ$300,G921,H921)</f>
        <v>13</v>
      </c>
      <c r="O921" s="0" t="n">
        <f aca="false">IF(N921="","",IFERROR(VALUE(SUBSTITUTE(SUBSTITUTE(N921," btl",""),".","")),""))</f>
        <v>13</v>
      </c>
      <c r="P921" s="0" t="str">
        <f aca="false">IF(B921="PRODUKSI","produced","reject")</f>
        <v>reject</v>
      </c>
    </row>
    <row r="922" customFormat="false" ht="15" hidden="false" customHeight="false" outlineLevel="0" collapsed="false">
      <c r="A922" s="0" t="n">
        <v>921</v>
      </c>
      <c r="B922" s="0" t="str">
        <f aca="false">IF(A922&lt;=36*25,"PRODUKSI","REJECT")</f>
        <v>REJECT</v>
      </c>
      <c r="C922" s="0" t="n">
        <f aca="false">MOD(A922-1,Pemetaan!$B$3*Pemetaan!$B$4)</f>
        <v>20</v>
      </c>
      <c r="D922" s="0" t="n">
        <f aca="false">INT(C922/Pemetaan!$B$4)</f>
        <v>0</v>
      </c>
      <c r="E922" s="0" t="n">
        <f aca="false">MOD(C922,Pemetaan!$B$4)</f>
        <v>20</v>
      </c>
      <c r="F922" s="0" t="n">
        <f aca="false">IF(B922="PRODUKSI",Pemetaan!$B$5,Pemetaan!$B$6)</f>
        <v>46</v>
      </c>
      <c r="G922" s="0" t="n">
        <f aca="false">F922+2+D922</f>
        <v>48</v>
      </c>
      <c r="H922" s="0" t="n">
        <f aca="false">Pemetaan!$B$2+E922</f>
        <v>25</v>
      </c>
      <c r="I922" s="0" t="str">
        <f aca="false">INDEX(Laporan!$A$1:$AZ$300,G922,1)</f>
        <v>Water Treatment</v>
      </c>
      <c r="J922" s="0" t="str">
        <f aca="false">INDEX(Laporan!$A$1:$AZ$300,G922,2)</f>
        <v>330 ml</v>
      </c>
      <c r="K922" s="0" t="str">
        <f aca="false">INDEX(Laporan!$A$1:$AZ$300,G922,3)</f>
        <v>Shift 1</v>
      </c>
      <c r="L922" s="0" t="n">
        <f aca="false">INDEX(Laporan!$A$1:$AZ$300,G922,4)</f>
        <v>1</v>
      </c>
      <c r="M922" s="1" t="n">
        <f aca="false">DATE(Pemetaan!$B$1,VALUE(RIGHT(INDEX(Laporan!$A$1:$AZ$300,F922+1,H922),2)),VALUE(LEFT(INDEX(Laporan!$A$1:$AZ$300,F922+1,H922),2)))</f>
        <v>46111</v>
      </c>
      <c r="N922" s="0" t="n">
        <f aca="false">INDEX(Laporan!$A$1:$AZ$300,G922,H922)</f>
        <v>10</v>
      </c>
      <c r="O922" s="0" t="n">
        <f aca="false">IF(N922="","",IFERROR(VALUE(SUBSTITUTE(SUBSTITUTE(N922," btl",""),".","")),""))</f>
        <v>10</v>
      </c>
      <c r="P922" s="0" t="str">
        <f aca="false">IF(B922="PRODUKSI","produced","reject")</f>
        <v>reject</v>
      </c>
    </row>
    <row r="923" customFormat="false" ht="15" hidden="false" customHeight="false" outlineLevel="0" collapsed="false">
      <c r="A923" s="0" t="n">
        <v>922</v>
      </c>
      <c r="B923" s="0" t="str">
        <f aca="false">IF(A923&lt;=36*25,"PRODUKSI","REJECT")</f>
        <v>REJECT</v>
      </c>
      <c r="C923" s="0" t="n">
        <f aca="false">MOD(A923-1,Pemetaan!$B$3*Pemetaan!$B$4)</f>
        <v>21</v>
      </c>
      <c r="D923" s="0" t="n">
        <f aca="false">INT(C923/Pemetaan!$B$4)</f>
        <v>0</v>
      </c>
      <c r="E923" s="0" t="n">
        <f aca="false">MOD(C923,Pemetaan!$B$4)</f>
        <v>21</v>
      </c>
      <c r="F923" s="0" t="n">
        <f aca="false">IF(B923="PRODUKSI",Pemetaan!$B$5,Pemetaan!$B$6)</f>
        <v>46</v>
      </c>
      <c r="G923" s="0" t="n">
        <f aca="false">F923+2+D923</f>
        <v>48</v>
      </c>
      <c r="H923" s="0" t="n">
        <f aca="false">Pemetaan!$B$2+E923</f>
        <v>26</v>
      </c>
      <c r="I923" s="0" t="str">
        <f aca="false">INDEX(Laporan!$A$1:$AZ$300,G923,1)</f>
        <v>Water Treatment</v>
      </c>
      <c r="J923" s="0" t="str">
        <f aca="false">INDEX(Laporan!$A$1:$AZ$300,G923,2)</f>
        <v>330 ml</v>
      </c>
      <c r="K923" s="0" t="str">
        <f aca="false">INDEX(Laporan!$A$1:$AZ$300,G923,3)</f>
        <v>Shift 1</v>
      </c>
      <c r="L923" s="0" t="n">
        <f aca="false">INDEX(Laporan!$A$1:$AZ$300,G923,4)</f>
        <v>1</v>
      </c>
      <c r="M923" s="1" t="n">
        <f aca="false">DATE(Pemetaan!$B$1,VALUE(RIGHT(INDEX(Laporan!$A$1:$AZ$300,F923+1,H923),2)),VALUE(LEFT(INDEX(Laporan!$A$1:$AZ$300,F923+1,H923),2)))</f>
        <v>46112</v>
      </c>
      <c r="N923" s="0" t="n">
        <f aca="false">INDEX(Laporan!$A$1:$AZ$300,G923,H923)</f>
        <v>12</v>
      </c>
      <c r="O923" s="0" t="n">
        <f aca="false">IF(N923="","",IFERROR(VALUE(SUBSTITUTE(SUBSTITUTE(N923," btl",""),".","")),""))</f>
        <v>12</v>
      </c>
      <c r="P923" s="0" t="str">
        <f aca="false">IF(B923="PRODUKSI","produced","reject")</f>
        <v>reject</v>
      </c>
    </row>
    <row r="924" customFormat="false" ht="15" hidden="false" customHeight="false" outlineLevel="0" collapsed="false">
      <c r="A924" s="0" t="n">
        <v>923</v>
      </c>
      <c r="B924" s="0" t="str">
        <f aca="false">IF(A924&lt;=36*25,"PRODUKSI","REJECT")</f>
        <v>REJECT</v>
      </c>
      <c r="C924" s="0" t="n">
        <f aca="false">MOD(A924-1,Pemetaan!$B$3*Pemetaan!$B$4)</f>
        <v>22</v>
      </c>
      <c r="D924" s="0" t="n">
        <f aca="false">INT(C924/Pemetaan!$B$4)</f>
        <v>0</v>
      </c>
      <c r="E924" s="0" t="n">
        <f aca="false">MOD(C924,Pemetaan!$B$4)</f>
        <v>22</v>
      </c>
      <c r="F924" s="0" t="n">
        <f aca="false">IF(B924="PRODUKSI",Pemetaan!$B$5,Pemetaan!$B$6)</f>
        <v>46</v>
      </c>
      <c r="G924" s="0" t="n">
        <f aca="false">F924+2+D924</f>
        <v>48</v>
      </c>
      <c r="H924" s="0" t="n">
        <f aca="false">Pemetaan!$B$2+E924</f>
        <v>27</v>
      </c>
      <c r="I924" s="0" t="str">
        <f aca="false">INDEX(Laporan!$A$1:$AZ$300,G924,1)</f>
        <v>Water Treatment</v>
      </c>
      <c r="J924" s="0" t="str">
        <f aca="false">INDEX(Laporan!$A$1:$AZ$300,G924,2)</f>
        <v>330 ml</v>
      </c>
      <c r="K924" s="0" t="str">
        <f aca="false">INDEX(Laporan!$A$1:$AZ$300,G924,3)</f>
        <v>Shift 1</v>
      </c>
      <c r="L924" s="0" t="n">
        <f aca="false">INDEX(Laporan!$A$1:$AZ$300,G924,4)</f>
        <v>1</v>
      </c>
      <c r="M924" s="1" t="n">
        <f aca="false">DATE(Pemetaan!$B$1,VALUE(RIGHT(INDEX(Laporan!$A$1:$AZ$300,F924+1,H924),2)),VALUE(LEFT(INDEX(Laporan!$A$1:$AZ$300,F924+1,H924),2)))</f>
        <v>46113</v>
      </c>
      <c r="N924" s="0" t="n">
        <f aca="false">INDEX(Laporan!$A$1:$AZ$300,G924,H924)</f>
        <v>13</v>
      </c>
      <c r="O924" s="0" t="n">
        <f aca="false">IF(N924="","",IFERROR(VALUE(SUBSTITUTE(SUBSTITUTE(N924," btl",""),".","")),""))</f>
        <v>13</v>
      </c>
      <c r="P924" s="0" t="str">
        <f aca="false">IF(B924="PRODUKSI","produced","reject")</f>
        <v>reject</v>
      </c>
    </row>
    <row r="925" customFormat="false" ht="15" hidden="false" customHeight="false" outlineLevel="0" collapsed="false">
      <c r="A925" s="0" t="n">
        <v>924</v>
      </c>
      <c r="B925" s="0" t="str">
        <f aca="false">IF(A925&lt;=36*25,"PRODUKSI","REJECT")</f>
        <v>REJECT</v>
      </c>
      <c r="C925" s="0" t="n">
        <f aca="false">MOD(A925-1,Pemetaan!$B$3*Pemetaan!$B$4)</f>
        <v>23</v>
      </c>
      <c r="D925" s="0" t="n">
        <f aca="false">INT(C925/Pemetaan!$B$4)</f>
        <v>0</v>
      </c>
      <c r="E925" s="0" t="n">
        <f aca="false">MOD(C925,Pemetaan!$B$4)</f>
        <v>23</v>
      </c>
      <c r="F925" s="0" t="n">
        <f aca="false">IF(B925="PRODUKSI",Pemetaan!$B$5,Pemetaan!$B$6)</f>
        <v>46</v>
      </c>
      <c r="G925" s="0" t="n">
        <f aca="false">F925+2+D925</f>
        <v>48</v>
      </c>
      <c r="H925" s="0" t="n">
        <f aca="false">Pemetaan!$B$2+E925</f>
        <v>28</v>
      </c>
      <c r="I925" s="0" t="str">
        <f aca="false">INDEX(Laporan!$A$1:$AZ$300,G925,1)</f>
        <v>Water Treatment</v>
      </c>
      <c r="J925" s="0" t="str">
        <f aca="false">INDEX(Laporan!$A$1:$AZ$300,G925,2)</f>
        <v>330 ml</v>
      </c>
      <c r="K925" s="0" t="str">
        <f aca="false">INDEX(Laporan!$A$1:$AZ$300,G925,3)</f>
        <v>Shift 1</v>
      </c>
      <c r="L925" s="0" t="n">
        <f aca="false">INDEX(Laporan!$A$1:$AZ$300,G925,4)</f>
        <v>1</v>
      </c>
      <c r="M925" s="1" t="n">
        <f aca="false">DATE(Pemetaan!$B$1,VALUE(RIGHT(INDEX(Laporan!$A$1:$AZ$300,F925+1,H925),2)),VALUE(LEFT(INDEX(Laporan!$A$1:$AZ$300,F925+1,H925),2)))</f>
        <v>46114</v>
      </c>
      <c r="N925" s="0" t="n">
        <f aca="false">INDEX(Laporan!$A$1:$AZ$300,G925,H925)</f>
        <v>180</v>
      </c>
      <c r="O925" s="0" t="n">
        <f aca="false">IF(N925="","",IFERROR(VALUE(SUBSTITUTE(SUBSTITUTE(N925," btl",""),".","")),""))</f>
        <v>180</v>
      </c>
      <c r="P925" s="0" t="str">
        <f aca="false">IF(B925="PRODUKSI","produced","reject")</f>
        <v>reject</v>
      </c>
    </row>
    <row r="926" customFormat="false" ht="15" hidden="false" customHeight="false" outlineLevel="0" collapsed="false">
      <c r="A926" s="0" t="n">
        <v>925</v>
      </c>
      <c r="B926" s="0" t="str">
        <f aca="false">IF(A926&lt;=36*25,"PRODUKSI","REJECT")</f>
        <v>REJECT</v>
      </c>
      <c r="C926" s="0" t="n">
        <f aca="false">MOD(A926-1,Pemetaan!$B$3*Pemetaan!$B$4)</f>
        <v>24</v>
      </c>
      <c r="D926" s="0" t="n">
        <f aca="false">INT(C926/Pemetaan!$B$4)</f>
        <v>0</v>
      </c>
      <c r="E926" s="0" t="n">
        <f aca="false">MOD(C926,Pemetaan!$B$4)</f>
        <v>24</v>
      </c>
      <c r="F926" s="0" t="n">
        <f aca="false">IF(B926="PRODUKSI",Pemetaan!$B$5,Pemetaan!$B$6)</f>
        <v>46</v>
      </c>
      <c r="G926" s="0" t="n">
        <f aca="false">F926+2+D926</f>
        <v>48</v>
      </c>
      <c r="H926" s="0" t="n">
        <f aca="false">Pemetaan!$B$2+E926</f>
        <v>29</v>
      </c>
      <c r="I926" s="0" t="str">
        <f aca="false">INDEX(Laporan!$A$1:$AZ$300,G926,1)</f>
        <v>Water Treatment</v>
      </c>
      <c r="J926" s="0" t="str">
        <f aca="false">INDEX(Laporan!$A$1:$AZ$300,G926,2)</f>
        <v>330 ml</v>
      </c>
      <c r="K926" s="0" t="str">
        <f aca="false">INDEX(Laporan!$A$1:$AZ$300,G926,3)</f>
        <v>Shift 1</v>
      </c>
      <c r="L926" s="0" t="n">
        <f aca="false">INDEX(Laporan!$A$1:$AZ$300,G926,4)</f>
        <v>1</v>
      </c>
      <c r="M926" s="1" t="n">
        <f aca="false">DATE(Pemetaan!$B$1,VALUE(RIGHT(INDEX(Laporan!$A$1:$AZ$300,F926+1,H926),2)),VALUE(LEFT(INDEX(Laporan!$A$1:$AZ$300,F926+1,H926),2)))</f>
        <v>46115</v>
      </c>
      <c r="N926" s="0" t="n">
        <f aca="false">INDEX(Laporan!$A$1:$AZ$300,G926,H926)</f>
        <v>8</v>
      </c>
      <c r="O926" s="0" t="n">
        <f aca="false">IF(N926="","",IFERROR(VALUE(SUBSTITUTE(SUBSTITUTE(N926," btl",""),".","")),""))</f>
        <v>8</v>
      </c>
      <c r="P926" s="0" t="str">
        <f aca="false">IF(B926="PRODUKSI","produced","reject")</f>
        <v>reject</v>
      </c>
    </row>
    <row r="927" customFormat="false" ht="15" hidden="false" customHeight="false" outlineLevel="0" collapsed="false">
      <c r="A927" s="0" t="n">
        <v>926</v>
      </c>
      <c r="B927" s="0" t="str">
        <f aca="false">IF(A927&lt;=36*25,"PRODUKSI","REJECT")</f>
        <v>REJECT</v>
      </c>
      <c r="C927" s="0" t="n">
        <f aca="false">MOD(A927-1,Pemetaan!$B$3*Pemetaan!$B$4)</f>
        <v>25</v>
      </c>
      <c r="D927" s="0" t="n">
        <f aca="false">INT(C927/Pemetaan!$B$4)</f>
        <v>1</v>
      </c>
      <c r="E927" s="0" t="n">
        <f aca="false">MOD(C927,Pemetaan!$B$4)</f>
        <v>0</v>
      </c>
      <c r="F927" s="0" t="n">
        <f aca="false">IF(B927="PRODUKSI",Pemetaan!$B$5,Pemetaan!$B$6)</f>
        <v>46</v>
      </c>
      <c r="G927" s="0" t="n">
        <f aca="false">F927+2+D927</f>
        <v>49</v>
      </c>
      <c r="H927" s="0" t="n">
        <f aca="false">Pemetaan!$B$2+E927</f>
        <v>5</v>
      </c>
      <c r="I927" s="0" t="str">
        <f aca="false">INDEX(Laporan!$A$1:$AZ$300,G927,1)</f>
        <v>Water Treatment</v>
      </c>
      <c r="J927" s="0" t="str">
        <f aca="false">INDEX(Laporan!$A$1:$AZ$300,G927,2)</f>
        <v>330 ml</v>
      </c>
      <c r="K927" s="0" t="str">
        <f aca="false">INDEX(Laporan!$A$1:$AZ$300,G927,3)</f>
        <v>Shift 1</v>
      </c>
      <c r="L927" s="0" t="n">
        <f aca="false">INDEX(Laporan!$A$1:$AZ$300,G927,4)</f>
        <v>2</v>
      </c>
      <c r="M927" s="1" t="n">
        <f aca="false">DATE(Pemetaan!$B$1,VALUE(RIGHT(INDEX(Laporan!$A$1:$AZ$300,F927+1,H927),2)),VALUE(LEFT(INDEX(Laporan!$A$1:$AZ$300,F927+1,H927),2)))</f>
        <v>46083</v>
      </c>
      <c r="N927" s="0" t="n">
        <f aca="false">INDEX(Laporan!$A$1:$AZ$300,G927,H927)</f>
        <v>16</v>
      </c>
      <c r="O927" s="0" t="n">
        <f aca="false">IF(N927="","",IFERROR(VALUE(SUBSTITUTE(SUBSTITUTE(N927," btl",""),".","")),""))</f>
        <v>16</v>
      </c>
      <c r="P927" s="0" t="str">
        <f aca="false">IF(B927="PRODUKSI","produced","reject")</f>
        <v>reject</v>
      </c>
    </row>
    <row r="928" customFormat="false" ht="15" hidden="false" customHeight="false" outlineLevel="0" collapsed="false">
      <c r="A928" s="0" t="n">
        <v>927</v>
      </c>
      <c r="B928" s="0" t="str">
        <f aca="false">IF(A928&lt;=36*25,"PRODUKSI","REJECT")</f>
        <v>REJECT</v>
      </c>
      <c r="C928" s="0" t="n">
        <f aca="false">MOD(A928-1,Pemetaan!$B$3*Pemetaan!$B$4)</f>
        <v>26</v>
      </c>
      <c r="D928" s="0" t="n">
        <f aca="false">INT(C928/Pemetaan!$B$4)</f>
        <v>1</v>
      </c>
      <c r="E928" s="0" t="n">
        <f aca="false">MOD(C928,Pemetaan!$B$4)</f>
        <v>1</v>
      </c>
      <c r="F928" s="0" t="n">
        <f aca="false">IF(B928="PRODUKSI",Pemetaan!$B$5,Pemetaan!$B$6)</f>
        <v>46</v>
      </c>
      <c r="G928" s="0" t="n">
        <f aca="false">F928+2+D928</f>
        <v>49</v>
      </c>
      <c r="H928" s="0" t="n">
        <f aca="false">Pemetaan!$B$2+E928</f>
        <v>6</v>
      </c>
      <c r="I928" s="0" t="str">
        <f aca="false">INDEX(Laporan!$A$1:$AZ$300,G928,1)</f>
        <v>Water Treatment</v>
      </c>
      <c r="J928" s="0" t="str">
        <f aca="false">INDEX(Laporan!$A$1:$AZ$300,G928,2)</f>
        <v>330 ml</v>
      </c>
      <c r="K928" s="0" t="str">
        <f aca="false">INDEX(Laporan!$A$1:$AZ$300,G928,3)</f>
        <v>Shift 1</v>
      </c>
      <c r="L928" s="0" t="n">
        <f aca="false">INDEX(Laporan!$A$1:$AZ$300,G928,4)</f>
        <v>2</v>
      </c>
      <c r="M928" s="1" t="n">
        <f aca="false">DATE(Pemetaan!$B$1,VALUE(RIGHT(INDEX(Laporan!$A$1:$AZ$300,F928+1,H928),2)),VALUE(LEFT(INDEX(Laporan!$A$1:$AZ$300,F928+1,H928),2)))</f>
        <v>46084</v>
      </c>
      <c r="N928" s="0" t="n">
        <f aca="false">INDEX(Laporan!$A$1:$AZ$300,G928,H928)</f>
        <v>9</v>
      </c>
      <c r="O928" s="0" t="n">
        <f aca="false">IF(N928="","",IFERROR(VALUE(SUBSTITUTE(SUBSTITUTE(N928," btl",""),".","")),""))</f>
        <v>9</v>
      </c>
      <c r="P928" s="0" t="str">
        <f aca="false">IF(B928="PRODUKSI","produced","reject")</f>
        <v>reject</v>
      </c>
    </row>
    <row r="929" customFormat="false" ht="15" hidden="false" customHeight="false" outlineLevel="0" collapsed="false">
      <c r="A929" s="0" t="n">
        <v>928</v>
      </c>
      <c r="B929" s="0" t="str">
        <f aca="false">IF(A929&lt;=36*25,"PRODUKSI","REJECT")</f>
        <v>REJECT</v>
      </c>
      <c r="C929" s="0" t="n">
        <f aca="false">MOD(A929-1,Pemetaan!$B$3*Pemetaan!$B$4)</f>
        <v>27</v>
      </c>
      <c r="D929" s="0" t="n">
        <f aca="false">INT(C929/Pemetaan!$B$4)</f>
        <v>1</v>
      </c>
      <c r="E929" s="0" t="n">
        <f aca="false">MOD(C929,Pemetaan!$B$4)</f>
        <v>2</v>
      </c>
      <c r="F929" s="0" t="n">
        <f aca="false">IF(B929="PRODUKSI",Pemetaan!$B$5,Pemetaan!$B$6)</f>
        <v>46</v>
      </c>
      <c r="G929" s="0" t="n">
        <f aca="false">F929+2+D929</f>
        <v>49</v>
      </c>
      <c r="H929" s="0" t="n">
        <f aca="false">Pemetaan!$B$2+E929</f>
        <v>7</v>
      </c>
      <c r="I929" s="0" t="str">
        <f aca="false">INDEX(Laporan!$A$1:$AZ$300,G929,1)</f>
        <v>Water Treatment</v>
      </c>
      <c r="J929" s="0" t="str">
        <f aca="false">INDEX(Laporan!$A$1:$AZ$300,G929,2)</f>
        <v>330 ml</v>
      </c>
      <c r="K929" s="0" t="str">
        <f aca="false">INDEX(Laporan!$A$1:$AZ$300,G929,3)</f>
        <v>Shift 1</v>
      </c>
      <c r="L929" s="0" t="n">
        <f aca="false">INDEX(Laporan!$A$1:$AZ$300,G929,4)</f>
        <v>2</v>
      </c>
      <c r="M929" s="1" t="n">
        <f aca="false">DATE(Pemetaan!$B$1,VALUE(RIGHT(INDEX(Laporan!$A$1:$AZ$300,F929+1,H929),2)),VALUE(LEFT(INDEX(Laporan!$A$1:$AZ$300,F929+1,H929),2)))</f>
        <v>46085</v>
      </c>
      <c r="N929" s="0" t="n">
        <f aca="false">INDEX(Laporan!$A$1:$AZ$300,G929,H929)</f>
        <v>10</v>
      </c>
      <c r="O929" s="0" t="n">
        <f aca="false">IF(N929="","",IFERROR(VALUE(SUBSTITUTE(SUBSTITUTE(N929," btl",""),".","")),""))</f>
        <v>10</v>
      </c>
      <c r="P929" s="0" t="str">
        <f aca="false">IF(B929="PRODUKSI","produced","reject")</f>
        <v>reject</v>
      </c>
    </row>
    <row r="930" customFormat="false" ht="15" hidden="false" customHeight="false" outlineLevel="0" collapsed="false">
      <c r="A930" s="0" t="n">
        <v>929</v>
      </c>
      <c r="B930" s="0" t="str">
        <f aca="false">IF(A930&lt;=36*25,"PRODUKSI","REJECT")</f>
        <v>REJECT</v>
      </c>
      <c r="C930" s="0" t="n">
        <f aca="false">MOD(A930-1,Pemetaan!$B$3*Pemetaan!$B$4)</f>
        <v>28</v>
      </c>
      <c r="D930" s="0" t="n">
        <f aca="false">INT(C930/Pemetaan!$B$4)</f>
        <v>1</v>
      </c>
      <c r="E930" s="0" t="n">
        <f aca="false">MOD(C930,Pemetaan!$B$4)</f>
        <v>3</v>
      </c>
      <c r="F930" s="0" t="n">
        <f aca="false">IF(B930="PRODUKSI",Pemetaan!$B$5,Pemetaan!$B$6)</f>
        <v>46</v>
      </c>
      <c r="G930" s="0" t="n">
        <f aca="false">F930+2+D930</f>
        <v>49</v>
      </c>
      <c r="H930" s="0" t="n">
        <f aca="false">Pemetaan!$B$2+E930</f>
        <v>8</v>
      </c>
      <c r="I930" s="0" t="str">
        <f aca="false">INDEX(Laporan!$A$1:$AZ$300,G930,1)</f>
        <v>Water Treatment</v>
      </c>
      <c r="J930" s="0" t="str">
        <f aca="false">INDEX(Laporan!$A$1:$AZ$300,G930,2)</f>
        <v>330 ml</v>
      </c>
      <c r="K930" s="0" t="str">
        <f aca="false">INDEX(Laporan!$A$1:$AZ$300,G930,3)</f>
        <v>Shift 1</v>
      </c>
      <c r="L930" s="0" t="n">
        <f aca="false">INDEX(Laporan!$A$1:$AZ$300,G930,4)</f>
        <v>2</v>
      </c>
      <c r="M930" s="1" t="n">
        <f aca="false">DATE(Pemetaan!$B$1,VALUE(RIGHT(INDEX(Laporan!$A$1:$AZ$300,F930+1,H930),2)),VALUE(LEFT(INDEX(Laporan!$A$1:$AZ$300,F930+1,H930),2)))</f>
        <v>46086</v>
      </c>
      <c r="N930" s="0" t="n">
        <f aca="false">INDEX(Laporan!$A$1:$AZ$300,G930,H930)</f>
        <v>9</v>
      </c>
      <c r="O930" s="0" t="n">
        <f aca="false">IF(N930="","",IFERROR(VALUE(SUBSTITUTE(SUBSTITUTE(N930," btl",""),".","")),""))</f>
        <v>9</v>
      </c>
      <c r="P930" s="0" t="str">
        <f aca="false">IF(B930="PRODUKSI","produced","reject")</f>
        <v>reject</v>
      </c>
    </row>
    <row r="931" customFormat="false" ht="15" hidden="false" customHeight="false" outlineLevel="0" collapsed="false">
      <c r="A931" s="0" t="n">
        <v>930</v>
      </c>
      <c r="B931" s="0" t="str">
        <f aca="false">IF(A931&lt;=36*25,"PRODUKSI","REJECT")</f>
        <v>REJECT</v>
      </c>
      <c r="C931" s="0" t="n">
        <f aca="false">MOD(A931-1,Pemetaan!$B$3*Pemetaan!$B$4)</f>
        <v>29</v>
      </c>
      <c r="D931" s="0" t="n">
        <f aca="false">INT(C931/Pemetaan!$B$4)</f>
        <v>1</v>
      </c>
      <c r="E931" s="0" t="n">
        <f aca="false">MOD(C931,Pemetaan!$B$4)</f>
        <v>4</v>
      </c>
      <c r="F931" s="0" t="n">
        <f aca="false">IF(B931="PRODUKSI",Pemetaan!$B$5,Pemetaan!$B$6)</f>
        <v>46</v>
      </c>
      <c r="G931" s="0" t="n">
        <f aca="false">F931+2+D931</f>
        <v>49</v>
      </c>
      <c r="H931" s="0" t="n">
        <f aca="false">Pemetaan!$B$2+E931</f>
        <v>9</v>
      </c>
      <c r="I931" s="0" t="str">
        <f aca="false">INDEX(Laporan!$A$1:$AZ$300,G931,1)</f>
        <v>Water Treatment</v>
      </c>
      <c r="J931" s="0" t="str">
        <f aca="false">INDEX(Laporan!$A$1:$AZ$300,G931,2)</f>
        <v>330 ml</v>
      </c>
      <c r="K931" s="0" t="str">
        <f aca="false">INDEX(Laporan!$A$1:$AZ$300,G931,3)</f>
        <v>Shift 1</v>
      </c>
      <c r="L931" s="0" t="n">
        <f aca="false">INDEX(Laporan!$A$1:$AZ$300,G931,4)</f>
        <v>2</v>
      </c>
      <c r="M931" s="1" t="n">
        <f aca="false">DATE(Pemetaan!$B$1,VALUE(RIGHT(INDEX(Laporan!$A$1:$AZ$300,F931+1,H931),2)),VALUE(LEFT(INDEX(Laporan!$A$1:$AZ$300,F931+1,H931),2)))</f>
        <v>46087</v>
      </c>
      <c r="N931" s="0" t="n">
        <f aca="false">INDEX(Laporan!$A$1:$AZ$300,G931,H931)</f>
        <v>18</v>
      </c>
      <c r="O931" s="0" t="n">
        <f aca="false">IF(N931="","",IFERROR(VALUE(SUBSTITUTE(SUBSTITUTE(N931," btl",""),".","")),""))</f>
        <v>18</v>
      </c>
      <c r="P931" s="0" t="str">
        <f aca="false">IF(B931="PRODUKSI","produced","reject")</f>
        <v>reject</v>
      </c>
    </row>
    <row r="932" customFormat="false" ht="15" hidden="false" customHeight="false" outlineLevel="0" collapsed="false">
      <c r="A932" s="0" t="n">
        <v>931</v>
      </c>
      <c r="B932" s="0" t="str">
        <f aca="false">IF(A932&lt;=36*25,"PRODUKSI","REJECT")</f>
        <v>REJECT</v>
      </c>
      <c r="C932" s="0" t="n">
        <f aca="false">MOD(A932-1,Pemetaan!$B$3*Pemetaan!$B$4)</f>
        <v>30</v>
      </c>
      <c r="D932" s="0" t="n">
        <f aca="false">INT(C932/Pemetaan!$B$4)</f>
        <v>1</v>
      </c>
      <c r="E932" s="0" t="n">
        <f aca="false">MOD(C932,Pemetaan!$B$4)</f>
        <v>5</v>
      </c>
      <c r="F932" s="0" t="n">
        <f aca="false">IF(B932="PRODUKSI",Pemetaan!$B$5,Pemetaan!$B$6)</f>
        <v>46</v>
      </c>
      <c r="G932" s="0" t="n">
        <f aca="false">F932+2+D932</f>
        <v>49</v>
      </c>
      <c r="H932" s="0" t="n">
        <f aca="false">Pemetaan!$B$2+E932</f>
        <v>10</v>
      </c>
      <c r="I932" s="0" t="str">
        <f aca="false">INDEX(Laporan!$A$1:$AZ$300,G932,1)</f>
        <v>Water Treatment</v>
      </c>
      <c r="J932" s="0" t="str">
        <f aca="false">INDEX(Laporan!$A$1:$AZ$300,G932,2)</f>
        <v>330 ml</v>
      </c>
      <c r="K932" s="0" t="str">
        <f aca="false">INDEX(Laporan!$A$1:$AZ$300,G932,3)</f>
        <v>Shift 1</v>
      </c>
      <c r="L932" s="0" t="n">
        <f aca="false">INDEX(Laporan!$A$1:$AZ$300,G932,4)</f>
        <v>2</v>
      </c>
      <c r="M932" s="1" t="n">
        <f aca="false">DATE(Pemetaan!$B$1,VALUE(RIGHT(INDEX(Laporan!$A$1:$AZ$300,F932+1,H932),2)),VALUE(LEFT(INDEX(Laporan!$A$1:$AZ$300,F932+1,H932),2)))</f>
        <v>46090</v>
      </c>
      <c r="N932" s="0" t="n">
        <f aca="false">INDEX(Laporan!$A$1:$AZ$300,G932,H932)</f>
        <v>19</v>
      </c>
      <c r="O932" s="0" t="n">
        <f aca="false">IF(N932="","",IFERROR(VALUE(SUBSTITUTE(SUBSTITUTE(N932," btl",""),".","")),""))</f>
        <v>19</v>
      </c>
      <c r="P932" s="0" t="str">
        <f aca="false">IF(B932="PRODUKSI","produced","reject")</f>
        <v>reject</v>
      </c>
    </row>
    <row r="933" customFormat="false" ht="15" hidden="false" customHeight="false" outlineLevel="0" collapsed="false">
      <c r="A933" s="0" t="n">
        <v>932</v>
      </c>
      <c r="B933" s="0" t="str">
        <f aca="false">IF(A933&lt;=36*25,"PRODUKSI","REJECT")</f>
        <v>REJECT</v>
      </c>
      <c r="C933" s="0" t="n">
        <f aca="false">MOD(A933-1,Pemetaan!$B$3*Pemetaan!$B$4)</f>
        <v>31</v>
      </c>
      <c r="D933" s="0" t="n">
        <f aca="false">INT(C933/Pemetaan!$B$4)</f>
        <v>1</v>
      </c>
      <c r="E933" s="0" t="n">
        <f aca="false">MOD(C933,Pemetaan!$B$4)</f>
        <v>6</v>
      </c>
      <c r="F933" s="0" t="n">
        <f aca="false">IF(B933="PRODUKSI",Pemetaan!$B$5,Pemetaan!$B$6)</f>
        <v>46</v>
      </c>
      <c r="G933" s="0" t="n">
        <f aca="false">F933+2+D933</f>
        <v>49</v>
      </c>
      <c r="H933" s="0" t="n">
        <f aca="false">Pemetaan!$B$2+E933</f>
        <v>11</v>
      </c>
      <c r="I933" s="0" t="str">
        <f aca="false">INDEX(Laporan!$A$1:$AZ$300,G933,1)</f>
        <v>Water Treatment</v>
      </c>
      <c r="J933" s="0" t="str">
        <f aca="false">INDEX(Laporan!$A$1:$AZ$300,G933,2)</f>
        <v>330 ml</v>
      </c>
      <c r="K933" s="0" t="str">
        <f aca="false">INDEX(Laporan!$A$1:$AZ$300,G933,3)</f>
        <v>Shift 1</v>
      </c>
      <c r="L933" s="0" t="n">
        <f aca="false">INDEX(Laporan!$A$1:$AZ$300,G933,4)</f>
        <v>2</v>
      </c>
      <c r="M933" s="1" t="n">
        <f aca="false">DATE(Pemetaan!$B$1,VALUE(RIGHT(INDEX(Laporan!$A$1:$AZ$300,F933+1,H933),2)),VALUE(LEFT(INDEX(Laporan!$A$1:$AZ$300,F933+1,H933),2)))</f>
        <v>46091</v>
      </c>
      <c r="N933" s="0" t="n">
        <f aca="false">INDEX(Laporan!$A$1:$AZ$300,G933,H933)</f>
        <v>23</v>
      </c>
      <c r="O933" s="0" t="n">
        <f aca="false">IF(N933="","",IFERROR(VALUE(SUBSTITUTE(SUBSTITUTE(N933," btl",""),".","")),""))</f>
        <v>23</v>
      </c>
      <c r="P933" s="0" t="str">
        <f aca="false">IF(B933="PRODUKSI","produced","reject")</f>
        <v>reject</v>
      </c>
    </row>
    <row r="934" customFormat="false" ht="15" hidden="false" customHeight="false" outlineLevel="0" collapsed="false">
      <c r="A934" s="0" t="n">
        <v>933</v>
      </c>
      <c r="B934" s="0" t="str">
        <f aca="false">IF(A934&lt;=36*25,"PRODUKSI","REJECT")</f>
        <v>REJECT</v>
      </c>
      <c r="C934" s="0" t="n">
        <f aca="false">MOD(A934-1,Pemetaan!$B$3*Pemetaan!$B$4)</f>
        <v>32</v>
      </c>
      <c r="D934" s="0" t="n">
        <f aca="false">INT(C934/Pemetaan!$B$4)</f>
        <v>1</v>
      </c>
      <c r="E934" s="0" t="n">
        <f aca="false">MOD(C934,Pemetaan!$B$4)</f>
        <v>7</v>
      </c>
      <c r="F934" s="0" t="n">
        <f aca="false">IF(B934="PRODUKSI",Pemetaan!$B$5,Pemetaan!$B$6)</f>
        <v>46</v>
      </c>
      <c r="G934" s="0" t="n">
        <f aca="false">F934+2+D934</f>
        <v>49</v>
      </c>
      <c r="H934" s="0" t="n">
        <f aca="false">Pemetaan!$B$2+E934</f>
        <v>12</v>
      </c>
      <c r="I934" s="0" t="str">
        <f aca="false">INDEX(Laporan!$A$1:$AZ$300,G934,1)</f>
        <v>Water Treatment</v>
      </c>
      <c r="J934" s="0" t="str">
        <f aca="false">INDEX(Laporan!$A$1:$AZ$300,G934,2)</f>
        <v>330 ml</v>
      </c>
      <c r="K934" s="0" t="str">
        <f aca="false">INDEX(Laporan!$A$1:$AZ$300,G934,3)</f>
        <v>Shift 1</v>
      </c>
      <c r="L934" s="0" t="n">
        <f aca="false">INDEX(Laporan!$A$1:$AZ$300,G934,4)</f>
        <v>2</v>
      </c>
      <c r="M934" s="1" t="n">
        <f aca="false">DATE(Pemetaan!$B$1,VALUE(RIGHT(INDEX(Laporan!$A$1:$AZ$300,F934+1,H934),2)),VALUE(LEFT(INDEX(Laporan!$A$1:$AZ$300,F934+1,H934),2)))</f>
        <v>46092</v>
      </c>
      <c r="N934" s="0" t="n">
        <f aca="false">INDEX(Laporan!$A$1:$AZ$300,G934,H934)</f>
        <v>12</v>
      </c>
      <c r="O934" s="0" t="n">
        <f aca="false">IF(N934="","",IFERROR(VALUE(SUBSTITUTE(SUBSTITUTE(N934," btl",""),".","")),""))</f>
        <v>12</v>
      </c>
      <c r="P934" s="0" t="str">
        <f aca="false">IF(B934="PRODUKSI","produced","reject")</f>
        <v>reject</v>
      </c>
    </row>
    <row r="935" customFormat="false" ht="15" hidden="false" customHeight="false" outlineLevel="0" collapsed="false">
      <c r="A935" s="0" t="n">
        <v>934</v>
      </c>
      <c r="B935" s="0" t="str">
        <f aca="false">IF(A935&lt;=36*25,"PRODUKSI","REJECT")</f>
        <v>REJECT</v>
      </c>
      <c r="C935" s="0" t="n">
        <f aca="false">MOD(A935-1,Pemetaan!$B$3*Pemetaan!$B$4)</f>
        <v>33</v>
      </c>
      <c r="D935" s="0" t="n">
        <f aca="false">INT(C935/Pemetaan!$B$4)</f>
        <v>1</v>
      </c>
      <c r="E935" s="0" t="n">
        <f aca="false">MOD(C935,Pemetaan!$B$4)</f>
        <v>8</v>
      </c>
      <c r="F935" s="0" t="n">
        <f aca="false">IF(B935="PRODUKSI",Pemetaan!$B$5,Pemetaan!$B$6)</f>
        <v>46</v>
      </c>
      <c r="G935" s="0" t="n">
        <f aca="false">F935+2+D935</f>
        <v>49</v>
      </c>
      <c r="H935" s="0" t="n">
        <f aca="false">Pemetaan!$B$2+E935</f>
        <v>13</v>
      </c>
      <c r="I935" s="0" t="str">
        <f aca="false">INDEX(Laporan!$A$1:$AZ$300,G935,1)</f>
        <v>Water Treatment</v>
      </c>
      <c r="J935" s="0" t="str">
        <f aca="false">INDEX(Laporan!$A$1:$AZ$300,G935,2)</f>
        <v>330 ml</v>
      </c>
      <c r="K935" s="0" t="str">
        <f aca="false">INDEX(Laporan!$A$1:$AZ$300,G935,3)</f>
        <v>Shift 1</v>
      </c>
      <c r="L935" s="0" t="n">
        <f aca="false">INDEX(Laporan!$A$1:$AZ$300,G935,4)</f>
        <v>2</v>
      </c>
      <c r="M935" s="1" t="n">
        <f aca="false">DATE(Pemetaan!$B$1,VALUE(RIGHT(INDEX(Laporan!$A$1:$AZ$300,F935+1,H935),2)),VALUE(LEFT(INDEX(Laporan!$A$1:$AZ$300,F935+1,H935),2)))</f>
        <v>46093</v>
      </c>
      <c r="N935" s="0" t="n">
        <f aca="false">INDEX(Laporan!$A$1:$AZ$300,G935,H935)</f>
        <v>9</v>
      </c>
      <c r="O935" s="0" t="n">
        <f aca="false">IF(N935="","",IFERROR(VALUE(SUBSTITUTE(SUBSTITUTE(N935," btl",""),".","")),""))</f>
        <v>9</v>
      </c>
      <c r="P935" s="0" t="str">
        <f aca="false">IF(B935="PRODUKSI","produced","reject")</f>
        <v>reject</v>
      </c>
    </row>
    <row r="936" customFormat="false" ht="15" hidden="false" customHeight="false" outlineLevel="0" collapsed="false">
      <c r="A936" s="0" t="n">
        <v>935</v>
      </c>
      <c r="B936" s="0" t="str">
        <f aca="false">IF(A936&lt;=36*25,"PRODUKSI","REJECT")</f>
        <v>REJECT</v>
      </c>
      <c r="C936" s="0" t="n">
        <f aca="false">MOD(A936-1,Pemetaan!$B$3*Pemetaan!$B$4)</f>
        <v>34</v>
      </c>
      <c r="D936" s="0" t="n">
        <f aca="false">INT(C936/Pemetaan!$B$4)</f>
        <v>1</v>
      </c>
      <c r="E936" s="0" t="n">
        <f aca="false">MOD(C936,Pemetaan!$B$4)</f>
        <v>9</v>
      </c>
      <c r="F936" s="0" t="n">
        <f aca="false">IF(B936="PRODUKSI",Pemetaan!$B$5,Pemetaan!$B$6)</f>
        <v>46</v>
      </c>
      <c r="G936" s="0" t="n">
        <f aca="false">F936+2+D936</f>
        <v>49</v>
      </c>
      <c r="H936" s="0" t="n">
        <f aca="false">Pemetaan!$B$2+E936</f>
        <v>14</v>
      </c>
      <c r="I936" s="0" t="str">
        <f aca="false">INDEX(Laporan!$A$1:$AZ$300,G936,1)</f>
        <v>Water Treatment</v>
      </c>
      <c r="J936" s="0" t="str">
        <f aca="false">INDEX(Laporan!$A$1:$AZ$300,G936,2)</f>
        <v>330 ml</v>
      </c>
      <c r="K936" s="0" t="str">
        <f aca="false">INDEX(Laporan!$A$1:$AZ$300,G936,3)</f>
        <v>Shift 1</v>
      </c>
      <c r="L936" s="0" t="n">
        <f aca="false">INDEX(Laporan!$A$1:$AZ$300,G936,4)</f>
        <v>2</v>
      </c>
      <c r="M936" s="1" t="n">
        <f aca="false">DATE(Pemetaan!$B$1,VALUE(RIGHT(INDEX(Laporan!$A$1:$AZ$300,F936+1,H936),2)),VALUE(LEFT(INDEX(Laporan!$A$1:$AZ$300,F936+1,H936),2)))</f>
        <v>46094</v>
      </c>
      <c r="N936" s="0" t="n">
        <f aca="false">INDEX(Laporan!$A$1:$AZ$300,G936,H936)</f>
        <v>12</v>
      </c>
      <c r="O936" s="0" t="n">
        <f aca="false">IF(N936="","",IFERROR(VALUE(SUBSTITUTE(SUBSTITUTE(N936," btl",""),".","")),""))</f>
        <v>12</v>
      </c>
      <c r="P936" s="0" t="str">
        <f aca="false">IF(B936="PRODUKSI","produced","reject")</f>
        <v>reject</v>
      </c>
    </row>
    <row r="937" customFormat="false" ht="15" hidden="false" customHeight="false" outlineLevel="0" collapsed="false">
      <c r="A937" s="0" t="n">
        <v>936</v>
      </c>
      <c r="B937" s="0" t="str">
        <f aca="false">IF(A937&lt;=36*25,"PRODUKSI","REJECT")</f>
        <v>REJECT</v>
      </c>
      <c r="C937" s="0" t="n">
        <f aca="false">MOD(A937-1,Pemetaan!$B$3*Pemetaan!$B$4)</f>
        <v>35</v>
      </c>
      <c r="D937" s="0" t="n">
        <f aca="false">INT(C937/Pemetaan!$B$4)</f>
        <v>1</v>
      </c>
      <c r="E937" s="0" t="n">
        <f aca="false">MOD(C937,Pemetaan!$B$4)</f>
        <v>10</v>
      </c>
      <c r="F937" s="0" t="n">
        <f aca="false">IF(B937="PRODUKSI",Pemetaan!$B$5,Pemetaan!$B$6)</f>
        <v>46</v>
      </c>
      <c r="G937" s="0" t="n">
        <f aca="false">F937+2+D937</f>
        <v>49</v>
      </c>
      <c r="H937" s="0" t="n">
        <f aca="false">Pemetaan!$B$2+E937</f>
        <v>15</v>
      </c>
      <c r="I937" s="0" t="str">
        <f aca="false">INDEX(Laporan!$A$1:$AZ$300,G937,1)</f>
        <v>Water Treatment</v>
      </c>
      <c r="J937" s="0" t="str">
        <f aca="false">INDEX(Laporan!$A$1:$AZ$300,G937,2)</f>
        <v>330 ml</v>
      </c>
      <c r="K937" s="0" t="str">
        <f aca="false">INDEX(Laporan!$A$1:$AZ$300,G937,3)</f>
        <v>Shift 1</v>
      </c>
      <c r="L937" s="0" t="n">
        <f aca="false">INDEX(Laporan!$A$1:$AZ$300,G937,4)</f>
        <v>2</v>
      </c>
      <c r="M937" s="1" t="n">
        <f aca="false">DATE(Pemetaan!$B$1,VALUE(RIGHT(INDEX(Laporan!$A$1:$AZ$300,F937+1,H937),2)),VALUE(LEFT(INDEX(Laporan!$A$1:$AZ$300,F937+1,H937),2)))</f>
        <v>46097</v>
      </c>
      <c r="N937" s="0" t="n">
        <f aca="false">INDEX(Laporan!$A$1:$AZ$300,G937,H937)</f>
        <v>9</v>
      </c>
      <c r="O937" s="0" t="n">
        <f aca="false">IF(N937="","",IFERROR(VALUE(SUBSTITUTE(SUBSTITUTE(N937," btl",""),".","")),""))</f>
        <v>9</v>
      </c>
      <c r="P937" s="0" t="str">
        <f aca="false">IF(B937="PRODUKSI","produced","reject")</f>
        <v>reject</v>
      </c>
    </row>
    <row r="938" customFormat="false" ht="15" hidden="false" customHeight="false" outlineLevel="0" collapsed="false">
      <c r="A938" s="0" t="n">
        <v>937</v>
      </c>
      <c r="B938" s="0" t="str">
        <f aca="false">IF(A938&lt;=36*25,"PRODUKSI","REJECT")</f>
        <v>REJECT</v>
      </c>
      <c r="C938" s="0" t="n">
        <f aca="false">MOD(A938-1,Pemetaan!$B$3*Pemetaan!$B$4)</f>
        <v>36</v>
      </c>
      <c r="D938" s="0" t="n">
        <f aca="false">INT(C938/Pemetaan!$B$4)</f>
        <v>1</v>
      </c>
      <c r="E938" s="0" t="n">
        <f aca="false">MOD(C938,Pemetaan!$B$4)</f>
        <v>11</v>
      </c>
      <c r="F938" s="0" t="n">
        <f aca="false">IF(B938="PRODUKSI",Pemetaan!$B$5,Pemetaan!$B$6)</f>
        <v>46</v>
      </c>
      <c r="G938" s="0" t="n">
        <f aca="false">F938+2+D938</f>
        <v>49</v>
      </c>
      <c r="H938" s="0" t="n">
        <f aca="false">Pemetaan!$B$2+E938</f>
        <v>16</v>
      </c>
      <c r="I938" s="0" t="str">
        <f aca="false">INDEX(Laporan!$A$1:$AZ$300,G938,1)</f>
        <v>Water Treatment</v>
      </c>
      <c r="J938" s="0" t="str">
        <f aca="false">INDEX(Laporan!$A$1:$AZ$300,G938,2)</f>
        <v>330 ml</v>
      </c>
      <c r="K938" s="0" t="str">
        <f aca="false">INDEX(Laporan!$A$1:$AZ$300,G938,3)</f>
        <v>Shift 1</v>
      </c>
      <c r="L938" s="0" t="n">
        <f aca="false">INDEX(Laporan!$A$1:$AZ$300,G938,4)</f>
        <v>2</v>
      </c>
      <c r="M938" s="1" t="n">
        <f aca="false">DATE(Pemetaan!$B$1,VALUE(RIGHT(INDEX(Laporan!$A$1:$AZ$300,F938+1,H938),2)),VALUE(LEFT(INDEX(Laporan!$A$1:$AZ$300,F938+1,H938),2)))</f>
        <v>46098</v>
      </c>
      <c r="N938" s="0" t="n">
        <f aca="false">INDEX(Laporan!$A$1:$AZ$300,G938,H938)</f>
        <v>20</v>
      </c>
      <c r="O938" s="0" t="n">
        <f aca="false">IF(N938="","",IFERROR(VALUE(SUBSTITUTE(SUBSTITUTE(N938," btl",""),".","")),""))</f>
        <v>20</v>
      </c>
      <c r="P938" s="0" t="str">
        <f aca="false">IF(B938="PRODUKSI","produced","reject")</f>
        <v>reject</v>
      </c>
    </row>
    <row r="939" customFormat="false" ht="15" hidden="false" customHeight="false" outlineLevel="0" collapsed="false">
      <c r="A939" s="0" t="n">
        <v>938</v>
      </c>
      <c r="B939" s="0" t="str">
        <f aca="false">IF(A939&lt;=36*25,"PRODUKSI","REJECT")</f>
        <v>REJECT</v>
      </c>
      <c r="C939" s="0" t="n">
        <f aca="false">MOD(A939-1,Pemetaan!$B$3*Pemetaan!$B$4)</f>
        <v>37</v>
      </c>
      <c r="D939" s="0" t="n">
        <f aca="false">INT(C939/Pemetaan!$B$4)</f>
        <v>1</v>
      </c>
      <c r="E939" s="0" t="n">
        <f aca="false">MOD(C939,Pemetaan!$B$4)</f>
        <v>12</v>
      </c>
      <c r="F939" s="0" t="n">
        <f aca="false">IF(B939="PRODUKSI",Pemetaan!$B$5,Pemetaan!$B$6)</f>
        <v>46</v>
      </c>
      <c r="G939" s="0" t="n">
        <f aca="false">F939+2+D939</f>
        <v>49</v>
      </c>
      <c r="H939" s="0" t="n">
        <f aca="false">Pemetaan!$B$2+E939</f>
        <v>17</v>
      </c>
      <c r="I939" s="0" t="str">
        <f aca="false">INDEX(Laporan!$A$1:$AZ$300,G939,1)</f>
        <v>Water Treatment</v>
      </c>
      <c r="J939" s="0" t="str">
        <f aca="false">INDEX(Laporan!$A$1:$AZ$300,G939,2)</f>
        <v>330 ml</v>
      </c>
      <c r="K939" s="0" t="str">
        <f aca="false">INDEX(Laporan!$A$1:$AZ$300,G939,3)</f>
        <v>Shift 1</v>
      </c>
      <c r="L939" s="0" t="n">
        <f aca="false">INDEX(Laporan!$A$1:$AZ$300,G939,4)</f>
        <v>2</v>
      </c>
      <c r="M939" s="1" t="n">
        <f aca="false">DATE(Pemetaan!$B$1,VALUE(RIGHT(INDEX(Laporan!$A$1:$AZ$300,F939+1,H939),2)),VALUE(LEFT(INDEX(Laporan!$A$1:$AZ$300,F939+1,H939),2)))</f>
        <v>46099</v>
      </c>
      <c r="N939" s="0" t="n">
        <f aca="false">INDEX(Laporan!$A$1:$AZ$300,G939,H939)</f>
        <v>16</v>
      </c>
      <c r="O939" s="0" t="n">
        <f aca="false">IF(N939="","",IFERROR(VALUE(SUBSTITUTE(SUBSTITUTE(N939," btl",""),".","")),""))</f>
        <v>16</v>
      </c>
      <c r="P939" s="0" t="str">
        <f aca="false">IF(B939="PRODUKSI","produced","reject")</f>
        <v>reject</v>
      </c>
    </row>
    <row r="940" customFormat="false" ht="15" hidden="false" customHeight="false" outlineLevel="0" collapsed="false">
      <c r="A940" s="0" t="n">
        <v>939</v>
      </c>
      <c r="B940" s="0" t="str">
        <f aca="false">IF(A940&lt;=36*25,"PRODUKSI","REJECT")</f>
        <v>REJECT</v>
      </c>
      <c r="C940" s="0" t="n">
        <f aca="false">MOD(A940-1,Pemetaan!$B$3*Pemetaan!$B$4)</f>
        <v>38</v>
      </c>
      <c r="D940" s="0" t="n">
        <f aca="false">INT(C940/Pemetaan!$B$4)</f>
        <v>1</v>
      </c>
      <c r="E940" s="0" t="n">
        <f aca="false">MOD(C940,Pemetaan!$B$4)</f>
        <v>13</v>
      </c>
      <c r="F940" s="0" t="n">
        <f aca="false">IF(B940="PRODUKSI",Pemetaan!$B$5,Pemetaan!$B$6)</f>
        <v>46</v>
      </c>
      <c r="G940" s="0" t="n">
        <f aca="false">F940+2+D940</f>
        <v>49</v>
      </c>
      <c r="H940" s="0" t="n">
        <f aca="false">Pemetaan!$B$2+E940</f>
        <v>18</v>
      </c>
      <c r="I940" s="0" t="str">
        <f aca="false">INDEX(Laporan!$A$1:$AZ$300,G940,1)</f>
        <v>Water Treatment</v>
      </c>
      <c r="J940" s="0" t="str">
        <f aca="false">INDEX(Laporan!$A$1:$AZ$300,G940,2)</f>
        <v>330 ml</v>
      </c>
      <c r="K940" s="0" t="str">
        <f aca="false">INDEX(Laporan!$A$1:$AZ$300,G940,3)</f>
        <v>Shift 1</v>
      </c>
      <c r="L940" s="0" t="n">
        <f aca="false">INDEX(Laporan!$A$1:$AZ$300,G940,4)</f>
        <v>2</v>
      </c>
      <c r="M940" s="1" t="n">
        <f aca="false">DATE(Pemetaan!$B$1,VALUE(RIGHT(INDEX(Laporan!$A$1:$AZ$300,F940+1,H940),2)),VALUE(LEFT(INDEX(Laporan!$A$1:$AZ$300,F940+1,H940),2)))</f>
        <v>46100</v>
      </c>
      <c r="N940" s="0" t="n">
        <f aca="false">INDEX(Laporan!$A$1:$AZ$300,G940,H940)</f>
        <v>14</v>
      </c>
      <c r="O940" s="0" t="n">
        <f aca="false">IF(N940="","",IFERROR(VALUE(SUBSTITUTE(SUBSTITUTE(N940," btl",""),".","")),""))</f>
        <v>14</v>
      </c>
      <c r="P940" s="0" t="str">
        <f aca="false">IF(B940="PRODUKSI","produced","reject")</f>
        <v>reject</v>
      </c>
    </row>
    <row r="941" customFormat="false" ht="15" hidden="false" customHeight="false" outlineLevel="0" collapsed="false">
      <c r="A941" s="0" t="n">
        <v>940</v>
      </c>
      <c r="B941" s="0" t="str">
        <f aca="false">IF(A941&lt;=36*25,"PRODUKSI","REJECT")</f>
        <v>REJECT</v>
      </c>
      <c r="C941" s="0" t="n">
        <f aca="false">MOD(A941-1,Pemetaan!$B$3*Pemetaan!$B$4)</f>
        <v>39</v>
      </c>
      <c r="D941" s="0" t="n">
        <f aca="false">INT(C941/Pemetaan!$B$4)</f>
        <v>1</v>
      </c>
      <c r="E941" s="0" t="n">
        <f aca="false">MOD(C941,Pemetaan!$B$4)</f>
        <v>14</v>
      </c>
      <c r="F941" s="0" t="n">
        <f aca="false">IF(B941="PRODUKSI",Pemetaan!$B$5,Pemetaan!$B$6)</f>
        <v>46</v>
      </c>
      <c r="G941" s="0" t="n">
        <f aca="false">F941+2+D941</f>
        <v>49</v>
      </c>
      <c r="H941" s="0" t="n">
        <f aca="false">Pemetaan!$B$2+E941</f>
        <v>19</v>
      </c>
      <c r="I941" s="0" t="str">
        <f aca="false">INDEX(Laporan!$A$1:$AZ$300,G941,1)</f>
        <v>Water Treatment</v>
      </c>
      <c r="J941" s="0" t="str">
        <f aca="false">INDEX(Laporan!$A$1:$AZ$300,G941,2)</f>
        <v>330 ml</v>
      </c>
      <c r="K941" s="0" t="str">
        <f aca="false">INDEX(Laporan!$A$1:$AZ$300,G941,3)</f>
        <v>Shift 1</v>
      </c>
      <c r="L941" s="0" t="n">
        <f aca="false">INDEX(Laporan!$A$1:$AZ$300,G941,4)</f>
        <v>2</v>
      </c>
      <c r="M941" s="1" t="n">
        <f aca="false">DATE(Pemetaan!$B$1,VALUE(RIGHT(INDEX(Laporan!$A$1:$AZ$300,F941+1,H941),2)),VALUE(LEFT(INDEX(Laporan!$A$1:$AZ$300,F941+1,H941),2)))</f>
        <v>46101</v>
      </c>
      <c r="N941" s="0" t="n">
        <f aca="false">INDEX(Laporan!$A$1:$AZ$300,G941,H941)</f>
        <v>12</v>
      </c>
      <c r="O941" s="0" t="n">
        <f aca="false">IF(N941="","",IFERROR(VALUE(SUBSTITUTE(SUBSTITUTE(N941," btl",""),".","")),""))</f>
        <v>12</v>
      </c>
      <c r="P941" s="0" t="str">
        <f aca="false">IF(B941="PRODUKSI","produced","reject")</f>
        <v>reject</v>
      </c>
    </row>
    <row r="942" customFormat="false" ht="15" hidden="false" customHeight="false" outlineLevel="0" collapsed="false">
      <c r="A942" s="0" t="n">
        <v>941</v>
      </c>
      <c r="B942" s="0" t="str">
        <f aca="false">IF(A942&lt;=36*25,"PRODUKSI","REJECT")</f>
        <v>REJECT</v>
      </c>
      <c r="C942" s="0" t="n">
        <f aca="false">MOD(A942-1,Pemetaan!$B$3*Pemetaan!$B$4)</f>
        <v>40</v>
      </c>
      <c r="D942" s="0" t="n">
        <f aca="false">INT(C942/Pemetaan!$B$4)</f>
        <v>1</v>
      </c>
      <c r="E942" s="0" t="n">
        <f aca="false">MOD(C942,Pemetaan!$B$4)</f>
        <v>15</v>
      </c>
      <c r="F942" s="0" t="n">
        <f aca="false">IF(B942="PRODUKSI",Pemetaan!$B$5,Pemetaan!$B$6)</f>
        <v>46</v>
      </c>
      <c r="G942" s="0" t="n">
        <f aca="false">F942+2+D942</f>
        <v>49</v>
      </c>
      <c r="H942" s="0" t="n">
        <f aca="false">Pemetaan!$B$2+E942</f>
        <v>20</v>
      </c>
      <c r="I942" s="0" t="str">
        <f aca="false">INDEX(Laporan!$A$1:$AZ$300,G942,1)</f>
        <v>Water Treatment</v>
      </c>
      <c r="J942" s="0" t="str">
        <f aca="false">INDEX(Laporan!$A$1:$AZ$300,G942,2)</f>
        <v>330 ml</v>
      </c>
      <c r="K942" s="0" t="str">
        <f aca="false">INDEX(Laporan!$A$1:$AZ$300,G942,3)</f>
        <v>Shift 1</v>
      </c>
      <c r="L942" s="0" t="n">
        <f aca="false">INDEX(Laporan!$A$1:$AZ$300,G942,4)</f>
        <v>2</v>
      </c>
      <c r="M942" s="1" t="n">
        <f aca="false">DATE(Pemetaan!$B$1,VALUE(RIGHT(INDEX(Laporan!$A$1:$AZ$300,F942+1,H942),2)),VALUE(LEFT(INDEX(Laporan!$A$1:$AZ$300,F942+1,H942),2)))</f>
        <v>46104</v>
      </c>
      <c r="N942" s="0" t="n">
        <f aca="false">INDEX(Laporan!$A$1:$AZ$300,G942,H942)</f>
        <v>16</v>
      </c>
      <c r="O942" s="0" t="n">
        <f aca="false">IF(N942="","",IFERROR(VALUE(SUBSTITUTE(SUBSTITUTE(N942," btl",""),".","")),""))</f>
        <v>16</v>
      </c>
      <c r="P942" s="0" t="str">
        <f aca="false">IF(B942="PRODUKSI","produced","reject")</f>
        <v>reject</v>
      </c>
    </row>
    <row r="943" customFormat="false" ht="15" hidden="false" customHeight="false" outlineLevel="0" collapsed="false">
      <c r="A943" s="0" t="n">
        <v>942</v>
      </c>
      <c r="B943" s="0" t="str">
        <f aca="false">IF(A943&lt;=36*25,"PRODUKSI","REJECT")</f>
        <v>REJECT</v>
      </c>
      <c r="C943" s="0" t="n">
        <f aca="false">MOD(A943-1,Pemetaan!$B$3*Pemetaan!$B$4)</f>
        <v>41</v>
      </c>
      <c r="D943" s="0" t="n">
        <f aca="false">INT(C943/Pemetaan!$B$4)</f>
        <v>1</v>
      </c>
      <c r="E943" s="0" t="n">
        <f aca="false">MOD(C943,Pemetaan!$B$4)</f>
        <v>16</v>
      </c>
      <c r="F943" s="0" t="n">
        <f aca="false">IF(B943="PRODUKSI",Pemetaan!$B$5,Pemetaan!$B$6)</f>
        <v>46</v>
      </c>
      <c r="G943" s="0" t="n">
        <f aca="false">F943+2+D943</f>
        <v>49</v>
      </c>
      <c r="H943" s="0" t="n">
        <f aca="false">Pemetaan!$B$2+E943</f>
        <v>21</v>
      </c>
      <c r="I943" s="0" t="str">
        <f aca="false">INDEX(Laporan!$A$1:$AZ$300,G943,1)</f>
        <v>Water Treatment</v>
      </c>
      <c r="J943" s="0" t="str">
        <f aca="false">INDEX(Laporan!$A$1:$AZ$300,G943,2)</f>
        <v>330 ml</v>
      </c>
      <c r="K943" s="0" t="str">
        <f aca="false">INDEX(Laporan!$A$1:$AZ$300,G943,3)</f>
        <v>Shift 1</v>
      </c>
      <c r="L943" s="0" t="n">
        <f aca="false">INDEX(Laporan!$A$1:$AZ$300,G943,4)</f>
        <v>2</v>
      </c>
      <c r="M943" s="1" t="n">
        <f aca="false">DATE(Pemetaan!$B$1,VALUE(RIGHT(INDEX(Laporan!$A$1:$AZ$300,F943+1,H943),2)),VALUE(LEFT(INDEX(Laporan!$A$1:$AZ$300,F943+1,H943),2)))</f>
        <v>46105</v>
      </c>
      <c r="N943" s="0" t="n">
        <f aca="false">INDEX(Laporan!$A$1:$AZ$300,G943,H943)</f>
        <v>12</v>
      </c>
      <c r="O943" s="0" t="n">
        <f aca="false">IF(N943="","",IFERROR(VALUE(SUBSTITUTE(SUBSTITUTE(N943," btl",""),".","")),""))</f>
        <v>12</v>
      </c>
      <c r="P943" s="0" t="str">
        <f aca="false">IF(B943="PRODUKSI","produced","reject")</f>
        <v>reject</v>
      </c>
    </row>
    <row r="944" customFormat="false" ht="15" hidden="false" customHeight="false" outlineLevel="0" collapsed="false">
      <c r="A944" s="0" t="n">
        <v>943</v>
      </c>
      <c r="B944" s="0" t="str">
        <f aca="false">IF(A944&lt;=36*25,"PRODUKSI","REJECT")</f>
        <v>REJECT</v>
      </c>
      <c r="C944" s="0" t="n">
        <f aca="false">MOD(A944-1,Pemetaan!$B$3*Pemetaan!$B$4)</f>
        <v>42</v>
      </c>
      <c r="D944" s="0" t="n">
        <f aca="false">INT(C944/Pemetaan!$B$4)</f>
        <v>1</v>
      </c>
      <c r="E944" s="0" t="n">
        <f aca="false">MOD(C944,Pemetaan!$B$4)</f>
        <v>17</v>
      </c>
      <c r="F944" s="0" t="n">
        <f aca="false">IF(B944="PRODUKSI",Pemetaan!$B$5,Pemetaan!$B$6)</f>
        <v>46</v>
      </c>
      <c r="G944" s="0" t="n">
        <f aca="false">F944+2+D944</f>
        <v>49</v>
      </c>
      <c r="H944" s="0" t="n">
        <f aca="false">Pemetaan!$B$2+E944</f>
        <v>22</v>
      </c>
      <c r="I944" s="0" t="str">
        <f aca="false">INDEX(Laporan!$A$1:$AZ$300,G944,1)</f>
        <v>Water Treatment</v>
      </c>
      <c r="J944" s="0" t="str">
        <f aca="false">INDEX(Laporan!$A$1:$AZ$300,G944,2)</f>
        <v>330 ml</v>
      </c>
      <c r="K944" s="0" t="str">
        <f aca="false">INDEX(Laporan!$A$1:$AZ$300,G944,3)</f>
        <v>Shift 1</v>
      </c>
      <c r="L944" s="0" t="n">
        <f aca="false">INDEX(Laporan!$A$1:$AZ$300,G944,4)</f>
        <v>2</v>
      </c>
      <c r="M944" s="1" t="n">
        <f aca="false">DATE(Pemetaan!$B$1,VALUE(RIGHT(INDEX(Laporan!$A$1:$AZ$300,F944+1,H944),2)),VALUE(LEFT(INDEX(Laporan!$A$1:$AZ$300,F944+1,H944),2)))</f>
        <v>46106</v>
      </c>
      <c r="N944" s="0" t="n">
        <f aca="false">INDEX(Laporan!$A$1:$AZ$300,G944,H944)</f>
        <v>11</v>
      </c>
      <c r="O944" s="0" t="n">
        <f aca="false">IF(N944="","",IFERROR(VALUE(SUBSTITUTE(SUBSTITUTE(N944," btl",""),".","")),""))</f>
        <v>11</v>
      </c>
      <c r="P944" s="0" t="str">
        <f aca="false">IF(B944="PRODUKSI","produced","reject")</f>
        <v>reject</v>
      </c>
    </row>
    <row r="945" customFormat="false" ht="15" hidden="false" customHeight="false" outlineLevel="0" collapsed="false">
      <c r="A945" s="0" t="n">
        <v>944</v>
      </c>
      <c r="B945" s="0" t="str">
        <f aca="false">IF(A945&lt;=36*25,"PRODUKSI","REJECT")</f>
        <v>REJECT</v>
      </c>
      <c r="C945" s="0" t="n">
        <f aca="false">MOD(A945-1,Pemetaan!$B$3*Pemetaan!$B$4)</f>
        <v>43</v>
      </c>
      <c r="D945" s="0" t="n">
        <f aca="false">INT(C945/Pemetaan!$B$4)</f>
        <v>1</v>
      </c>
      <c r="E945" s="0" t="n">
        <f aca="false">MOD(C945,Pemetaan!$B$4)</f>
        <v>18</v>
      </c>
      <c r="F945" s="0" t="n">
        <f aca="false">IF(B945="PRODUKSI",Pemetaan!$B$5,Pemetaan!$B$6)</f>
        <v>46</v>
      </c>
      <c r="G945" s="0" t="n">
        <f aca="false">F945+2+D945</f>
        <v>49</v>
      </c>
      <c r="H945" s="0" t="n">
        <f aca="false">Pemetaan!$B$2+E945</f>
        <v>23</v>
      </c>
      <c r="I945" s="0" t="str">
        <f aca="false">INDEX(Laporan!$A$1:$AZ$300,G945,1)</f>
        <v>Water Treatment</v>
      </c>
      <c r="J945" s="0" t="str">
        <f aca="false">INDEX(Laporan!$A$1:$AZ$300,G945,2)</f>
        <v>330 ml</v>
      </c>
      <c r="K945" s="0" t="str">
        <f aca="false">INDEX(Laporan!$A$1:$AZ$300,G945,3)</f>
        <v>Shift 1</v>
      </c>
      <c r="L945" s="0" t="n">
        <f aca="false">INDEX(Laporan!$A$1:$AZ$300,G945,4)</f>
        <v>2</v>
      </c>
      <c r="M945" s="1" t="n">
        <f aca="false">DATE(Pemetaan!$B$1,VALUE(RIGHT(INDEX(Laporan!$A$1:$AZ$300,F945+1,H945),2)),VALUE(LEFT(INDEX(Laporan!$A$1:$AZ$300,F945+1,H945),2)))</f>
        <v>46107</v>
      </c>
      <c r="N945" s="0" t="n">
        <f aca="false">INDEX(Laporan!$A$1:$AZ$300,G945,H945)</f>
        <v>19</v>
      </c>
      <c r="O945" s="0" t="n">
        <f aca="false">IF(N945="","",IFERROR(VALUE(SUBSTITUTE(SUBSTITUTE(N945," btl",""),".","")),""))</f>
        <v>19</v>
      </c>
      <c r="P945" s="0" t="str">
        <f aca="false">IF(B945="PRODUKSI","produced","reject")</f>
        <v>reject</v>
      </c>
    </row>
    <row r="946" customFormat="false" ht="15" hidden="false" customHeight="false" outlineLevel="0" collapsed="false">
      <c r="A946" s="0" t="n">
        <v>945</v>
      </c>
      <c r="B946" s="0" t="str">
        <f aca="false">IF(A946&lt;=36*25,"PRODUKSI","REJECT")</f>
        <v>REJECT</v>
      </c>
      <c r="C946" s="0" t="n">
        <f aca="false">MOD(A946-1,Pemetaan!$B$3*Pemetaan!$B$4)</f>
        <v>44</v>
      </c>
      <c r="D946" s="0" t="n">
        <f aca="false">INT(C946/Pemetaan!$B$4)</f>
        <v>1</v>
      </c>
      <c r="E946" s="0" t="n">
        <f aca="false">MOD(C946,Pemetaan!$B$4)</f>
        <v>19</v>
      </c>
      <c r="F946" s="0" t="n">
        <f aca="false">IF(B946="PRODUKSI",Pemetaan!$B$5,Pemetaan!$B$6)</f>
        <v>46</v>
      </c>
      <c r="G946" s="0" t="n">
        <f aca="false">F946+2+D946</f>
        <v>49</v>
      </c>
      <c r="H946" s="0" t="n">
        <f aca="false">Pemetaan!$B$2+E946</f>
        <v>24</v>
      </c>
      <c r="I946" s="0" t="str">
        <f aca="false">INDEX(Laporan!$A$1:$AZ$300,G946,1)</f>
        <v>Water Treatment</v>
      </c>
      <c r="J946" s="0" t="str">
        <f aca="false">INDEX(Laporan!$A$1:$AZ$300,G946,2)</f>
        <v>330 ml</v>
      </c>
      <c r="K946" s="0" t="str">
        <f aca="false">INDEX(Laporan!$A$1:$AZ$300,G946,3)</f>
        <v>Shift 1</v>
      </c>
      <c r="L946" s="0" t="n">
        <f aca="false">INDEX(Laporan!$A$1:$AZ$300,G946,4)</f>
        <v>2</v>
      </c>
      <c r="M946" s="1" t="n">
        <f aca="false">DATE(Pemetaan!$B$1,VALUE(RIGHT(INDEX(Laporan!$A$1:$AZ$300,F946+1,H946),2)),VALUE(LEFT(INDEX(Laporan!$A$1:$AZ$300,F946+1,H946),2)))</f>
        <v>46108</v>
      </c>
      <c r="N946" s="0" t="n">
        <f aca="false">INDEX(Laporan!$A$1:$AZ$300,G946,H946)</f>
        <v>15</v>
      </c>
      <c r="O946" s="0" t="n">
        <f aca="false">IF(N946="","",IFERROR(VALUE(SUBSTITUTE(SUBSTITUTE(N946," btl",""),".","")),""))</f>
        <v>15</v>
      </c>
      <c r="P946" s="0" t="str">
        <f aca="false">IF(B946="PRODUKSI","produced","reject")</f>
        <v>reject</v>
      </c>
    </row>
    <row r="947" customFormat="false" ht="15" hidden="false" customHeight="false" outlineLevel="0" collapsed="false">
      <c r="A947" s="0" t="n">
        <v>946</v>
      </c>
      <c r="B947" s="0" t="str">
        <f aca="false">IF(A947&lt;=36*25,"PRODUKSI","REJECT")</f>
        <v>REJECT</v>
      </c>
      <c r="C947" s="0" t="n">
        <f aca="false">MOD(A947-1,Pemetaan!$B$3*Pemetaan!$B$4)</f>
        <v>45</v>
      </c>
      <c r="D947" s="0" t="n">
        <f aca="false">INT(C947/Pemetaan!$B$4)</f>
        <v>1</v>
      </c>
      <c r="E947" s="0" t="n">
        <f aca="false">MOD(C947,Pemetaan!$B$4)</f>
        <v>20</v>
      </c>
      <c r="F947" s="0" t="n">
        <f aca="false">IF(B947="PRODUKSI",Pemetaan!$B$5,Pemetaan!$B$6)</f>
        <v>46</v>
      </c>
      <c r="G947" s="0" t="n">
        <f aca="false">F947+2+D947</f>
        <v>49</v>
      </c>
      <c r="H947" s="0" t="n">
        <f aca="false">Pemetaan!$B$2+E947</f>
        <v>25</v>
      </c>
      <c r="I947" s="0" t="str">
        <f aca="false">INDEX(Laporan!$A$1:$AZ$300,G947,1)</f>
        <v>Water Treatment</v>
      </c>
      <c r="J947" s="0" t="str">
        <f aca="false">INDEX(Laporan!$A$1:$AZ$300,G947,2)</f>
        <v>330 ml</v>
      </c>
      <c r="K947" s="0" t="str">
        <f aca="false">INDEX(Laporan!$A$1:$AZ$300,G947,3)</f>
        <v>Shift 1</v>
      </c>
      <c r="L947" s="0" t="n">
        <f aca="false">INDEX(Laporan!$A$1:$AZ$300,G947,4)</f>
        <v>2</v>
      </c>
      <c r="M947" s="1" t="n">
        <f aca="false">DATE(Pemetaan!$B$1,VALUE(RIGHT(INDEX(Laporan!$A$1:$AZ$300,F947+1,H947),2)),VALUE(LEFT(INDEX(Laporan!$A$1:$AZ$300,F947+1,H947),2)))</f>
        <v>46111</v>
      </c>
      <c r="N947" s="0" t="n">
        <f aca="false">INDEX(Laporan!$A$1:$AZ$300,G947,H947)</f>
        <v>18</v>
      </c>
      <c r="O947" s="0" t="n">
        <f aca="false">IF(N947="","",IFERROR(VALUE(SUBSTITUTE(SUBSTITUTE(N947," btl",""),".","")),""))</f>
        <v>18</v>
      </c>
      <c r="P947" s="0" t="str">
        <f aca="false">IF(B947="PRODUKSI","produced","reject")</f>
        <v>reject</v>
      </c>
    </row>
    <row r="948" customFormat="false" ht="15" hidden="false" customHeight="false" outlineLevel="0" collapsed="false">
      <c r="A948" s="0" t="n">
        <v>947</v>
      </c>
      <c r="B948" s="0" t="str">
        <f aca="false">IF(A948&lt;=36*25,"PRODUKSI","REJECT")</f>
        <v>REJECT</v>
      </c>
      <c r="C948" s="0" t="n">
        <f aca="false">MOD(A948-1,Pemetaan!$B$3*Pemetaan!$B$4)</f>
        <v>46</v>
      </c>
      <c r="D948" s="0" t="n">
        <f aca="false">INT(C948/Pemetaan!$B$4)</f>
        <v>1</v>
      </c>
      <c r="E948" s="0" t="n">
        <f aca="false">MOD(C948,Pemetaan!$B$4)</f>
        <v>21</v>
      </c>
      <c r="F948" s="0" t="n">
        <f aca="false">IF(B948="PRODUKSI",Pemetaan!$B$5,Pemetaan!$B$6)</f>
        <v>46</v>
      </c>
      <c r="G948" s="0" t="n">
        <f aca="false">F948+2+D948</f>
        <v>49</v>
      </c>
      <c r="H948" s="0" t="n">
        <f aca="false">Pemetaan!$B$2+E948</f>
        <v>26</v>
      </c>
      <c r="I948" s="0" t="str">
        <f aca="false">INDEX(Laporan!$A$1:$AZ$300,G948,1)</f>
        <v>Water Treatment</v>
      </c>
      <c r="J948" s="0" t="str">
        <f aca="false">INDEX(Laporan!$A$1:$AZ$300,G948,2)</f>
        <v>330 ml</v>
      </c>
      <c r="K948" s="0" t="str">
        <f aca="false">INDEX(Laporan!$A$1:$AZ$300,G948,3)</f>
        <v>Shift 1</v>
      </c>
      <c r="L948" s="0" t="n">
        <f aca="false">INDEX(Laporan!$A$1:$AZ$300,G948,4)</f>
        <v>2</v>
      </c>
      <c r="M948" s="1" t="n">
        <f aca="false">DATE(Pemetaan!$B$1,VALUE(RIGHT(INDEX(Laporan!$A$1:$AZ$300,F948+1,H948),2)),VALUE(LEFT(INDEX(Laporan!$A$1:$AZ$300,F948+1,H948),2)))</f>
        <v>46112</v>
      </c>
      <c r="N948" s="0" t="n">
        <f aca="false">INDEX(Laporan!$A$1:$AZ$300,G948,H948)</f>
        <v>10</v>
      </c>
      <c r="O948" s="0" t="n">
        <f aca="false">IF(N948="","",IFERROR(VALUE(SUBSTITUTE(SUBSTITUTE(N948," btl",""),".","")),""))</f>
        <v>10</v>
      </c>
      <c r="P948" s="0" t="str">
        <f aca="false">IF(B948="PRODUKSI","produced","reject")</f>
        <v>reject</v>
      </c>
    </row>
    <row r="949" customFormat="false" ht="15" hidden="false" customHeight="false" outlineLevel="0" collapsed="false">
      <c r="A949" s="0" t="n">
        <v>948</v>
      </c>
      <c r="B949" s="0" t="str">
        <f aca="false">IF(A949&lt;=36*25,"PRODUKSI","REJECT")</f>
        <v>REJECT</v>
      </c>
      <c r="C949" s="0" t="n">
        <f aca="false">MOD(A949-1,Pemetaan!$B$3*Pemetaan!$B$4)</f>
        <v>47</v>
      </c>
      <c r="D949" s="0" t="n">
        <f aca="false">INT(C949/Pemetaan!$B$4)</f>
        <v>1</v>
      </c>
      <c r="E949" s="0" t="n">
        <f aca="false">MOD(C949,Pemetaan!$B$4)</f>
        <v>22</v>
      </c>
      <c r="F949" s="0" t="n">
        <f aca="false">IF(B949="PRODUKSI",Pemetaan!$B$5,Pemetaan!$B$6)</f>
        <v>46</v>
      </c>
      <c r="G949" s="0" t="n">
        <f aca="false">F949+2+D949</f>
        <v>49</v>
      </c>
      <c r="H949" s="0" t="n">
        <f aca="false">Pemetaan!$B$2+E949</f>
        <v>27</v>
      </c>
      <c r="I949" s="0" t="str">
        <f aca="false">INDEX(Laporan!$A$1:$AZ$300,G949,1)</f>
        <v>Water Treatment</v>
      </c>
      <c r="J949" s="0" t="str">
        <f aca="false">INDEX(Laporan!$A$1:$AZ$300,G949,2)</f>
        <v>330 ml</v>
      </c>
      <c r="K949" s="0" t="str">
        <f aca="false">INDEX(Laporan!$A$1:$AZ$300,G949,3)</f>
        <v>Shift 1</v>
      </c>
      <c r="L949" s="0" t="n">
        <f aca="false">INDEX(Laporan!$A$1:$AZ$300,G949,4)</f>
        <v>2</v>
      </c>
      <c r="M949" s="1" t="n">
        <f aca="false">DATE(Pemetaan!$B$1,VALUE(RIGHT(INDEX(Laporan!$A$1:$AZ$300,F949+1,H949),2)),VALUE(LEFT(INDEX(Laporan!$A$1:$AZ$300,F949+1,H949),2)))</f>
        <v>46113</v>
      </c>
      <c r="N949" s="0" t="n">
        <f aca="false">INDEX(Laporan!$A$1:$AZ$300,G949,H949)</f>
        <v>10</v>
      </c>
      <c r="O949" s="0" t="n">
        <f aca="false">IF(N949="","",IFERROR(VALUE(SUBSTITUTE(SUBSTITUTE(N949," btl",""),".","")),""))</f>
        <v>10</v>
      </c>
      <c r="P949" s="0" t="str">
        <f aca="false">IF(B949="PRODUKSI","produced","reject")</f>
        <v>reject</v>
      </c>
    </row>
    <row r="950" customFormat="false" ht="15" hidden="false" customHeight="false" outlineLevel="0" collapsed="false">
      <c r="A950" s="0" t="n">
        <v>949</v>
      </c>
      <c r="B950" s="0" t="str">
        <f aca="false">IF(A950&lt;=36*25,"PRODUKSI","REJECT")</f>
        <v>REJECT</v>
      </c>
      <c r="C950" s="0" t="n">
        <f aca="false">MOD(A950-1,Pemetaan!$B$3*Pemetaan!$B$4)</f>
        <v>48</v>
      </c>
      <c r="D950" s="0" t="n">
        <f aca="false">INT(C950/Pemetaan!$B$4)</f>
        <v>1</v>
      </c>
      <c r="E950" s="0" t="n">
        <f aca="false">MOD(C950,Pemetaan!$B$4)</f>
        <v>23</v>
      </c>
      <c r="F950" s="0" t="n">
        <f aca="false">IF(B950="PRODUKSI",Pemetaan!$B$5,Pemetaan!$B$6)</f>
        <v>46</v>
      </c>
      <c r="G950" s="0" t="n">
        <f aca="false">F950+2+D950</f>
        <v>49</v>
      </c>
      <c r="H950" s="0" t="n">
        <f aca="false">Pemetaan!$B$2+E950</f>
        <v>28</v>
      </c>
      <c r="I950" s="0" t="str">
        <f aca="false">INDEX(Laporan!$A$1:$AZ$300,G950,1)</f>
        <v>Water Treatment</v>
      </c>
      <c r="J950" s="0" t="str">
        <f aca="false">INDEX(Laporan!$A$1:$AZ$300,G950,2)</f>
        <v>330 ml</v>
      </c>
      <c r="K950" s="0" t="str">
        <f aca="false">INDEX(Laporan!$A$1:$AZ$300,G950,3)</f>
        <v>Shift 1</v>
      </c>
      <c r="L950" s="0" t="n">
        <f aca="false">INDEX(Laporan!$A$1:$AZ$300,G950,4)</f>
        <v>2</v>
      </c>
      <c r="M950" s="1" t="n">
        <f aca="false">DATE(Pemetaan!$B$1,VALUE(RIGHT(INDEX(Laporan!$A$1:$AZ$300,F950+1,H950),2)),VALUE(LEFT(INDEX(Laporan!$A$1:$AZ$300,F950+1,H950),2)))</f>
        <v>46114</v>
      </c>
      <c r="N950" s="0" t="n">
        <f aca="false">INDEX(Laporan!$A$1:$AZ$300,G950,H950)</f>
        <v>16</v>
      </c>
      <c r="O950" s="0" t="n">
        <f aca="false">IF(N950="","",IFERROR(VALUE(SUBSTITUTE(SUBSTITUTE(N950," btl",""),".","")),""))</f>
        <v>16</v>
      </c>
      <c r="P950" s="0" t="str">
        <f aca="false">IF(B950="PRODUKSI","produced","reject")</f>
        <v>reject</v>
      </c>
    </row>
    <row r="951" customFormat="false" ht="15" hidden="false" customHeight="false" outlineLevel="0" collapsed="false">
      <c r="A951" s="0" t="n">
        <v>950</v>
      </c>
      <c r="B951" s="0" t="str">
        <f aca="false">IF(A951&lt;=36*25,"PRODUKSI","REJECT")</f>
        <v>REJECT</v>
      </c>
      <c r="C951" s="0" t="n">
        <f aca="false">MOD(A951-1,Pemetaan!$B$3*Pemetaan!$B$4)</f>
        <v>49</v>
      </c>
      <c r="D951" s="0" t="n">
        <f aca="false">INT(C951/Pemetaan!$B$4)</f>
        <v>1</v>
      </c>
      <c r="E951" s="0" t="n">
        <f aca="false">MOD(C951,Pemetaan!$B$4)</f>
        <v>24</v>
      </c>
      <c r="F951" s="0" t="n">
        <f aca="false">IF(B951="PRODUKSI",Pemetaan!$B$5,Pemetaan!$B$6)</f>
        <v>46</v>
      </c>
      <c r="G951" s="0" t="n">
        <f aca="false">F951+2+D951</f>
        <v>49</v>
      </c>
      <c r="H951" s="0" t="n">
        <f aca="false">Pemetaan!$B$2+E951</f>
        <v>29</v>
      </c>
      <c r="I951" s="0" t="str">
        <f aca="false">INDEX(Laporan!$A$1:$AZ$300,G951,1)</f>
        <v>Water Treatment</v>
      </c>
      <c r="J951" s="0" t="str">
        <f aca="false">INDEX(Laporan!$A$1:$AZ$300,G951,2)</f>
        <v>330 ml</v>
      </c>
      <c r="K951" s="0" t="str">
        <f aca="false">INDEX(Laporan!$A$1:$AZ$300,G951,3)</f>
        <v>Shift 1</v>
      </c>
      <c r="L951" s="0" t="n">
        <f aca="false">INDEX(Laporan!$A$1:$AZ$300,G951,4)</f>
        <v>2</v>
      </c>
      <c r="M951" s="1" t="n">
        <f aca="false">DATE(Pemetaan!$B$1,VALUE(RIGHT(INDEX(Laporan!$A$1:$AZ$300,F951+1,H951),2)),VALUE(LEFT(INDEX(Laporan!$A$1:$AZ$300,F951+1,H951),2)))</f>
        <v>46115</v>
      </c>
      <c r="N951" s="0" t="n">
        <f aca="false">INDEX(Laporan!$A$1:$AZ$300,G951,H951)</f>
        <v>11</v>
      </c>
      <c r="O951" s="0" t="n">
        <f aca="false">IF(N951="","",IFERROR(VALUE(SUBSTITUTE(SUBSTITUTE(N951," btl",""),".","")),""))</f>
        <v>11</v>
      </c>
      <c r="P951" s="0" t="str">
        <f aca="false">IF(B951="PRODUKSI","produced","reject")</f>
        <v>reject</v>
      </c>
    </row>
    <row r="952" customFormat="false" ht="15" hidden="false" customHeight="false" outlineLevel="0" collapsed="false">
      <c r="A952" s="0" t="n">
        <v>951</v>
      </c>
      <c r="B952" s="0" t="str">
        <f aca="false">IF(A952&lt;=36*25,"PRODUKSI","REJECT")</f>
        <v>REJECT</v>
      </c>
      <c r="C952" s="0" t="n">
        <f aca="false">MOD(A952-1,Pemetaan!$B$3*Pemetaan!$B$4)</f>
        <v>50</v>
      </c>
      <c r="D952" s="0" t="n">
        <f aca="false">INT(C952/Pemetaan!$B$4)</f>
        <v>2</v>
      </c>
      <c r="E952" s="0" t="n">
        <f aca="false">MOD(C952,Pemetaan!$B$4)</f>
        <v>0</v>
      </c>
      <c r="F952" s="0" t="n">
        <f aca="false">IF(B952="PRODUKSI",Pemetaan!$B$5,Pemetaan!$B$6)</f>
        <v>46</v>
      </c>
      <c r="G952" s="0" t="n">
        <f aca="false">F952+2+D952</f>
        <v>50</v>
      </c>
      <c r="H952" s="0" t="n">
        <f aca="false">Pemetaan!$B$2+E952</f>
        <v>5</v>
      </c>
      <c r="I952" s="0" t="str">
        <f aca="false">INDEX(Laporan!$A$1:$AZ$300,G952,1)</f>
        <v>Water Treatment</v>
      </c>
      <c r="J952" s="0" t="str">
        <f aca="false">INDEX(Laporan!$A$1:$AZ$300,G952,2)</f>
        <v>330 ml</v>
      </c>
      <c r="K952" s="0" t="str">
        <f aca="false">INDEX(Laporan!$A$1:$AZ$300,G952,3)</f>
        <v>Shift 1</v>
      </c>
      <c r="L952" s="0" t="n">
        <f aca="false">INDEX(Laporan!$A$1:$AZ$300,G952,4)</f>
        <v>3</v>
      </c>
      <c r="M952" s="1" t="n">
        <f aca="false">DATE(Pemetaan!$B$1,VALUE(RIGHT(INDEX(Laporan!$A$1:$AZ$300,F952+1,H952),2)),VALUE(LEFT(INDEX(Laporan!$A$1:$AZ$300,F952+1,H952),2)))</f>
        <v>46083</v>
      </c>
      <c r="N952" s="0" t="n">
        <f aca="false">INDEX(Laporan!$A$1:$AZ$300,G952,H952)</f>
        <v>8</v>
      </c>
      <c r="O952" s="0" t="n">
        <f aca="false">IF(N952="","",IFERROR(VALUE(SUBSTITUTE(SUBSTITUTE(N952," btl",""),".","")),""))</f>
        <v>8</v>
      </c>
      <c r="P952" s="0" t="str">
        <f aca="false">IF(B952="PRODUKSI","produced","reject")</f>
        <v>reject</v>
      </c>
    </row>
    <row r="953" customFormat="false" ht="15" hidden="false" customHeight="false" outlineLevel="0" collapsed="false">
      <c r="A953" s="0" t="n">
        <v>952</v>
      </c>
      <c r="B953" s="0" t="str">
        <f aca="false">IF(A953&lt;=36*25,"PRODUKSI","REJECT")</f>
        <v>REJECT</v>
      </c>
      <c r="C953" s="0" t="n">
        <f aca="false">MOD(A953-1,Pemetaan!$B$3*Pemetaan!$B$4)</f>
        <v>51</v>
      </c>
      <c r="D953" s="0" t="n">
        <f aca="false">INT(C953/Pemetaan!$B$4)</f>
        <v>2</v>
      </c>
      <c r="E953" s="0" t="n">
        <f aca="false">MOD(C953,Pemetaan!$B$4)</f>
        <v>1</v>
      </c>
      <c r="F953" s="0" t="n">
        <f aca="false">IF(B953="PRODUKSI",Pemetaan!$B$5,Pemetaan!$B$6)</f>
        <v>46</v>
      </c>
      <c r="G953" s="0" t="n">
        <f aca="false">F953+2+D953</f>
        <v>50</v>
      </c>
      <c r="H953" s="0" t="n">
        <f aca="false">Pemetaan!$B$2+E953</f>
        <v>6</v>
      </c>
      <c r="I953" s="0" t="str">
        <f aca="false">INDEX(Laporan!$A$1:$AZ$300,G953,1)</f>
        <v>Water Treatment</v>
      </c>
      <c r="J953" s="0" t="str">
        <f aca="false">INDEX(Laporan!$A$1:$AZ$300,G953,2)</f>
        <v>330 ml</v>
      </c>
      <c r="K953" s="0" t="str">
        <f aca="false">INDEX(Laporan!$A$1:$AZ$300,G953,3)</f>
        <v>Shift 1</v>
      </c>
      <c r="L953" s="0" t="n">
        <f aca="false">INDEX(Laporan!$A$1:$AZ$300,G953,4)</f>
        <v>3</v>
      </c>
      <c r="M953" s="1" t="n">
        <f aca="false">DATE(Pemetaan!$B$1,VALUE(RIGHT(INDEX(Laporan!$A$1:$AZ$300,F953+1,H953),2)),VALUE(LEFT(INDEX(Laporan!$A$1:$AZ$300,F953+1,H953),2)))</f>
        <v>46084</v>
      </c>
      <c r="N953" s="0" t="n">
        <f aca="false">INDEX(Laporan!$A$1:$AZ$300,G953,H953)</f>
        <v>17</v>
      </c>
      <c r="O953" s="0" t="n">
        <f aca="false">IF(N953="","",IFERROR(VALUE(SUBSTITUTE(SUBSTITUTE(N953," btl",""),".","")),""))</f>
        <v>17</v>
      </c>
      <c r="P953" s="0" t="str">
        <f aca="false">IF(B953="PRODUKSI","produced","reject")</f>
        <v>reject</v>
      </c>
    </row>
    <row r="954" customFormat="false" ht="15" hidden="false" customHeight="false" outlineLevel="0" collapsed="false">
      <c r="A954" s="0" t="n">
        <v>953</v>
      </c>
      <c r="B954" s="0" t="str">
        <f aca="false">IF(A954&lt;=36*25,"PRODUKSI","REJECT")</f>
        <v>REJECT</v>
      </c>
      <c r="C954" s="0" t="n">
        <f aca="false">MOD(A954-1,Pemetaan!$B$3*Pemetaan!$B$4)</f>
        <v>52</v>
      </c>
      <c r="D954" s="0" t="n">
        <f aca="false">INT(C954/Pemetaan!$B$4)</f>
        <v>2</v>
      </c>
      <c r="E954" s="0" t="n">
        <f aca="false">MOD(C954,Pemetaan!$B$4)</f>
        <v>2</v>
      </c>
      <c r="F954" s="0" t="n">
        <f aca="false">IF(B954="PRODUKSI",Pemetaan!$B$5,Pemetaan!$B$6)</f>
        <v>46</v>
      </c>
      <c r="G954" s="0" t="n">
        <f aca="false">F954+2+D954</f>
        <v>50</v>
      </c>
      <c r="H954" s="0" t="n">
        <f aca="false">Pemetaan!$B$2+E954</f>
        <v>7</v>
      </c>
      <c r="I954" s="0" t="str">
        <f aca="false">INDEX(Laporan!$A$1:$AZ$300,G954,1)</f>
        <v>Water Treatment</v>
      </c>
      <c r="J954" s="0" t="str">
        <f aca="false">INDEX(Laporan!$A$1:$AZ$300,G954,2)</f>
        <v>330 ml</v>
      </c>
      <c r="K954" s="0" t="str">
        <f aca="false">INDEX(Laporan!$A$1:$AZ$300,G954,3)</f>
        <v>Shift 1</v>
      </c>
      <c r="L954" s="0" t="n">
        <f aca="false">INDEX(Laporan!$A$1:$AZ$300,G954,4)</f>
        <v>3</v>
      </c>
      <c r="M954" s="1" t="n">
        <f aca="false">DATE(Pemetaan!$B$1,VALUE(RIGHT(INDEX(Laporan!$A$1:$AZ$300,F954+1,H954),2)),VALUE(LEFT(INDEX(Laporan!$A$1:$AZ$300,F954+1,H954),2)))</f>
        <v>46085</v>
      </c>
      <c r="N954" s="0" t="n">
        <f aca="false">INDEX(Laporan!$A$1:$AZ$300,G954,H954)</f>
        <v>12</v>
      </c>
      <c r="O954" s="0" t="n">
        <f aca="false">IF(N954="","",IFERROR(VALUE(SUBSTITUTE(SUBSTITUTE(N954," btl",""),".","")),""))</f>
        <v>12</v>
      </c>
      <c r="P954" s="0" t="str">
        <f aca="false">IF(B954="PRODUKSI","produced","reject")</f>
        <v>reject</v>
      </c>
    </row>
    <row r="955" customFormat="false" ht="15" hidden="false" customHeight="false" outlineLevel="0" collapsed="false">
      <c r="A955" s="0" t="n">
        <v>954</v>
      </c>
      <c r="B955" s="0" t="str">
        <f aca="false">IF(A955&lt;=36*25,"PRODUKSI","REJECT")</f>
        <v>REJECT</v>
      </c>
      <c r="C955" s="0" t="n">
        <f aca="false">MOD(A955-1,Pemetaan!$B$3*Pemetaan!$B$4)</f>
        <v>53</v>
      </c>
      <c r="D955" s="0" t="n">
        <f aca="false">INT(C955/Pemetaan!$B$4)</f>
        <v>2</v>
      </c>
      <c r="E955" s="0" t="n">
        <f aca="false">MOD(C955,Pemetaan!$B$4)</f>
        <v>3</v>
      </c>
      <c r="F955" s="0" t="n">
        <f aca="false">IF(B955="PRODUKSI",Pemetaan!$B$5,Pemetaan!$B$6)</f>
        <v>46</v>
      </c>
      <c r="G955" s="0" t="n">
        <f aca="false">F955+2+D955</f>
        <v>50</v>
      </c>
      <c r="H955" s="0" t="n">
        <f aca="false">Pemetaan!$B$2+E955</f>
        <v>8</v>
      </c>
      <c r="I955" s="0" t="str">
        <f aca="false">INDEX(Laporan!$A$1:$AZ$300,G955,1)</f>
        <v>Water Treatment</v>
      </c>
      <c r="J955" s="0" t="str">
        <f aca="false">INDEX(Laporan!$A$1:$AZ$300,G955,2)</f>
        <v>330 ml</v>
      </c>
      <c r="K955" s="0" t="str">
        <f aca="false">INDEX(Laporan!$A$1:$AZ$300,G955,3)</f>
        <v>Shift 1</v>
      </c>
      <c r="L955" s="0" t="n">
        <f aca="false">INDEX(Laporan!$A$1:$AZ$300,G955,4)</f>
        <v>3</v>
      </c>
      <c r="M955" s="1" t="n">
        <f aca="false">DATE(Pemetaan!$B$1,VALUE(RIGHT(INDEX(Laporan!$A$1:$AZ$300,F955+1,H955),2)),VALUE(LEFT(INDEX(Laporan!$A$1:$AZ$300,F955+1,H955),2)))</f>
        <v>46086</v>
      </c>
      <c r="N955" s="0" t="n">
        <f aca="false">INDEX(Laporan!$A$1:$AZ$300,G955,H955)</f>
        <v>22</v>
      </c>
      <c r="O955" s="0" t="n">
        <f aca="false">IF(N955="","",IFERROR(VALUE(SUBSTITUTE(SUBSTITUTE(N955," btl",""),".","")),""))</f>
        <v>22</v>
      </c>
      <c r="P955" s="0" t="str">
        <f aca="false">IF(B955="PRODUKSI","produced","reject")</f>
        <v>reject</v>
      </c>
    </row>
    <row r="956" customFormat="false" ht="15" hidden="false" customHeight="false" outlineLevel="0" collapsed="false">
      <c r="A956" s="0" t="n">
        <v>955</v>
      </c>
      <c r="B956" s="0" t="str">
        <f aca="false">IF(A956&lt;=36*25,"PRODUKSI","REJECT")</f>
        <v>REJECT</v>
      </c>
      <c r="C956" s="0" t="n">
        <f aca="false">MOD(A956-1,Pemetaan!$B$3*Pemetaan!$B$4)</f>
        <v>54</v>
      </c>
      <c r="D956" s="0" t="n">
        <f aca="false">INT(C956/Pemetaan!$B$4)</f>
        <v>2</v>
      </c>
      <c r="E956" s="0" t="n">
        <f aca="false">MOD(C956,Pemetaan!$B$4)</f>
        <v>4</v>
      </c>
      <c r="F956" s="0" t="n">
        <f aca="false">IF(B956="PRODUKSI",Pemetaan!$B$5,Pemetaan!$B$6)</f>
        <v>46</v>
      </c>
      <c r="G956" s="0" t="n">
        <f aca="false">F956+2+D956</f>
        <v>50</v>
      </c>
      <c r="H956" s="0" t="n">
        <f aca="false">Pemetaan!$B$2+E956</f>
        <v>9</v>
      </c>
      <c r="I956" s="0" t="str">
        <f aca="false">INDEX(Laporan!$A$1:$AZ$300,G956,1)</f>
        <v>Water Treatment</v>
      </c>
      <c r="J956" s="0" t="str">
        <f aca="false">INDEX(Laporan!$A$1:$AZ$300,G956,2)</f>
        <v>330 ml</v>
      </c>
      <c r="K956" s="0" t="str">
        <f aca="false">INDEX(Laporan!$A$1:$AZ$300,G956,3)</f>
        <v>Shift 1</v>
      </c>
      <c r="L956" s="0" t="n">
        <f aca="false">INDEX(Laporan!$A$1:$AZ$300,G956,4)</f>
        <v>3</v>
      </c>
      <c r="M956" s="1" t="n">
        <f aca="false">DATE(Pemetaan!$B$1,VALUE(RIGHT(INDEX(Laporan!$A$1:$AZ$300,F956+1,H956),2)),VALUE(LEFT(INDEX(Laporan!$A$1:$AZ$300,F956+1,H956),2)))</f>
        <v>46087</v>
      </c>
      <c r="N956" s="0" t="n">
        <f aca="false">INDEX(Laporan!$A$1:$AZ$300,G956,H956)</f>
        <v>8</v>
      </c>
      <c r="O956" s="0" t="n">
        <f aca="false">IF(N956="","",IFERROR(VALUE(SUBSTITUTE(SUBSTITUTE(N956," btl",""),".","")),""))</f>
        <v>8</v>
      </c>
      <c r="P956" s="0" t="str">
        <f aca="false">IF(B956="PRODUKSI","produced","reject")</f>
        <v>reject</v>
      </c>
    </row>
    <row r="957" customFormat="false" ht="15" hidden="false" customHeight="false" outlineLevel="0" collapsed="false">
      <c r="A957" s="0" t="n">
        <v>956</v>
      </c>
      <c r="B957" s="0" t="str">
        <f aca="false">IF(A957&lt;=36*25,"PRODUKSI","REJECT")</f>
        <v>REJECT</v>
      </c>
      <c r="C957" s="0" t="n">
        <f aca="false">MOD(A957-1,Pemetaan!$B$3*Pemetaan!$B$4)</f>
        <v>55</v>
      </c>
      <c r="D957" s="0" t="n">
        <f aca="false">INT(C957/Pemetaan!$B$4)</f>
        <v>2</v>
      </c>
      <c r="E957" s="0" t="n">
        <f aca="false">MOD(C957,Pemetaan!$B$4)</f>
        <v>5</v>
      </c>
      <c r="F957" s="0" t="n">
        <f aca="false">IF(B957="PRODUKSI",Pemetaan!$B$5,Pemetaan!$B$6)</f>
        <v>46</v>
      </c>
      <c r="G957" s="0" t="n">
        <f aca="false">F957+2+D957</f>
        <v>50</v>
      </c>
      <c r="H957" s="0" t="n">
        <f aca="false">Pemetaan!$B$2+E957</f>
        <v>10</v>
      </c>
      <c r="I957" s="0" t="str">
        <f aca="false">INDEX(Laporan!$A$1:$AZ$300,G957,1)</f>
        <v>Water Treatment</v>
      </c>
      <c r="J957" s="0" t="str">
        <f aca="false">INDEX(Laporan!$A$1:$AZ$300,G957,2)</f>
        <v>330 ml</v>
      </c>
      <c r="K957" s="0" t="str">
        <f aca="false">INDEX(Laporan!$A$1:$AZ$300,G957,3)</f>
        <v>Shift 1</v>
      </c>
      <c r="L957" s="0" t="n">
        <f aca="false">INDEX(Laporan!$A$1:$AZ$300,G957,4)</f>
        <v>3</v>
      </c>
      <c r="M957" s="1" t="n">
        <f aca="false">DATE(Pemetaan!$B$1,VALUE(RIGHT(INDEX(Laporan!$A$1:$AZ$300,F957+1,H957),2)),VALUE(LEFT(INDEX(Laporan!$A$1:$AZ$300,F957+1,H957),2)))</f>
        <v>46090</v>
      </c>
      <c r="N957" s="0" t="n">
        <f aca="false">INDEX(Laporan!$A$1:$AZ$300,G957,H957)</f>
        <v>15</v>
      </c>
      <c r="O957" s="0" t="n">
        <f aca="false">IF(N957="","",IFERROR(VALUE(SUBSTITUTE(SUBSTITUTE(N957," btl",""),".","")),""))</f>
        <v>15</v>
      </c>
      <c r="P957" s="0" t="str">
        <f aca="false">IF(B957="PRODUKSI","produced","reject")</f>
        <v>reject</v>
      </c>
    </row>
    <row r="958" customFormat="false" ht="15" hidden="false" customHeight="false" outlineLevel="0" collapsed="false">
      <c r="A958" s="0" t="n">
        <v>957</v>
      </c>
      <c r="B958" s="0" t="str">
        <f aca="false">IF(A958&lt;=36*25,"PRODUKSI","REJECT")</f>
        <v>REJECT</v>
      </c>
      <c r="C958" s="0" t="n">
        <f aca="false">MOD(A958-1,Pemetaan!$B$3*Pemetaan!$B$4)</f>
        <v>56</v>
      </c>
      <c r="D958" s="0" t="n">
        <f aca="false">INT(C958/Pemetaan!$B$4)</f>
        <v>2</v>
      </c>
      <c r="E958" s="0" t="n">
        <f aca="false">MOD(C958,Pemetaan!$B$4)</f>
        <v>6</v>
      </c>
      <c r="F958" s="0" t="n">
        <f aca="false">IF(B958="PRODUKSI",Pemetaan!$B$5,Pemetaan!$B$6)</f>
        <v>46</v>
      </c>
      <c r="G958" s="0" t="n">
        <f aca="false">F958+2+D958</f>
        <v>50</v>
      </c>
      <c r="H958" s="0" t="n">
        <f aca="false">Pemetaan!$B$2+E958</f>
        <v>11</v>
      </c>
      <c r="I958" s="0" t="str">
        <f aca="false">INDEX(Laporan!$A$1:$AZ$300,G958,1)</f>
        <v>Water Treatment</v>
      </c>
      <c r="J958" s="0" t="str">
        <f aca="false">INDEX(Laporan!$A$1:$AZ$300,G958,2)</f>
        <v>330 ml</v>
      </c>
      <c r="K958" s="0" t="str">
        <f aca="false">INDEX(Laporan!$A$1:$AZ$300,G958,3)</f>
        <v>Shift 1</v>
      </c>
      <c r="L958" s="0" t="n">
        <f aca="false">INDEX(Laporan!$A$1:$AZ$300,G958,4)</f>
        <v>3</v>
      </c>
      <c r="M958" s="1" t="n">
        <f aca="false">DATE(Pemetaan!$B$1,VALUE(RIGHT(INDEX(Laporan!$A$1:$AZ$300,F958+1,H958),2)),VALUE(LEFT(INDEX(Laporan!$A$1:$AZ$300,F958+1,H958),2)))</f>
        <v>46091</v>
      </c>
      <c r="N958" s="0" t="n">
        <f aca="false">INDEX(Laporan!$A$1:$AZ$300,G958,H958)</f>
        <v>10</v>
      </c>
      <c r="O958" s="0" t="n">
        <f aca="false">IF(N958="","",IFERROR(VALUE(SUBSTITUTE(SUBSTITUTE(N958," btl",""),".","")),""))</f>
        <v>10</v>
      </c>
      <c r="P958" s="0" t="str">
        <f aca="false">IF(B958="PRODUKSI","produced","reject")</f>
        <v>reject</v>
      </c>
    </row>
    <row r="959" customFormat="false" ht="15" hidden="false" customHeight="false" outlineLevel="0" collapsed="false">
      <c r="A959" s="0" t="n">
        <v>958</v>
      </c>
      <c r="B959" s="0" t="str">
        <f aca="false">IF(A959&lt;=36*25,"PRODUKSI","REJECT")</f>
        <v>REJECT</v>
      </c>
      <c r="C959" s="0" t="n">
        <f aca="false">MOD(A959-1,Pemetaan!$B$3*Pemetaan!$B$4)</f>
        <v>57</v>
      </c>
      <c r="D959" s="0" t="n">
        <f aca="false">INT(C959/Pemetaan!$B$4)</f>
        <v>2</v>
      </c>
      <c r="E959" s="0" t="n">
        <f aca="false">MOD(C959,Pemetaan!$B$4)</f>
        <v>7</v>
      </c>
      <c r="F959" s="0" t="n">
        <f aca="false">IF(B959="PRODUKSI",Pemetaan!$B$5,Pemetaan!$B$6)</f>
        <v>46</v>
      </c>
      <c r="G959" s="0" t="n">
        <f aca="false">F959+2+D959</f>
        <v>50</v>
      </c>
      <c r="H959" s="0" t="n">
        <f aca="false">Pemetaan!$B$2+E959</f>
        <v>12</v>
      </c>
      <c r="I959" s="0" t="str">
        <f aca="false">INDEX(Laporan!$A$1:$AZ$300,G959,1)</f>
        <v>Water Treatment</v>
      </c>
      <c r="J959" s="0" t="str">
        <f aca="false">INDEX(Laporan!$A$1:$AZ$300,G959,2)</f>
        <v>330 ml</v>
      </c>
      <c r="K959" s="0" t="str">
        <f aca="false">INDEX(Laporan!$A$1:$AZ$300,G959,3)</f>
        <v>Shift 1</v>
      </c>
      <c r="L959" s="0" t="n">
        <f aca="false">INDEX(Laporan!$A$1:$AZ$300,G959,4)</f>
        <v>3</v>
      </c>
      <c r="M959" s="1" t="n">
        <f aca="false">DATE(Pemetaan!$B$1,VALUE(RIGHT(INDEX(Laporan!$A$1:$AZ$300,F959+1,H959),2)),VALUE(LEFT(INDEX(Laporan!$A$1:$AZ$300,F959+1,H959),2)))</f>
        <v>46092</v>
      </c>
      <c r="N959" s="0" t="n">
        <f aca="false">INDEX(Laporan!$A$1:$AZ$300,G959,H959)</f>
        <v>13</v>
      </c>
      <c r="O959" s="0" t="n">
        <f aca="false">IF(N959="","",IFERROR(VALUE(SUBSTITUTE(SUBSTITUTE(N959," btl",""),".","")),""))</f>
        <v>13</v>
      </c>
      <c r="P959" s="0" t="str">
        <f aca="false">IF(B959="PRODUKSI","produced","reject")</f>
        <v>reject</v>
      </c>
    </row>
    <row r="960" customFormat="false" ht="15" hidden="false" customHeight="false" outlineLevel="0" collapsed="false">
      <c r="A960" s="0" t="n">
        <v>959</v>
      </c>
      <c r="B960" s="0" t="str">
        <f aca="false">IF(A960&lt;=36*25,"PRODUKSI","REJECT")</f>
        <v>REJECT</v>
      </c>
      <c r="C960" s="0" t="n">
        <f aca="false">MOD(A960-1,Pemetaan!$B$3*Pemetaan!$B$4)</f>
        <v>58</v>
      </c>
      <c r="D960" s="0" t="n">
        <f aca="false">INT(C960/Pemetaan!$B$4)</f>
        <v>2</v>
      </c>
      <c r="E960" s="0" t="n">
        <f aca="false">MOD(C960,Pemetaan!$B$4)</f>
        <v>8</v>
      </c>
      <c r="F960" s="0" t="n">
        <f aca="false">IF(B960="PRODUKSI",Pemetaan!$B$5,Pemetaan!$B$6)</f>
        <v>46</v>
      </c>
      <c r="G960" s="0" t="n">
        <f aca="false">F960+2+D960</f>
        <v>50</v>
      </c>
      <c r="H960" s="0" t="n">
        <f aca="false">Pemetaan!$B$2+E960</f>
        <v>13</v>
      </c>
      <c r="I960" s="0" t="str">
        <f aca="false">INDEX(Laporan!$A$1:$AZ$300,G960,1)</f>
        <v>Water Treatment</v>
      </c>
      <c r="J960" s="0" t="str">
        <f aca="false">INDEX(Laporan!$A$1:$AZ$300,G960,2)</f>
        <v>330 ml</v>
      </c>
      <c r="K960" s="0" t="str">
        <f aca="false">INDEX(Laporan!$A$1:$AZ$300,G960,3)</f>
        <v>Shift 1</v>
      </c>
      <c r="L960" s="0" t="n">
        <f aca="false">INDEX(Laporan!$A$1:$AZ$300,G960,4)</f>
        <v>3</v>
      </c>
      <c r="M960" s="1" t="n">
        <f aca="false">DATE(Pemetaan!$B$1,VALUE(RIGHT(INDEX(Laporan!$A$1:$AZ$300,F960+1,H960),2)),VALUE(LEFT(INDEX(Laporan!$A$1:$AZ$300,F960+1,H960),2)))</f>
        <v>46093</v>
      </c>
      <c r="N960" s="0" t="str">
        <f aca="false">INDEX(Laporan!$A$1:$AZ$300,G960,H960)</f>
        <v>17 btl</v>
      </c>
      <c r="O960" s="0" t="n">
        <f aca="false">IF(N960="","",IFERROR(VALUE(SUBSTITUTE(SUBSTITUTE(N960," btl",""),".","")),""))</f>
        <v>17</v>
      </c>
      <c r="P960" s="0" t="str">
        <f aca="false">IF(B960="PRODUKSI","produced","reject")</f>
        <v>reject</v>
      </c>
    </row>
    <row r="961" customFormat="false" ht="15" hidden="false" customHeight="false" outlineLevel="0" collapsed="false">
      <c r="A961" s="0" t="n">
        <v>960</v>
      </c>
      <c r="B961" s="0" t="str">
        <f aca="false">IF(A961&lt;=36*25,"PRODUKSI","REJECT")</f>
        <v>REJECT</v>
      </c>
      <c r="C961" s="0" t="n">
        <f aca="false">MOD(A961-1,Pemetaan!$B$3*Pemetaan!$B$4)</f>
        <v>59</v>
      </c>
      <c r="D961" s="0" t="n">
        <f aca="false">INT(C961/Pemetaan!$B$4)</f>
        <v>2</v>
      </c>
      <c r="E961" s="0" t="n">
        <f aca="false">MOD(C961,Pemetaan!$B$4)</f>
        <v>9</v>
      </c>
      <c r="F961" s="0" t="n">
        <f aca="false">IF(B961="PRODUKSI",Pemetaan!$B$5,Pemetaan!$B$6)</f>
        <v>46</v>
      </c>
      <c r="G961" s="0" t="n">
        <f aca="false">F961+2+D961</f>
        <v>50</v>
      </c>
      <c r="H961" s="0" t="n">
        <f aca="false">Pemetaan!$B$2+E961</f>
        <v>14</v>
      </c>
      <c r="I961" s="0" t="str">
        <f aca="false">INDEX(Laporan!$A$1:$AZ$300,G961,1)</f>
        <v>Water Treatment</v>
      </c>
      <c r="J961" s="0" t="str">
        <f aca="false">INDEX(Laporan!$A$1:$AZ$300,G961,2)</f>
        <v>330 ml</v>
      </c>
      <c r="K961" s="0" t="str">
        <f aca="false">INDEX(Laporan!$A$1:$AZ$300,G961,3)</f>
        <v>Shift 1</v>
      </c>
      <c r="L961" s="0" t="n">
        <f aca="false">INDEX(Laporan!$A$1:$AZ$300,G961,4)</f>
        <v>3</v>
      </c>
      <c r="M961" s="1" t="n">
        <f aca="false">DATE(Pemetaan!$B$1,VALUE(RIGHT(INDEX(Laporan!$A$1:$AZ$300,F961+1,H961),2)),VALUE(LEFT(INDEX(Laporan!$A$1:$AZ$300,F961+1,H961),2)))</f>
        <v>46094</v>
      </c>
      <c r="N961" s="0" t="n">
        <f aca="false">INDEX(Laporan!$A$1:$AZ$300,G961,H961)</f>
        <v>10</v>
      </c>
      <c r="O961" s="0" t="n">
        <f aca="false">IF(N961="","",IFERROR(VALUE(SUBSTITUTE(SUBSTITUTE(N961," btl",""),".","")),""))</f>
        <v>10</v>
      </c>
      <c r="P961" s="0" t="str">
        <f aca="false">IF(B961="PRODUKSI","produced","reject")</f>
        <v>reject</v>
      </c>
    </row>
    <row r="962" customFormat="false" ht="15" hidden="false" customHeight="false" outlineLevel="0" collapsed="false">
      <c r="A962" s="0" t="n">
        <v>961</v>
      </c>
      <c r="B962" s="0" t="str">
        <f aca="false">IF(A962&lt;=36*25,"PRODUKSI","REJECT")</f>
        <v>REJECT</v>
      </c>
      <c r="C962" s="0" t="n">
        <f aca="false">MOD(A962-1,Pemetaan!$B$3*Pemetaan!$B$4)</f>
        <v>60</v>
      </c>
      <c r="D962" s="0" t="n">
        <f aca="false">INT(C962/Pemetaan!$B$4)</f>
        <v>2</v>
      </c>
      <c r="E962" s="0" t="n">
        <f aca="false">MOD(C962,Pemetaan!$B$4)</f>
        <v>10</v>
      </c>
      <c r="F962" s="0" t="n">
        <f aca="false">IF(B962="PRODUKSI",Pemetaan!$B$5,Pemetaan!$B$6)</f>
        <v>46</v>
      </c>
      <c r="G962" s="0" t="n">
        <f aca="false">F962+2+D962</f>
        <v>50</v>
      </c>
      <c r="H962" s="0" t="n">
        <f aca="false">Pemetaan!$B$2+E962</f>
        <v>15</v>
      </c>
      <c r="I962" s="0" t="str">
        <f aca="false">INDEX(Laporan!$A$1:$AZ$300,G962,1)</f>
        <v>Water Treatment</v>
      </c>
      <c r="J962" s="0" t="str">
        <f aca="false">INDEX(Laporan!$A$1:$AZ$300,G962,2)</f>
        <v>330 ml</v>
      </c>
      <c r="K962" s="0" t="str">
        <f aca="false">INDEX(Laporan!$A$1:$AZ$300,G962,3)</f>
        <v>Shift 1</v>
      </c>
      <c r="L962" s="0" t="n">
        <f aca="false">INDEX(Laporan!$A$1:$AZ$300,G962,4)</f>
        <v>3</v>
      </c>
      <c r="M962" s="1" t="n">
        <f aca="false">DATE(Pemetaan!$B$1,VALUE(RIGHT(INDEX(Laporan!$A$1:$AZ$300,F962+1,H962),2)),VALUE(LEFT(INDEX(Laporan!$A$1:$AZ$300,F962+1,H962),2)))</f>
        <v>46097</v>
      </c>
      <c r="N962" s="0" t="n">
        <f aca="false">INDEX(Laporan!$A$1:$AZ$300,G962,H962)</f>
        <v>6</v>
      </c>
      <c r="O962" s="0" t="n">
        <f aca="false">IF(N962="","",IFERROR(VALUE(SUBSTITUTE(SUBSTITUTE(N962," btl",""),".","")),""))</f>
        <v>6</v>
      </c>
      <c r="P962" s="0" t="str">
        <f aca="false">IF(B962="PRODUKSI","produced","reject")</f>
        <v>reject</v>
      </c>
    </row>
    <row r="963" customFormat="false" ht="15" hidden="false" customHeight="false" outlineLevel="0" collapsed="false">
      <c r="A963" s="0" t="n">
        <v>962</v>
      </c>
      <c r="B963" s="0" t="str">
        <f aca="false">IF(A963&lt;=36*25,"PRODUKSI","REJECT")</f>
        <v>REJECT</v>
      </c>
      <c r="C963" s="0" t="n">
        <f aca="false">MOD(A963-1,Pemetaan!$B$3*Pemetaan!$B$4)</f>
        <v>61</v>
      </c>
      <c r="D963" s="0" t="n">
        <f aca="false">INT(C963/Pemetaan!$B$4)</f>
        <v>2</v>
      </c>
      <c r="E963" s="0" t="n">
        <f aca="false">MOD(C963,Pemetaan!$B$4)</f>
        <v>11</v>
      </c>
      <c r="F963" s="0" t="n">
        <f aca="false">IF(B963="PRODUKSI",Pemetaan!$B$5,Pemetaan!$B$6)</f>
        <v>46</v>
      </c>
      <c r="G963" s="0" t="n">
        <f aca="false">F963+2+D963</f>
        <v>50</v>
      </c>
      <c r="H963" s="0" t="n">
        <f aca="false">Pemetaan!$B$2+E963</f>
        <v>16</v>
      </c>
      <c r="I963" s="0" t="str">
        <f aca="false">INDEX(Laporan!$A$1:$AZ$300,G963,1)</f>
        <v>Water Treatment</v>
      </c>
      <c r="J963" s="0" t="str">
        <f aca="false">INDEX(Laporan!$A$1:$AZ$300,G963,2)</f>
        <v>330 ml</v>
      </c>
      <c r="K963" s="0" t="str">
        <f aca="false">INDEX(Laporan!$A$1:$AZ$300,G963,3)</f>
        <v>Shift 1</v>
      </c>
      <c r="L963" s="0" t="n">
        <f aca="false">INDEX(Laporan!$A$1:$AZ$300,G963,4)</f>
        <v>3</v>
      </c>
      <c r="M963" s="1" t="n">
        <f aca="false">DATE(Pemetaan!$B$1,VALUE(RIGHT(INDEX(Laporan!$A$1:$AZ$300,F963+1,H963),2)),VALUE(LEFT(INDEX(Laporan!$A$1:$AZ$300,F963+1,H963),2)))</f>
        <v>46098</v>
      </c>
      <c r="N963" s="0" t="n">
        <f aca="false">INDEX(Laporan!$A$1:$AZ$300,G963,H963)</f>
        <v>14</v>
      </c>
      <c r="O963" s="0" t="n">
        <f aca="false">IF(N963="","",IFERROR(VALUE(SUBSTITUTE(SUBSTITUTE(N963," btl",""),".","")),""))</f>
        <v>14</v>
      </c>
      <c r="P963" s="0" t="str">
        <f aca="false">IF(B963="PRODUKSI","produced","reject")</f>
        <v>reject</v>
      </c>
    </row>
    <row r="964" customFormat="false" ht="15" hidden="false" customHeight="false" outlineLevel="0" collapsed="false">
      <c r="A964" s="0" t="n">
        <v>963</v>
      </c>
      <c r="B964" s="0" t="str">
        <f aca="false">IF(A964&lt;=36*25,"PRODUKSI","REJECT")</f>
        <v>REJECT</v>
      </c>
      <c r="C964" s="0" t="n">
        <f aca="false">MOD(A964-1,Pemetaan!$B$3*Pemetaan!$B$4)</f>
        <v>62</v>
      </c>
      <c r="D964" s="0" t="n">
        <f aca="false">INT(C964/Pemetaan!$B$4)</f>
        <v>2</v>
      </c>
      <c r="E964" s="0" t="n">
        <f aca="false">MOD(C964,Pemetaan!$B$4)</f>
        <v>12</v>
      </c>
      <c r="F964" s="0" t="n">
        <f aca="false">IF(B964="PRODUKSI",Pemetaan!$B$5,Pemetaan!$B$6)</f>
        <v>46</v>
      </c>
      <c r="G964" s="0" t="n">
        <f aca="false">F964+2+D964</f>
        <v>50</v>
      </c>
      <c r="H964" s="0" t="n">
        <f aca="false">Pemetaan!$B$2+E964</f>
        <v>17</v>
      </c>
      <c r="I964" s="0" t="str">
        <f aca="false">INDEX(Laporan!$A$1:$AZ$300,G964,1)</f>
        <v>Water Treatment</v>
      </c>
      <c r="J964" s="0" t="str">
        <f aca="false">INDEX(Laporan!$A$1:$AZ$300,G964,2)</f>
        <v>330 ml</v>
      </c>
      <c r="K964" s="0" t="str">
        <f aca="false">INDEX(Laporan!$A$1:$AZ$300,G964,3)</f>
        <v>Shift 1</v>
      </c>
      <c r="L964" s="0" t="n">
        <f aca="false">INDEX(Laporan!$A$1:$AZ$300,G964,4)</f>
        <v>3</v>
      </c>
      <c r="M964" s="1" t="n">
        <f aca="false">DATE(Pemetaan!$B$1,VALUE(RIGHT(INDEX(Laporan!$A$1:$AZ$300,F964+1,H964),2)),VALUE(LEFT(INDEX(Laporan!$A$1:$AZ$300,F964+1,H964),2)))</f>
        <v>46099</v>
      </c>
      <c r="N964" s="0" t="n">
        <f aca="false">INDEX(Laporan!$A$1:$AZ$300,G964,H964)</f>
        <v>9</v>
      </c>
      <c r="O964" s="0" t="n">
        <f aca="false">IF(N964="","",IFERROR(VALUE(SUBSTITUTE(SUBSTITUTE(N964," btl",""),".","")),""))</f>
        <v>9</v>
      </c>
      <c r="P964" s="0" t="str">
        <f aca="false">IF(B964="PRODUKSI","produced","reject")</f>
        <v>reject</v>
      </c>
    </row>
    <row r="965" customFormat="false" ht="15" hidden="false" customHeight="false" outlineLevel="0" collapsed="false">
      <c r="A965" s="0" t="n">
        <v>964</v>
      </c>
      <c r="B965" s="0" t="str">
        <f aca="false">IF(A965&lt;=36*25,"PRODUKSI","REJECT")</f>
        <v>REJECT</v>
      </c>
      <c r="C965" s="0" t="n">
        <f aca="false">MOD(A965-1,Pemetaan!$B$3*Pemetaan!$B$4)</f>
        <v>63</v>
      </c>
      <c r="D965" s="0" t="n">
        <f aca="false">INT(C965/Pemetaan!$B$4)</f>
        <v>2</v>
      </c>
      <c r="E965" s="0" t="n">
        <f aca="false">MOD(C965,Pemetaan!$B$4)</f>
        <v>13</v>
      </c>
      <c r="F965" s="0" t="n">
        <f aca="false">IF(B965="PRODUKSI",Pemetaan!$B$5,Pemetaan!$B$6)</f>
        <v>46</v>
      </c>
      <c r="G965" s="0" t="n">
        <f aca="false">F965+2+D965</f>
        <v>50</v>
      </c>
      <c r="H965" s="0" t="n">
        <f aca="false">Pemetaan!$B$2+E965</f>
        <v>18</v>
      </c>
      <c r="I965" s="0" t="str">
        <f aca="false">INDEX(Laporan!$A$1:$AZ$300,G965,1)</f>
        <v>Water Treatment</v>
      </c>
      <c r="J965" s="0" t="str">
        <f aca="false">INDEX(Laporan!$A$1:$AZ$300,G965,2)</f>
        <v>330 ml</v>
      </c>
      <c r="K965" s="0" t="str">
        <f aca="false">INDEX(Laporan!$A$1:$AZ$300,G965,3)</f>
        <v>Shift 1</v>
      </c>
      <c r="L965" s="0" t="n">
        <f aca="false">INDEX(Laporan!$A$1:$AZ$300,G965,4)</f>
        <v>3</v>
      </c>
      <c r="M965" s="1" t="n">
        <f aca="false">DATE(Pemetaan!$B$1,VALUE(RIGHT(INDEX(Laporan!$A$1:$AZ$300,F965+1,H965),2)),VALUE(LEFT(INDEX(Laporan!$A$1:$AZ$300,F965+1,H965),2)))</f>
        <v>46100</v>
      </c>
      <c r="N965" s="0" t="n">
        <f aca="false">INDEX(Laporan!$A$1:$AZ$300,G965,H965)</f>
        <v>7</v>
      </c>
      <c r="O965" s="0" t="n">
        <f aca="false">IF(N965="","",IFERROR(VALUE(SUBSTITUTE(SUBSTITUTE(N965," btl",""),".","")),""))</f>
        <v>7</v>
      </c>
      <c r="P965" s="0" t="str">
        <f aca="false">IF(B965="PRODUKSI","produced","reject")</f>
        <v>reject</v>
      </c>
    </row>
    <row r="966" customFormat="false" ht="15" hidden="false" customHeight="false" outlineLevel="0" collapsed="false">
      <c r="A966" s="0" t="n">
        <v>965</v>
      </c>
      <c r="B966" s="0" t="str">
        <f aca="false">IF(A966&lt;=36*25,"PRODUKSI","REJECT")</f>
        <v>REJECT</v>
      </c>
      <c r="C966" s="0" t="n">
        <f aca="false">MOD(A966-1,Pemetaan!$B$3*Pemetaan!$B$4)</f>
        <v>64</v>
      </c>
      <c r="D966" s="0" t="n">
        <f aca="false">INT(C966/Pemetaan!$B$4)</f>
        <v>2</v>
      </c>
      <c r="E966" s="0" t="n">
        <f aca="false">MOD(C966,Pemetaan!$B$4)</f>
        <v>14</v>
      </c>
      <c r="F966" s="0" t="n">
        <f aca="false">IF(B966="PRODUKSI",Pemetaan!$B$5,Pemetaan!$B$6)</f>
        <v>46</v>
      </c>
      <c r="G966" s="0" t="n">
        <f aca="false">F966+2+D966</f>
        <v>50</v>
      </c>
      <c r="H966" s="0" t="n">
        <f aca="false">Pemetaan!$B$2+E966</f>
        <v>19</v>
      </c>
      <c r="I966" s="0" t="str">
        <f aca="false">INDEX(Laporan!$A$1:$AZ$300,G966,1)</f>
        <v>Water Treatment</v>
      </c>
      <c r="J966" s="0" t="str">
        <f aca="false">INDEX(Laporan!$A$1:$AZ$300,G966,2)</f>
        <v>330 ml</v>
      </c>
      <c r="K966" s="0" t="str">
        <f aca="false">INDEX(Laporan!$A$1:$AZ$300,G966,3)</f>
        <v>Shift 1</v>
      </c>
      <c r="L966" s="0" t="n">
        <f aca="false">INDEX(Laporan!$A$1:$AZ$300,G966,4)</f>
        <v>3</v>
      </c>
      <c r="M966" s="1" t="n">
        <f aca="false">DATE(Pemetaan!$B$1,VALUE(RIGHT(INDEX(Laporan!$A$1:$AZ$300,F966+1,H966),2)),VALUE(LEFT(INDEX(Laporan!$A$1:$AZ$300,F966+1,H966),2)))</f>
        <v>46101</v>
      </c>
      <c r="N966" s="0" t="n">
        <f aca="false">INDEX(Laporan!$A$1:$AZ$300,G966,H966)</f>
        <v>12</v>
      </c>
      <c r="O966" s="0" t="n">
        <f aca="false">IF(N966="","",IFERROR(VALUE(SUBSTITUTE(SUBSTITUTE(N966," btl",""),".","")),""))</f>
        <v>12</v>
      </c>
      <c r="P966" s="0" t="str">
        <f aca="false">IF(B966="PRODUKSI","produced","reject")</f>
        <v>reject</v>
      </c>
    </row>
    <row r="967" customFormat="false" ht="15" hidden="false" customHeight="false" outlineLevel="0" collapsed="false">
      <c r="A967" s="0" t="n">
        <v>966</v>
      </c>
      <c r="B967" s="0" t="str">
        <f aca="false">IF(A967&lt;=36*25,"PRODUKSI","REJECT")</f>
        <v>REJECT</v>
      </c>
      <c r="C967" s="0" t="n">
        <f aca="false">MOD(A967-1,Pemetaan!$B$3*Pemetaan!$B$4)</f>
        <v>65</v>
      </c>
      <c r="D967" s="0" t="n">
        <f aca="false">INT(C967/Pemetaan!$B$4)</f>
        <v>2</v>
      </c>
      <c r="E967" s="0" t="n">
        <f aca="false">MOD(C967,Pemetaan!$B$4)</f>
        <v>15</v>
      </c>
      <c r="F967" s="0" t="n">
        <f aca="false">IF(B967="PRODUKSI",Pemetaan!$B$5,Pemetaan!$B$6)</f>
        <v>46</v>
      </c>
      <c r="G967" s="0" t="n">
        <f aca="false">F967+2+D967</f>
        <v>50</v>
      </c>
      <c r="H967" s="0" t="n">
        <f aca="false">Pemetaan!$B$2+E967</f>
        <v>20</v>
      </c>
      <c r="I967" s="0" t="str">
        <f aca="false">INDEX(Laporan!$A$1:$AZ$300,G967,1)</f>
        <v>Water Treatment</v>
      </c>
      <c r="J967" s="0" t="str">
        <f aca="false">INDEX(Laporan!$A$1:$AZ$300,G967,2)</f>
        <v>330 ml</v>
      </c>
      <c r="K967" s="0" t="str">
        <f aca="false">INDEX(Laporan!$A$1:$AZ$300,G967,3)</f>
        <v>Shift 1</v>
      </c>
      <c r="L967" s="0" t="n">
        <f aca="false">INDEX(Laporan!$A$1:$AZ$300,G967,4)</f>
        <v>3</v>
      </c>
      <c r="M967" s="1" t="n">
        <f aca="false">DATE(Pemetaan!$B$1,VALUE(RIGHT(INDEX(Laporan!$A$1:$AZ$300,F967+1,H967),2)),VALUE(LEFT(INDEX(Laporan!$A$1:$AZ$300,F967+1,H967),2)))</f>
        <v>46104</v>
      </c>
      <c r="N967" s="0" t="n">
        <f aca="false">INDEX(Laporan!$A$1:$AZ$300,G967,H967)</f>
        <v>9</v>
      </c>
      <c r="O967" s="0" t="n">
        <f aca="false">IF(N967="","",IFERROR(VALUE(SUBSTITUTE(SUBSTITUTE(N967," btl",""),".","")),""))</f>
        <v>9</v>
      </c>
      <c r="P967" s="0" t="str">
        <f aca="false">IF(B967="PRODUKSI","produced","reject")</f>
        <v>reject</v>
      </c>
    </row>
    <row r="968" customFormat="false" ht="15" hidden="false" customHeight="false" outlineLevel="0" collapsed="false">
      <c r="A968" s="0" t="n">
        <v>967</v>
      </c>
      <c r="B968" s="0" t="str">
        <f aca="false">IF(A968&lt;=36*25,"PRODUKSI","REJECT")</f>
        <v>REJECT</v>
      </c>
      <c r="C968" s="0" t="n">
        <f aca="false">MOD(A968-1,Pemetaan!$B$3*Pemetaan!$B$4)</f>
        <v>66</v>
      </c>
      <c r="D968" s="0" t="n">
        <f aca="false">INT(C968/Pemetaan!$B$4)</f>
        <v>2</v>
      </c>
      <c r="E968" s="0" t="n">
        <f aca="false">MOD(C968,Pemetaan!$B$4)</f>
        <v>16</v>
      </c>
      <c r="F968" s="0" t="n">
        <f aca="false">IF(B968="PRODUKSI",Pemetaan!$B$5,Pemetaan!$B$6)</f>
        <v>46</v>
      </c>
      <c r="G968" s="0" t="n">
        <f aca="false">F968+2+D968</f>
        <v>50</v>
      </c>
      <c r="H968" s="0" t="n">
        <f aca="false">Pemetaan!$B$2+E968</f>
        <v>21</v>
      </c>
      <c r="I968" s="0" t="str">
        <f aca="false">INDEX(Laporan!$A$1:$AZ$300,G968,1)</f>
        <v>Water Treatment</v>
      </c>
      <c r="J968" s="0" t="str">
        <f aca="false">INDEX(Laporan!$A$1:$AZ$300,G968,2)</f>
        <v>330 ml</v>
      </c>
      <c r="K968" s="0" t="str">
        <f aca="false">INDEX(Laporan!$A$1:$AZ$300,G968,3)</f>
        <v>Shift 1</v>
      </c>
      <c r="L968" s="0" t="n">
        <f aca="false">INDEX(Laporan!$A$1:$AZ$300,G968,4)</f>
        <v>3</v>
      </c>
      <c r="M968" s="1" t="n">
        <f aca="false">DATE(Pemetaan!$B$1,VALUE(RIGHT(INDEX(Laporan!$A$1:$AZ$300,F968+1,H968),2)),VALUE(LEFT(INDEX(Laporan!$A$1:$AZ$300,F968+1,H968),2)))</f>
        <v>46105</v>
      </c>
      <c r="N968" s="0" t="n">
        <f aca="false">INDEX(Laporan!$A$1:$AZ$300,G968,H968)</f>
        <v>21</v>
      </c>
      <c r="O968" s="0" t="n">
        <f aca="false">IF(N968="","",IFERROR(VALUE(SUBSTITUTE(SUBSTITUTE(N968," btl",""),".","")),""))</f>
        <v>21</v>
      </c>
      <c r="P968" s="0" t="str">
        <f aca="false">IF(B968="PRODUKSI","produced","reject")</f>
        <v>reject</v>
      </c>
    </row>
    <row r="969" customFormat="false" ht="15" hidden="false" customHeight="false" outlineLevel="0" collapsed="false">
      <c r="A969" s="0" t="n">
        <v>968</v>
      </c>
      <c r="B969" s="0" t="str">
        <f aca="false">IF(A969&lt;=36*25,"PRODUKSI","REJECT")</f>
        <v>REJECT</v>
      </c>
      <c r="C969" s="0" t="n">
        <f aca="false">MOD(A969-1,Pemetaan!$B$3*Pemetaan!$B$4)</f>
        <v>67</v>
      </c>
      <c r="D969" s="0" t="n">
        <f aca="false">INT(C969/Pemetaan!$B$4)</f>
        <v>2</v>
      </c>
      <c r="E969" s="0" t="n">
        <f aca="false">MOD(C969,Pemetaan!$B$4)</f>
        <v>17</v>
      </c>
      <c r="F969" s="0" t="n">
        <f aca="false">IF(B969="PRODUKSI",Pemetaan!$B$5,Pemetaan!$B$6)</f>
        <v>46</v>
      </c>
      <c r="G969" s="0" t="n">
        <f aca="false">F969+2+D969</f>
        <v>50</v>
      </c>
      <c r="H969" s="0" t="n">
        <f aca="false">Pemetaan!$B$2+E969</f>
        <v>22</v>
      </c>
      <c r="I969" s="0" t="str">
        <f aca="false">INDEX(Laporan!$A$1:$AZ$300,G969,1)</f>
        <v>Water Treatment</v>
      </c>
      <c r="J969" s="0" t="str">
        <f aca="false">INDEX(Laporan!$A$1:$AZ$300,G969,2)</f>
        <v>330 ml</v>
      </c>
      <c r="K969" s="0" t="str">
        <f aca="false">INDEX(Laporan!$A$1:$AZ$300,G969,3)</f>
        <v>Shift 1</v>
      </c>
      <c r="L969" s="0" t="n">
        <f aca="false">INDEX(Laporan!$A$1:$AZ$300,G969,4)</f>
        <v>3</v>
      </c>
      <c r="M969" s="1" t="n">
        <f aca="false">DATE(Pemetaan!$B$1,VALUE(RIGHT(INDEX(Laporan!$A$1:$AZ$300,F969+1,H969),2)),VALUE(LEFT(INDEX(Laporan!$A$1:$AZ$300,F969+1,H969),2)))</f>
        <v>46106</v>
      </c>
      <c r="N969" s="0" t="n">
        <f aca="false">INDEX(Laporan!$A$1:$AZ$300,G969,H969)</f>
        <v>14</v>
      </c>
      <c r="O969" s="0" t="n">
        <f aca="false">IF(N969="","",IFERROR(VALUE(SUBSTITUTE(SUBSTITUTE(N969," btl",""),".","")),""))</f>
        <v>14</v>
      </c>
      <c r="P969" s="0" t="str">
        <f aca="false">IF(B969="PRODUKSI","produced","reject")</f>
        <v>reject</v>
      </c>
    </row>
    <row r="970" customFormat="false" ht="15" hidden="false" customHeight="false" outlineLevel="0" collapsed="false">
      <c r="A970" s="0" t="n">
        <v>969</v>
      </c>
      <c r="B970" s="0" t="str">
        <f aca="false">IF(A970&lt;=36*25,"PRODUKSI","REJECT")</f>
        <v>REJECT</v>
      </c>
      <c r="C970" s="0" t="n">
        <f aca="false">MOD(A970-1,Pemetaan!$B$3*Pemetaan!$B$4)</f>
        <v>68</v>
      </c>
      <c r="D970" s="0" t="n">
        <f aca="false">INT(C970/Pemetaan!$B$4)</f>
        <v>2</v>
      </c>
      <c r="E970" s="0" t="n">
        <f aca="false">MOD(C970,Pemetaan!$B$4)</f>
        <v>18</v>
      </c>
      <c r="F970" s="0" t="n">
        <f aca="false">IF(B970="PRODUKSI",Pemetaan!$B$5,Pemetaan!$B$6)</f>
        <v>46</v>
      </c>
      <c r="G970" s="0" t="n">
        <f aca="false">F970+2+D970</f>
        <v>50</v>
      </c>
      <c r="H970" s="0" t="n">
        <f aca="false">Pemetaan!$B$2+E970</f>
        <v>23</v>
      </c>
      <c r="I970" s="0" t="str">
        <f aca="false">INDEX(Laporan!$A$1:$AZ$300,G970,1)</f>
        <v>Water Treatment</v>
      </c>
      <c r="J970" s="0" t="str">
        <f aca="false">INDEX(Laporan!$A$1:$AZ$300,G970,2)</f>
        <v>330 ml</v>
      </c>
      <c r="K970" s="0" t="str">
        <f aca="false">INDEX(Laporan!$A$1:$AZ$300,G970,3)</f>
        <v>Shift 1</v>
      </c>
      <c r="L970" s="0" t="n">
        <f aca="false">INDEX(Laporan!$A$1:$AZ$300,G970,4)</f>
        <v>3</v>
      </c>
      <c r="M970" s="1" t="n">
        <f aca="false">DATE(Pemetaan!$B$1,VALUE(RIGHT(INDEX(Laporan!$A$1:$AZ$300,F970+1,H970),2)),VALUE(LEFT(INDEX(Laporan!$A$1:$AZ$300,F970+1,H970),2)))</f>
        <v>46107</v>
      </c>
      <c r="N970" s="0" t="n">
        <f aca="false">INDEX(Laporan!$A$1:$AZ$300,G970,H970)</f>
        <v>14</v>
      </c>
      <c r="O970" s="0" t="n">
        <f aca="false">IF(N970="","",IFERROR(VALUE(SUBSTITUTE(SUBSTITUTE(N970," btl",""),".","")),""))</f>
        <v>14</v>
      </c>
      <c r="P970" s="0" t="str">
        <f aca="false">IF(B970="PRODUKSI","produced","reject")</f>
        <v>reject</v>
      </c>
    </row>
    <row r="971" customFormat="false" ht="15" hidden="false" customHeight="false" outlineLevel="0" collapsed="false">
      <c r="A971" s="0" t="n">
        <v>970</v>
      </c>
      <c r="B971" s="0" t="str">
        <f aca="false">IF(A971&lt;=36*25,"PRODUKSI","REJECT")</f>
        <v>REJECT</v>
      </c>
      <c r="C971" s="0" t="n">
        <f aca="false">MOD(A971-1,Pemetaan!$B$3*Pemetaan!$B$4)</f>
        <v>69</v>
      </c>
      <c r="D971" s="0" t="n">
        <f aca="false">INT(C971/Pemetaan!$B$4)</f>
        <v>2</v>
      </c>
      <c r="E971" s="0" t="n">
        <f aca="false">MOD(C971,Pemetaan!$B$4)</f>
        <v>19</v>
      </c>
      <c r="F971" s="0" t="n">
        <f aca="false">IF(B971="PRODUKSI",Pemetaan!$B$5,Pemetaan!$B$6)</f>
        <v>46</v>
      </c>
      <c r="G971" s="0" t="n">
        <f aca="false">F971+2+D971</f>
        <v>50</v>
      </c>
      <c r="H971" s="0" t="n">
        <f aca="false">Pemetaan!$B$2+E971</f>
        <v>24</v>
      </c>
      <c r="I971" s="0" t="str">
        <f aca="false">INDEX(Laporan!$A$1:$AZ$300,G971,1)</f>
        <v>Water Treatment</v>
      </c>
      <c r="J971" s="0" t="str">
        <f aca="false">INDEX(Laporan!$A$1:$AZ$300,G971,2)</f>
        <v>330 ml</v>
      </c>
      <c r="K971" s="0" t="str">
        <f aca="false">INDEX(Laporan!$A$1:$AZ$300,G971,3)</f>
        <v>Shift 1</v>
      </c>
      <c r="L971" s="0" t="n">
        <f aca="false">INDEX(Laporan!$A$1:$AZ$300,G971,4)</f>
        <v>3</v>
      </c>
      <c r="M971" s="1" t="n">
        <f aca="false">DATE(Pemetaan!$B$1,VALUE(RIGHT(INDEX(Laporan!$A$1:$AZ$300,F971+1,H971),2)),VALUE(LEFT(INDEX(Laporan!$A$1:$AZ$300,F971+1,H971),2)))</f>
        <v>46108</v>
      </c>
      <c r="N971" s="0" t="n">
        <f aca="false">INDEX(Laporan!$A$1:$AZ$300,G971,H971)</f>
        <v>13</v>
      </c>
      <c r="O971" s="0" t="n">
        <f aca="false">IF(N971="","",IFERROR(VALUE(SUBSTITUTE(SUBSTITUTE(N971," btl",""),".","")),""))</f>
        <v>13</v>
      </c>
      <c r="P971" s="0" t="str">
        <f aca="false">IF(B971="PRODUKSI","produced","reject")</f>
        <v>reject</v>
      </c>
    </row>
    <row r="972" customFormat="false" ht="15" hidden="false" customHeight="false" outlineLevel="0" collapsed="false">
      <c r="A972" s="0" t="n">
        <v>971</v>
      </c>
      <c r="B972" s="0" t="str">
        <f aca="false">IF(A972&lt;=36*25,"PRODUKSI","REJECT")</f>
        <v>REJECT</v>
      </c>
      <c r="C972" s="0" t="n">
        <f aca="false">MOD(A972-1,Pemetaan!$B$3*Pemetaan!$B$4)</f>
        <v>70</v>
      </c>
      <c r="D972" s="0" t="n">
        <f aca="false">INT(C972/Pemetaan!$B$4)</f>
        <v>2</v>
      </c>
      <c r="E972" s="0" t="n">
        <f aca="false">MOD(C972,Pemetaan!$B$4)</f>
        <v>20</v>
      </c>
      <c r="F972" s="0" t="n">
        <f aca="false">IF(B972="PRODUKSI",Pemetaan!$B$5,Pemetaan!$B$6)</f>
        <v>46</v>
      </c>
      <c r="G972" s="0" t="n">
        <f aca="false">F972+2+D972</f>
        <v>50</v>
      </c>
      <c r="H972" s="0" t="n">
        <f aca="false">Pemetaan!$B$2+E972</f>
        <v>25</v>
      </c>
      <c r="I972" s="0" t="str">
        <f aca="false">INDEX(Laporan!$A$1:$AZ$300,G972,1)</f>
        <v>Water Treatment</v>
      </c>
      <c r="J972" s="0" t="str">
        <f aca="false">INDEX(Laporan!$A$1:$AZ$300,G972,2)</f>
        <v>330 ml</v>
      </c>
      <c r="K972" s="0" t="str">
        <f aca="false">INDEX(Laporan!$A$1:$AZ$300,G972,3)</f>
        <v>Shift 1</v>
      </c>
      <c r="L972" s="0" t="n">
        <f aca="false">INDEX(Laporan!$A$1:$AZ$300,G972,4)</f>
        <v>3</v>
      </c>
      <c r="M972" s="1" t="n">
        <f aca="false">DATE(Pemetaan!$B$1,VALUE(RIGHT(INDEX(Laporan!$A$1:$AZ$300,F972+1,H972),2)),VALUE(LEFT(INDEX(Laporan!$A$1:$AZ$300,F972+1,H972),2)))</f>
        <v>46111</v>
      </c>
      <c r="N972" s="0" t="n">
        <f aca="false">INDEX(Laporan!$A$1:$AZ$300,G972,H972)</f>
        <v>17</v>
      </c>
      <c r="O972" s="0" t="n">
        <f aca="false">IF(N972="","",IFERROR(VALUE(SUBSTITUTE(SUBSTITUTE(N972," btl",""),".","")),""))</f>
        <v>17</v>
      </c>
      <c r="P972" s="0" t="str">
        <f aca="false">IF(B972="PRODUKSI","produced","reject")</f>
        <v>reject</v>
      </c>
    </row>
    <row r="973" customFormat="false" ht="15" hidden="false" customHeight="false" outlineLevel="0" collapsed="false">
      <c r="A973" s="0" t="n">
        <v>972</v>
      </c>
      <c r="B973" s="0" t="str">
        <f aca="false">IF(A973&lt;=36*25,"PRODUKSI","REJECT")</f>
        <v>REJECT</v>
      </c>
      <c r="C973" s="0" t="n">
        <f aca="false">MOD(A973-1,Pemetaan!$B$3*Pemetaan!$B$4)</f>
        <v>71</v>
      </c>
      <c r="D973" s="0" t="n">
        <f aca="false">INT(C973/Pemetaan!$B$4)</f>
        <v>2</v>
      </c>
      <c r="E973" s="0" t="n">
        <f aca="false">MOD(C973,Pemetaan!$B$4)</f>
        <v>21</v>
      </c>
      <c r="F973" s="0" t="n">
        <f aca="false">IF(B973="PRODUKSI",Pemetaan!$B$5,Pemetaan!$B$6)</f>
        <v>46</v>
      </c>
      <c r="G973" s="0" t="n">
        <f aca="false">F973+2+D973</f>
        <v>50</v>
      </c>
      <c r="H973" s="0" t="n">
        <f aca="false">Pemetaan!$B$2+E973</f>
        <v>26</v>
      </c>
      <c r="I973" s="0" t="str">
        <f aca="false">INDEX(Laporan!$A$1:$AZ$300,G973,1)</f>
        <v>Water Treatment</v>
      </c>
      <c r="J973" s="0" t="str">
        <f aca="false">INDEX(Laporan!$A$1:$AZ$300,G973,2)</f>
        <v>330 ml</v>
      </c>
      <c r="K973" s="0" t="str">
        <f aca="false">INDEX(Laporan!$A$1:$AZ$300,G973,3)</f>
        <v>Shift 1</v>
      </c>
      <c r="L973" s="0" t="n">
        <f aca="false">INDEX(Laporan!$A$1:$AZ$300,G973,4)</f>
        <v>3</v>
      </c>
      <c r="M973" s="1" t="n">
        <f aca="false">DATE(Pemetaan!$B$1,VALUE(RIGHT(INDEX(Laporan!$A$1:$AZ$300,F973+1,H973),2)),VALUE(LEFT(INDEX(Laporan!$A$1:$AZ$300,F973+1,H973),2)))</f>
        <v>46112</v>
      </c>
      <c r="N973" s="0" t="str">
        <f aca="false">INDEX(Laporan!$A$1:$AZ$300,G973,H973)</f>
        <v>n/a</v>
      </c>
      <c r="O973" s="0" t="str">
        <f aca="false">IF(N973="","",IFERROR(VALUE(SUBSTITUTE(SUBSTITUTE(N973," btl",""),".","")),""))</f>
        <v/>
      </c>
      <c r="P973" s="0" t="str">
        <f aca="false">IF(B973="PRODUKSI","produced","reject")</f>
        <v>reject</v>
      </c>
    </row>
    <row r="974" customFormat="false" ht="15" hidden="false" customHeight="false" outlineLevel="0" collapsed="false">
      <c r="A974" s="0" t="n">
        <v>973</v>
      </c>
      <c r="B974" s="0" t="str">
        <f aca="false">IF(A974&lt;=36*25,"PRODUKSI","REJECT")</f>
        <v>REJECT</v>
      </c>
      <c r="C974" s="0" t="n">
        <f aca="false">MOD(A974-1,Pemetaan!$B$3*Pemetaan!$B$4)</f>
        <v>72</v>
      </c>
      <c r="D974" s="0" t="n">
        <f aca="false">INT(C974/Pemetaan!$B$4)</f>
        <v>2</v>
      </c>
      <c r="E974" s="0" t="n">
        <f aca="false">MOD(C974,Pemetaan!$B$4)</f>
        <v>22</v>
      </c>
      <c r="F974" s="0" t="n">
        <f aca="false">IF(B974="PRODUKSI",Pemetaan!$B$5,Pemetaan!$B$6)</f>
        <v>46</v>
      </c>
      <c r="G974" s="0" t="n">
        <f aca="false">F974+2+D974</f>
        <v>50</v>
      </c>
      <c r="H974" s="0" t="n">
        <f aca="false">Pemetaan!$B$2+E974</f>
        <v>27</v>
      </c>
      <c r="I974" s="0" t="str">
        <f aca="false">INDEX(Laporan!$A$1:$AZ$300,G974,1)</f>
        <v>Water Treatment</v>
      </c>
      <c r="J974" s="0" t="str">
        <f aca="false">INDEX(Laporan!$A$1:$AZ$300,G974,2)</f>
        <v>330 ml</v>
      </c>
      <c r="K974" s="0" t="str">
        <f aca="false">INDEX(Laporan!$A$1:$AZ$300,G974,3)</f>
        <v>Shift 1</v>
      </c>
      <c r="L974" s="0" t="n">
        <f aca="false">INDEX(Laporan!$A$1:$AZ$300,G974,4)</f>
        <v>3</v>
      </c>
      <c r="M974" s="1" t="n">
        <f aca="false">DATE(Pemetaan!$B$1,VALUE(RIGHT(INDEX(Laporan!$A$1:$AZ$300,F974+1,H974),2)),VALUE(LEFT(INDEX(Laporan!$A$1:$AZ$300,F974+1,H974),2)))</f>
        <v>46113</v>
      </c>
      <c r="N974" s="0" t="n">
        <f aca="false">INDEX(Laporan!$A$1:$AZ$300,G974,H974)</f>
        <v>10</v>
      </c>
      <c r="O974" s="0" t="n">
        <f aca="false">IF(N974="","",IFERROR(VALUE(SUBSTITUTE(SUBSTITUTE(N974," btl",""),".","")),""))</f>
        <v>10</v>
      </c>
      <c r="P974" s="0" t="str">
        <f aca="false">IF(B974="PRODUKSI","produced","reject")</f>
        <v>reject</v>
      </c>
    </row>
    <row r="975" customFormat="false" ht="15" hidden="false" customHeight="false" outlineLevel="0" collapsed="false">
      <c r="A975" s="0" t="n">
        <v>974</v>
      </c>
      <c r="B975" s="0" t="str">
        <f aca="false">IF(A975&lt;=36*25,"PRODUKSI","REJECT")</f>
        <v>REJECT</v>
      </c>
      <c r="C975" s="0" t="n">
        <f aca="false">MOD(A975-1,Pemetaan!$B$3*Pemetaan!$B$4)</f>
        <v>73</v>
      </c>
      <c r="D975" s="0" t="n">
        <f aca="false">INT(C975/Pemetaan!$B$4)</f>
        <v>2</v>
      </c>
      <c r="E975" s="0" t="n">
        <f aca="false">MOD(C975,Pemetaan!$B$4)</f>
        <v>23</v>
      </c>
      <c r="F975" s="0" t="n">
        <f aca="false">IF(B975="PRODUKSI",Pemetaan!$B$5,Pemetaan!$B$6)</f>
        <v>46</v>
      </c>
      <c r="G975" s="0" t="n">
        <f aca="false">F975+2+D975</f>
        <v>50</v>
      </c>
      <c r="H975" s="0" t="n">
        <f aca="false">Pemetaan!$B$2+E975</f>
        <v>28</v>
      </c>
      <c r="I975" s="0" t="str">
        <f aca="false">INDEX(Laporan!$A$1:$AZ$300,G975,1)</f>
        <v>Water Treatment</v>
      </c>
      <c r="J975" s="0" t="str">
        <f aca="false">INDEX(Laporan!$A$1:$AZ$300,G975,2)</f>
        <v>330 ml</v>
      </c>
      <c r="K975" s="0" t="str">
        <f aca="false">INDEX(Laporan!$A$1:$AZ$300,G975,3)</f>
        <v>Shift 1</v>
      </c>
      <c r="L975" s="0" t="n">
        <f aca="false">INDEX(Laporan!$A$1:$AZ$300,G975,4)</f>
        <v>3</v>
      </c>
      <c r="M975" s="1" t="n">
        <f aca="false">DATE(Pemetaan!$B$1,VALUE(RIGHT(INDEX(Laporan!$A$1:$AZ$300,F975+1,H975),2)),VALUE(LEFT(INDEX(Laporan!$A$1:$AZ$300,F975+1,H975),2)))</f>
        <v>46114</v>
      </c>
      <c r="N975" s="0" t="n">
        <f aca="false">INDEX(Laporan!$A$1:$AZ$300,G975,H975)</f>
        <v>13</v>
      </c>
      <c r="O975" s="0" t="n">
        <f aca="false">IF(N975="","",IFERROR(VALUE(SUBSTITUTE(SUBSTITUTE(N975," btl",""),".","")),""))</f>
        <v>13</v>
      </c>
      <c r="P975" s="0" t="str">
        <f aca="false">IF(B975="PRODUKSI","produced","reject")</f>
        <v>reject</v>
      </c>
    </row>
    <row r="976" customFormat="false" ht="15" hidden="false" customHeight="false" outlineLevel="0" collapsed="false">
      <c r="A976" s="0" t="n">
        <v>975</v>
      </c>
      <c r="B976" s="0" t="str">
        <f aca="false">IF(A976&lt;=36*25,"PRODUKSI","REJECT")</f>
        <v>REJECT</v>
      </c>
      <c r="C976" s="0" t="n">
        <f aca="false">MOD(A976-1,Pemetaan!$B$3*Pemetaan!$B$4)</f>
        <v>74</v>
      </c>
      <c r="D976" s="0" t="n">
        <f aca="false">INT(C976/Pemetaan!$B$4)</f>
        <v>2</v>
      </c>
      <c r="E976" s="0" t="n">
        <f aca="false">MOD(C976,Pemetaan!$B$4)</f>
        <v>24</v>
      </c>
      <c r="F976" s="0" t="n">
        <f aca="false">IF(B976="PRODUKSI",Pemetaan!$B$5,Pemetaan!$B$6)</f>
        <v>46</v>
      </c>
      <c r="G976" s="0" t="n">
        <f aca="false">F976+2+D976</f>
        <v>50</v>
      </c>
      <c r="H976" s="0" t="n">
        <f aca="false">Pemetaan!$B$2+E976</f>
        <v>29</v>
      </c>
      <c r="I976" s="0" t="str">
        <f aca="false">INDEX(Laporan!$A$1:$AZ$300,G976,1)</f>
        <v>Water Treatment</v>
      </c>
      <c r="J976" s="0" t="str">
        <f aca="false">INDEX(Laporan!$A$1:$AZ$300,G976,2)</f>
        <v>330 ml</v>
      </c>
      <c r="K976" s="0" t="str">
        <f aca="false">INDEX(Laporan!$A$1:$AZ$300,G976,3)</f>
        <v>Shift 1</v>
      </c>
      <c r="L976" s="0" t="n">
        <f aca="false">INDEX(Laporan!$A$1:$AZ$300,G976,4)</f>
        <v>3</v>
      </c>
      <c r="M976" s="1" t="n">
        <f aca="false">DATE(Pemetaan!$B$1,VALUE(RIGHT(INDEX(Laporan!$A$1:$AZ$300,F976+1,H976),2)),VALUE(LEFT(INDEX(Laporan!$A$1:$AZ$300,F976+1,H976),2)))</f>
        <v>46115</v>
      </c>
      <c r="N976" s="0" t="n">
        <f aca="false">INDEX(Laporan!$A$1:$AZ$300,G976,H976)</f>
        <v>16</v>
      </c>
      <c r="O976" s="0" t="n">
        <f aca="false">IF(N976="","",IFERROR(VALUE(SUBSTITUTE(SUBSTITUTE(N976," btl",""),".","")),""))</f>
        <v>16</v>
      </c>
      <c r="P976" s="0" t="str">
        <f aca="false">IF(B976="PRODUKSI","produced","reject")</f>
        <v>reject</v>
      </c>
    </row>
    <row r="977" customFormat="false" ht="15" hidden="false" customHeight="false" outlineLevel="0" collapsed="false">
      <c r="A977" s="0" t="n">
        <v>976</v>
      </c>
      <c r="B977" s="0" t="str">
        <f aca="false">IF(A977&lt;=36*25,"PRODUKSI","REJECT")</f>
        <v>REJECT</v>
      </c>
      <c r="C977" s="0" t="n">
        <f aca="false">MOD(A977-1,Pemetaan!$B$3*Pemetaan!$B$4)</f>
        <v>75</v>
      </c>
      <c r="D977" s="0" t="n">
        <f aca="false">INT(C977/Pemetaan!$B$4)</f>
        <v>3</v>
      </c>
      <c r="E977" s="0" t="n">
        <f aca="false">MOD(C977,Pemetaan!$B$4)</f>
        <v>0</v>
      </c>
      <c r="F977" s="0" t="n">
        <f aca="false">IF(B977="PRODUKSI",Pemetaan!$B$5,Pemetaan!$B$6)</f>
        <v>46</v>
      </c>
      <c r="G977" s="0" t="n">
        <f aca="false">F977+2+D977</f>
        <v>51</v>
      </c>
      <c r="H977" s="0" t="n">
        <f aca="false">Pemetaan!$B$2+E977</f>
        <v>5</v>
      </c>
      <c r="I977" s="0" t="str">
        <f aca="false">INDEX(Laporan!$A$1:$AZ$300,G977,1)</f>
        <v>Water Treatment</v>
      </c>
      <c r="J977" s="0" t="str">
        <f aca="false">INDEX(Laporan!$A$1:$AZ$300,G977,2)</f>
        <v>330 ml</v>
      </c>
      <c r="K977" s="0" t="str">
        <f aca="false">INDEX(Laporan!$A$1:$AZ$300,G977,3)</f>
        <v>Shift 2</v>
      </c>
      <c r="L977" s="0" t="n">
        <f aca="false">INDEX(Laporan!$A$1:$AZ$300,G977,4)</f>
        <v>1</v>
      </c>
      <c r="M977" s="1" t="n">
        <f aca="false">DATE(Pemetaan!$B$1,VALUE(RIGHT(INDEX(Laporan!$A$1:$AZ$300,F977+1,H977),2)),VALUE(LEFT(INDEX(Laporan!$A$1:$AZ$300,F977+1,H977),2)))</f>
        <v>46083</v>
      </c>
      <c r="N977" s="0" t="n">
        <f aca="false">INDEX(Laporan!$A$1:$AZ$300,G977,H977)</f>
        <v>15</v>
      </c>
      <c r="O977" s="0" t="n">
        <f aca="false">IF(N977="","",IFERROR(VALUE(SUBSTITUTE(SUBSTITUTE(N977," btl",""),".","")),""))</f>
        <v>15</v>
      </c>
      <c r="P977" s="0" t="str">
        <f aca="false">IF(B977="PRODUKSI","produced","reject")</f>
        <v>reject</v>
      </c>
    </row>
    <row r="978" customFormat="false" ht="15" hidden="false" customHeight="false" outlineLevel="0" collapsed="false">
      <c r="A978" s="0" t="n">
        <v>977</v>
      </c>
      <c r="B978" s="0" t="str">
        <f aca="false">IF(A978&lt;=36*25,"PRODUKSI","REJECT")</f>
        <v>REJECT</v>
      </c>
      <c r="C978" s="0" t="n">
        <f aca="false">MOD(A978-1,Pemetaan!$B$3*Pemetaan!$B$4)</f>
        <v>76</v>
      </c>
      <c r="D978" s="0" t="n">
        <f aca="false">INT(C978/Pemetaan!$B$4)</f>
        <v>3</v>
      </c>
      <c r="E978" s="0" t="n">
        <f aca="false">MOD(C978,Pemetaan!$B$4)</f>
        <v>1</v>
      </c>
      <c r="F978" s="0" t="n">
        <f aca="false">IF(B978="PRODUKSI",Pemetaan!$B$5,Pemetaan!$B$6)</f>
        <v>46</v>
      </c>
      <c r="G978" s="0" t="n">
        <f aca="false">F978+2+D978</f>
        <v>51</v>
      </c>
      <c r="H978" s="0" t="n">
        <f aca="false">Pemetaan!$B$2+E978</f>
        <v>6</v>
      </c>
      <c r="I978" s="0" t="str">
        <f aca="false">INDEX(Laporan!$A$1:$AZ$300,G978,1)</f>
        <v>Water Treatment</v>
      </c>
      <c r="J978" s="0" t="str">
        <f aca="false">INDEX(Laporan!$A$1:$AZ$300,G978,2)</f>
        <v>330 ml</v>
      </c>
      <c r="K978" s="0" t="str">
        <f aca="false">INDEX(Laporan!$A$1:$AZ$300,G978,3)</f>
        <v>Shift 2</v>
      </c>
      <c r="L978" s="0" t="n">
        <f aca="false">INDEX(Laporan!$A$1:$AZ$300,G978,4)</f>
        <v>1</v>
      </c>
      <c r="M978" s="1" t="n">
        <f aca="false">DATE(Pemetaan!$B$1,VALUE(RIGHT(INDEX(Laporan!$A$1:$AZ$300,F978+1,H978),2)),VALUE(LEFT(INDEX(Laporan!$A$1:$AZ$300,F978+1,H978),2)))</f>
        <v>46084</v>
      </c>
      <c r="N978" s="0" t="n">
        <f aca="false">INDEX(Laporan!$A$1:$AZ$300,G978,H978)</f>
        <v>7</v>
      </c>
      <c r="O978" s="0" t="n">
        <f aca="false">IF(N978="","",IFERROR(VALUE(SUBSTITUTE(SUBSTITUTE(N978," btl",""),".","")),""))</f>
        <v>7</v>
      </c>
      <c r="P978" s="0" t="str">
        <f aca="false">IF(B978="PRODUKSI","produced","reject")</f>
        <v>reject</v>
      </c>
    </row>
    <row r="979" customFormat="false" ht="15" hidden="false" customHeight="false" outlineLevel="0" collapsed="false">
      <c r="A979" s="0" t="n">
        <v>978</v>
      </c>
      <c r="B979" s="0" t="str">
        <f aca="false">IF(A979&lt;=36*25,"PRODUKSI","REJECT")</f>
        <v>REJECT</v>
      </c>
      <c r="C979" s="0" t="n">
        <f aca="false">MOD(A979-1,Pemetaan!$B$3*Pemetaan!$B$4)</f>
        <v>77</v>
      </c>
      <c r="D979" s="0" t="n">
        <f aca="false">INT(C979/Pemetaan!$B$4)</f>
        <v>3</v>
      </c>
      <c r="E979" s="0" t="n">
        <f aca="false">MOD(C979,Pemetaan!$B$4)</f>
        <v>2</v>
      </c>
      <c r="F979" s="0" t="n">
        <f aca="false">IF(B979="PRODUKSI",Pemetaan!$B$5,Pemetaan!$B$6)</f>
        <v>46</v>
      </c>
      <c r="G979" s="0" t="n">
        <f aca="false">F979+2+D979</f>
        <v>51</v>
      </c>
      <c r="H979" s="0" t="n">
        <f aca="false">Pemetaan!$B$2+E979</f>
        <v>7</v>
      </c>
      <c r="I979" s="0" t="str">
        <f aca="false">INDEX(Laporan!$A$1:$AZ$300,G979,1)</f>
        <v>Water Treatment</v>
      </c>
      <c r="J979" s="0" t="str">
        <f aca="false">INDEX(Laporan!$A$1:$AZ$300,G979,2)</f>
        <v>330 ml</v>
      </c>
      <c r="K979" s="0" t="str">
        <f aca="false">INDEX(Laporan!$A$1:$AZ$300,G979,3)</f>
        <v>Shift 2</v>
      </c>
      <c r="L979" s="0" t="n">
        <f aca="false">INDEX(Laporan!$A$1:$AZ$300,G979,4)</f>
        <v>1</v>
      </c>
      <c r="M979" s="1" t="n">
        <f aca="false">DATE(Pemetaan!$B$1,VALUE(RIGHT(INDEX(Laporan!$A$1:$AZ$300,F979+1,H979),2)),VALUE(LEFT(INDEX(Laporan!$A$1:$AZ$300,F979+1,H979),2)))</f>
        <v>46085</v>
      </c>
      <c r="N979" s="0" t="n">
        <f aca="false">INDEX(Laporan!$A$1:$AZ$300,G979,H979)</f>
        <v>20</v>
      </c>
      <c r="O979" s="0" t="n">
        <f aca="false">IF(N979="","",IFERROR(VALUE(SUBSTITUTE(SUBSTITUTE(N979," btl",""),".","")),""))</f>
        <v>20</v>
      </c>
      <c r="P979" s="0" t="str">
        <f aca="false">IF(B979="PRODUKSI","produced","reject")</f>
        <v>reject</v>
      </c>
    </row>
    <row r="980" customFormat="false" ht="15" hidden="false" customHeight="false" outlineLevel="0" collapsed="false">
      <c r="A980" s="0" t="n">
        <v>979</v>
      </c>
      <c r="B980" s="0" t="str">
        <f aca="false">IF(A980&lt;=36*25,"PRODUKSI","REJECT")</f>
        <v>REJECT</v>
      </c>
      <c r="C980" s="0" t="n">
        <f aca="false">MOD(A980-1,Pemetaan!$B$3*Pemetaan!$B$4)</f>
        <v>78</v>
      </c>
      <c r="D980" s="0" t="n">
        <f aca="false">INT(C980/Pemetaan!$B$4)</f>
        <v>3</v>
      </c>
      <c r="E980" s="0" t="n">
        <f aca="false">MOD(C980,Pemetaan!$B$4)</f>
        <v>3</v>
      </c>
      <c r="F980" s="0" t="n">
        <f aca="false">IF(B980="PRODUKSI",Pemetaan!$B$5,Pemetaan!$B$6)</f>
        <v>46</v>
      </c>
      <c r="G980" s="0" t="n">
        <f aca="false">F980+2+D980</f>
        <v>51</v>
      </c>
      <c r="H980" s="0" t="n">
        <f aca="false">Pemetaan!$B$2+E980</f>
        <v>8</v>
      </c>
      <c r="I980" s="0" t="str">
        <f aca="false">INDEX(Laporan!$A$1:$AZ$300,G980,1)</f>
        <v>Water Treatment</v>
      </c>
      <c r="J980" s="0" t="str">
        <f aca="false">INDEX(Laporan!$A$1:$AZ$300,G980,2)</f>
        <v>330 ml</v>
      </c>
      <c r="K980" s="0" t="str">
        <f aca="false">INDEX(Laporan!$A$1:$AZ$300,G980,3)</f>
        <v>Shift 2</v>
      </c>
      <c r="L980" s="0" t="n">
        <f aca="false">INDEX(Laporan!$A$1:$AZ$300,G980,4)</f>
        <v>1</v>
      </c>
      <c r="M980" s="1" t="n">
        <f aca="false">DATE(Pemetaan!$B$1,VALUE(RIGHT(INDEX(Laporan!$A$1:$AZ$300,F980+1,H980),2)),VALUE(LEFT(INDEX(Laporan!$A$1:$AZ$300,F980+1,H980),2)))</f>
        <v>46086</v>
      </c>
      <c r="N980" s="0" t="n">
        <f aca="false">INDEX(Laporan!$A$1:$AZ$300,G980,H980)</f>
        <v>14</v>
      </c>
      <c r="O980" s="0" t="n">
        <f aca="false">IF(N980="","",IFERROR(VALUE(SUBSTITUTE(SUBSTITUTE(N980," btl",""),".","")),""))</f>
        <v>14</v>
      </c>
      <c r="P980" s="0" t="str">
        <f aca="false">IF(B980="PRODUKSI","produced","reject")</f>
        <v>reject</v>
      </c>
    </row>
    <row r="981" customFormat="false" ht="15" hidden="false" customHeight="false" outlineLevel="0" collapsed="false">
      <c r="A981" s="0" t="n">
        <v>980</v>
      </c>
      <c r="B981" s="0" t="str">
        <f aca="false">IF(A981&lt;=36*25,"PRODUKSI","REJECT")</f>
        <v>REJECT</v>
      </c>
      <c r="C981" s="0" t="n">
        <f aca="false">MOD(A981-1,Pemetaan!$B$3*Pemetaan!$B$4)</f>
        <v>79</v>
      </c>
      <c r="D981" s="0" t="n">
        <f aca="false">INT(C981/Pemetaan!$B$4)</f>
        <v>3</v>
      </c>
      <c r="E981" s="0" t="n">
        <f aca="false">MOD(C981,Pemetaan!$B$4)</f>
        <v>4</v>
      </c>
      <c r="F981" s="0" t="n">
        <f aca="false">IF(B981="PRODUKSI",Pemetaan!$B$5,Pemetaan!$B$6)</f>
        <v>46</v>
      </c>
      <c r="G981" s="0" t="n">
        <f aca="false">F981+2+D981</f>
        <v>51</v>
      </c>
      <c r="H981" s="0" t="n">
        <f aca="false">Pemetaan!$B$2+E981</f>
        <v>9</v>
      </c>
      <c r="I981" s="0" t="str">
        <f aca="false">INDEX(Laporan!$A$1:$AZ$300,G981,1)</f>
        <v>Water Treatment</v>
      </c>
      <c r="J981" s="0" t="str">
        <f aca="false">INDEX(Laporan!$A$1:$AZ$300,G981,2)</f>
        <v>330 ml</v>
      </c>
      <c r="K981" s="0" t="str">
        <f aca="false">INDEX(Laporan!$A$1:$AZ$300,G981,3)</f>
        <v>Shift 2</v>
      </c>
      <c r="L981" s="0" t="n">
        <f aca="false">INDEX(Laporan!$A$1:$AZ$300,G981,4)</f>
        <v>1</v>
      </c>
      <c r="M981" s="1" t="n">
        <f aca="false">DATE(Pemetaan!$B$1,VALUE(RIGHT(INDEX(Laporan!$A$1:$AZ$300,F981+1,H981),2)),VALUE(LEFT(INDEX(Laporan!$A$1:$AZ$300,F981+1,H981),2)))</f>
        <v>46087</v>
      </c>
      <c r="N981" s="0" t="n">
        <f aca="false">INDEX(Laporan!$A$1:$AZ$300,G981,H981)</f>
        <v>22</v>
      </c>
      <c r="O981" s="0" t="n">
        <f aca="false">IF(N981="","",IFERROR(VALUE(SUBSTITUTE(SUBSTITUTE(N981," btl",""),".","")),""))</f>
        <v>22</v>
      </c>
      <c r="P981" s="0" t="str">
        <f aca="false">IF(B981="PRODUKSI","produced","reject")</f>
        <v>reject</v>
      </c>
    </row>
    <row r="982" customFormat="false" ht="15" hidden="false" customHeight="false" outlineLevel="0" collapsed="false">
      <c r="A982" s="0" t="n">
        <v>981</v>
      </c>
      <c r="B982" s="0" t="str">
        <f aca="false">IF(A982&lt;=36*25,"PRODUKSI","REJECT")</f>
        <v>REJECT</v>
      </c>
      <c r="C982" s="0" t="n">
        <f aca="false">MOD(A982-1,Pemetaan!$B$3*Pemetaan!$B$4)</f>
        <v>80</v>
      </c>
      <c r="D982" s="0" t="n">
        <f aca="false">INT(C982/Pemetaan!$B$4)</f>
        <v>3</v>
      </c>
      <c r="E982" s="0" t="n">
        <f aca="false">MOD(C982,Pemetaan!$B$4)</f>
        <v>5</v>
      </c>
      <c r="F982" s="0" t="n">
        <f aca="false">IF(B982="PRODUKSI",Pemetaan!$B$5,Pemetaan!$B$6)</f>
        <v>46</v>
      </c>
      <c r="G982" s="0" t="n">
        <f aca="false">F982+2+D982</f>
        <v>51</v>
      </c>
      <c r="H982" s="0" t="n">
        <f aca="false">Pemetaan!$B$2+E982</f>
        <v>10</v>
      </c>
      <c r="I982" s="0" t="str">
        <f aca="false">INDEX(Laporan!$A$1:$AZ$300,G982,1)</f>
        <v>Water Treatment</v>
      </c>
      <c r="J982" s="0" t="str">
        <f aca="false">INDEX(Laporan!$A$1:$AZ$300,G982,2)</f>
        <v>330 ml</v>
      </c>
      <c r="K982" s="0" t="str">
        <f aca="false">INDEX(Laporan!$A$1:$AZ$300,G982,3)</f>
        <v>Shift 2</v>
      </c>
      <c r="L982" s="0" t="n">
        <f aca="false">INDEX(Laporan!$A$1:$AZ$300,G982,4)</f>
        <v>1</v>
      </c>
      <c r="M982" s="1" t="n">
        <f aca="false">DATE(Pemetaan!$B$1,VALUE(RIGHT(INDEX(Laporan!$A$1:$AZ$300,F982+1,H982),2)),VALUE(LEFT(INDEX(Laporan!$A$1:$AZ$300,F982+1,H982),2)))</f>
        <v>46090</v>
      </c>
      <c r="N982" s="0" t="n">
        <f aca="false">INDEX(Laporan!$A$1:$AZ$300,G982,H982)</f>
        <v>9</v>
      </c>
      <c r="O982" s="0" t="n">
        <f aca="false">IF(N982="","",IFERROR(VALUE(SUBSTITUTE(SUBSTITUTE(N982," btl",""),".","")),""))</f>
        <v>9</v>
      </c>
      <c r="P982" s="0" t="str">
        <f aca="false">IF(B982="PRODUKSI","produced","reject")</f>
        <v>reject</v>
      </c>
    </row>
    <row r="983" customFormat="false" ht="15" hidden="false" customHeight="false" outlineLevel="0" collapsed="false">
      <c r="A983" s="0" t="n">
        <v>982</v>
      </c>
      <c r="B983" s="0" t="str">
        <f aca="false">IF(A983&lt;=36*25,"PRODUKSI","REJECT")</f>
        <v>REJECT</v>
      </c>
      <c r="C983" s="0" t="n">
        <f aca="false">MOD(A983-1,Pemetaan!$B$3*Pemetaan!$B$4)</f>
        <v>81</v>
      </c>
      <c r="D983" s="0" t="n">
        <f aca="false">INT(C983/Pemetaan!$B$4)</f>
        <v>3</v>
      </c>
      <c r="E983" s="0" t="n">
        <f aca="false">MOD(C983,Pemetaan!$B$4)</f>
        <v>6</v>
      </c>
      <c r="F983" s="0" t="n">
        <f aca="false">IF(B983="PRODUKSI",Pemetaan!$B$5,Pemetaan!$B$6)</f>
        <v>46</v>
      </c>
      <c r="G983" s="0" t="n">
        <f aca="false">F983+2+D983</f>
        <v>51</v>
      </c>
      <c r="H983" s="0" t="n">
        <f aca="false">Pemetaan!$B$2+E983</f>
        <v>11</v>
      </c>
      <c r="I983" s="0" t="str">
        <f aca="false">INDEX(Laporan!$A$1:$AZ$300,G983,1)</f>
        <v>Water Treatment</v>
      </c>
      <c r="J983" s="0" t="str">
        <f aca="false">INDEX(Laporan!$A$1:$AZ$300,G983,2)</f>
        <v>330 ml</v>
      </c>
      <c r="K983" s="0" t="str">
        <f aca="false">INDEX(Laporan!$A$1:$AZ$300,G983,3)</f>
        <v>Shift 2</v>
      </c>
      <c r="L983" s="0" t="n">
        <f aca="false">INDEX(Laporan!$A$1:$AZ$300,G983,4)</f>
        <v>1</v>
      </c>
      <c r="M983" s="1" t="n">
        <f aca="false">DATE(Pemetaan!$B$1,VALUE(RIGHT(INDEX(Laporan!$A$1:$AZ$300,F983+1,H983),2)),VALUE(LEFT(INDEX(Laporan!$A$1:$AZ$300,F983+1,H983),2)))</f>
        <v>46091</v>
      </c>
      <c r="N983" s="0" t="n">
        <f aca="false">INDEX(Laporan!$A$1:$AZ$300,G983,H983)</f>
        <v>13</v>
      </c>
      <c r="O983" s="0" t="n">
        <f aca="false">IF(N983="","",IFERROR(VALUE(SUBSTITUTE(SUBSTITUTE(N983," btl",""),".","")),""))</f>
        <v>13</v>
      </c>
      <c r="P983" s="0" t="str">
        <f aca="false">IF(B983="PRODUKSI","produced","reject")</f>
        <v>reject</v>
      </c>
    </row>
    <row r="984" customFormat="false" ht="15" hidden="false" customHeight="false" outlineLevel="0" collapsed="false">
      <c r="A984" s="0" t="n">
        <v>983</v>
      </c>
      <c r="B984" s="0" t="str">
        <f aca="false">IF(A984&lt;=36*25,"PRODUKSI","REJECT")</f>
        <v>REJECT</v>
      </c>
      <c r="C984" s="0" t="n">
        <f aca="false">MOD(A984-1,Pemetaan!$B$3*Pemetaan!$B$4)</f>
        <v>82</v>
      </c>
      <c r="D984" s="0" t="n">
        <f aca="false">INT(C984/Pemetaan!$B$4)</f>
        <v>3</v>
      </c>
      <c r="E984" s="0" t="n">
        <f aca="false">MOD(C984,Pemetaan!$B$4)</f>
        <v>7</v>
      </c>
      <c r="F984" s="0" t="n">
        <f aca="false">IF(B984="PRODUKSI",Pemetaan!$B$5,Pemetaan!$B$6)</f>
        <v>46</v>
      </c>
      <c r="G984" s="0" t="n">
        <f aca="false">F984+2+D984</f>
        <v>51</v>
      </c>
      <c r="H984" s="0" t="n">
        <f aca="false">Pemetaan!$B$2+E984</f>
        <v>12</v>
      </c>
      <c r="I984" s="0" t="str">
        <f aca="false">INDEX(Laporan!$A$1:$AZ$300,G984,1)</f>
        <v>Water Treatment</v>
      </c>
      <c r="J984" s="0" t="str">
        <f aca="false">INDEX(Laporan!$A$1:$AZ$300,G984,2)</f>
        <v>330 ml</v>
      </c>
      <c r="K984" s="0" t="str">
        <f aca="false">INDEX(Laporan!$A$1:$AZ$300,G984,3)</f>
        <v>Shift 2</v>
      </c>
      <c r="L984" s="0" t="n">
        <f aca="false">INDEX(Laporan!$A$1:$AZ$300,G984,4)</f>
        <v>1</v>
      </c>
      <c r="M984" s="1" t="n">
        <f aca="false">DATE(Pemetaan!$B$1,VALUE(RIGHT(INDEX(Laporan!$A$1:$AZ$300,F984+1,H984),2)),VALUE(LEFT(INDEX(Laporan!$A$1:$AZ$300,F984+1,H984),2)))</f>
        <v>46092</v>
      </c>
      <c r="N984" s="0" t="n">
        <f aca="false">INDEX(Laporan!$A$1:$AZ$300,G984,H984)</f>
        <v>10</v>
      </c>
      <c r="O984" s="0" t="n">
        <f aca="false">IF(N984="","",IFERROR(VALUE(SUBSTITUTE(SUBSTITUTE(N984," btl",""),".","")),""))</f>
        <v>10</v>
      </c>
      <c r="P984" s="0" t="str">
        <f aca="false">IF(B984="PRODUKSI","produced","reject")</f>
        <v>reject</v>
      </c>
    </row>
    <row r="985" customFormat="false" ht="15" hidden="false" customHeight="false" outlineLevel="0" collapsed="false">
      <c r="A985" s="0" t="n">
        <v>984</v>
      </c>
      <c r="B985" s="0" t="str">
        <f aca="false">IF(A985&lt;=36*25,"PRODUKSI","REJECT")</f>
        <v>REJECT</v>
      </c>
      <c r="C985" s="0" t="n">
        <f aca="false">MOD(A985-1,Pemetaan!$B$3*Pemetaan!$B$4)</f>
        <v>83</v>
      </c>
      <c r="D985" s="0" t="n">
        <f aca="false">INT(C985/Pemetaan!$B$4)</f>
        <v>3</v>
      </c>
      <c r="E985" s="0" t="n">
        <f aca="false">MOD(C985,Pemetaan!$B$4)</f>
        <v>8</v>
      </c>
      <c r="F985" s="0" t="n">
        <f aca="false">IF(B985="PRODUKSI",Pemetaan!$B$5,Pemetaan!$B$6)</f>
        <v>46</v>
      </c>
      <c r="G985" s="0" t="n">
        <f aca="false">F985+2+D985</f>
        <v>51</v>
      </c>
      <c r="H985" s="0" t="n">
        <f aca="false">Pemetaan!$B$2+E985</f>
        <v>13</v>
      </c>
      <c r="I985" s="0" t="str">
        <f aca="false">INDEX(Laporan!$A$1:$AZ$300,G985,1)</f>
        <v>Water Treatment</v>
      </c>
      <c r="J985" s="0" t="str">
        <f aca="false">INDEX(Laporan!$A$1:$AZ$300,G985,2)</f>
        <v>330 ml</v>
      </c>
      <c r="K985" s="0" t="str">
        <f aca="false">INDEX(Laporan!$A$1:$AZ$300,G985,3)</f>
        <v>Shift 2</v>
      </c>
      <c r="L985" s="0" t="n">
        <f aca="false">INDEX(Laporan!$A$1:$AZ$300,G985,4)</f>
        <v>1</v>
      </c>
      <c r="M985" s="1" t="n">
        <f aca="false">DATE(Pemetaan!$B$1,VALUE(RIGHT(INDEX(Laporan!$A$1:$AZ$300,F985+1,H985),2)),VALUE(LEFT(INDEX(Laporan!$A$1:$AZ$300,F985+1,H985),2)))</f>
        <v>46093</v>
      </c>
      <c r="N985" s="0" t="n">
        <f aca="false">INDEX(Laporan!$A$1:$AZ$300,G985,H985)</f>
        <v>12</v>
      </c>
      <c r="O985" s="0" t="n">
        <f aca="false">IF(N985="","",IFERROR(VALUE(SUBSTITUTE(SUBSTITUTE(N985," btl",""),".","")),""))</f>
        <v>12</v>
      </c>
      <c r="P985" s="0" t="str">
        <f aca="false">IF(B985="PRODUKSI","produced","reject")</f>
        <v>reject</v>
      </c>
    </row>
    <row r="986" customFormat="false" ht="15" hidden="false" customHeight="false" outlineLevel="0" collapsed="false">
      <c r="A986" s="0" t="n">
        <v>985</v>
      </c>
      <c r="B986" s="0" t="str">
        <f aca="false">IF(A986&lt;=36*25,"PRODUKSI","REJECT")</f>
        <v>REJECT</v>
      </c>
      <c r="C986" s="0" t="n">
        <f aca="false">MOD(A986-1,Pemetaan!$B$3*Pemetaan!$B$4)</f>
        <v>84</v>
      </c>
      <c r="D986" s="0" t="n">
        <f aca="false">INT(C986/Pemetaan!$B$4)</f>
        <v>3</v>
      </c>
      <c r="E986" s="0" t="n">
        <f aca="false">MOD(C986,Pemetaan!$B$4)</f>
        <v>9</v>
      </c>
      <c r="F986" s="0" t="n">
        <f aca="false">IF(B986="PRODUKSI",Pemetaan!$B$5,Pemetaan!$B$6)</f>
        <v>46</v>
      </c>
      <c r="G986" s="0" t="n">
        <f aca="false">F986+2+D986</f>
        <v>51</v>
      </c>
      <c r="H986" s="0" t="n">
        <f aca="false">Pemetaan!$B$2+E986</f>
        <v>14</v>
      </c>
      <c r="I986" s="0" t="str">
        <f aca="false">INDEX(Laporan!$A$1:$AZ$300,G986,1)</f>
        <v>Water Treatment</v>
      </c>
      <c r="J986" s="0" t="str">
        <f aca="false">INDEX(Laporan!$A$1:$AZ$300,G986,2)</f>
        <v>330 ml</v>
      </c>
      <c r="K986" s="0" t="str">
        <f aca="false">INDEX(Laporan!$A$1:$AZ$300,G986,3)</f>
        <v>Shift 2</v>
      </c>
      <c r="L986" s="0" t="n">
        <f aca="false">INDEX(Laporan!$A$1:$AZ$300,G986,4)</f>
        <v>1</v>
      </c>
      <c r="M986" s="1" t="n">
        <f aca="false">DATE(Pemetaan!$B$1,VALUE(RIGHT(INDEX(Laporan!$A$1:$AZ$300,F986+1,H986),2)),VALUE(LEFT(INDEX(Laporan!$A$1:$AZ$300,F986+1,H986),2)))</f>
        <v>46094</v>
      </c>
      <c r="N986" s="0" t="n">
        <f aca="false">INDEX(Laporan!$A$1:$AZ$300,G986,H986)</f>
        <v>20</v>
      </c>
      <c r="O986" s="0" t="n">
        <f aca="false">IF(N986="","",IFERROR(VALUE(SUBSTITUTE(SUBSTITUTE(N986," btl",""),".","")),""))</f>
        <v>20</v>
      </c>
      <c r="P986" s="0" t="str">
        <f aca="false">IF(B986="PRODUKSI","produced","reject")</f>
        <v>reject</v>
      </c>
    </row>
    <row r="987" customFormat="false" ht="15" hidden="false" customHeight="false" outlineLevel="0" collapsed="false">
      <c r="A987" s="0" t="n">
        <v>986</v>
      </c>
      <c r="B987" s="0" t="str">
        <f aca="false">IF(A987&lt;=36*25,"PRODUKSI","REJECT")</f>
        <v>REJECT</v>
      </c>
      <c r="C987" s="0" t="n">
        <f aca="false">MOD(A987-1,Pemetaan!$B$3*Pemetaan!$B$4)</f>
        <v>85</v>
      </c>
      <c r="D987" s="0" t="n">
        <f aca="false">INT(C987/Pemetaan!$B$4)</f>
        <v>3</v>
      </c>
      <c r="E987" s="0" t="n">
        <f aca="false">MOD(C987,Pemetaan!$B$4)</f>
        <v>10</v>
      </c>
      <c r="F987" s="0" t="n">
        <f aca="false">IF(B987="PRODUKSI",Pemetaan!$B$5,Pemetaan!$B$6)</f>
        <v>46</v>
      </c>
      <c r="G987" s="0" t="n">
        <f aca="false">F987+2+D987</f>
        <v>51</v>
      </c>
      <c r="H987" s="0" t="n">
        <f aca="false">Pemetaan!$B$2+E987</f>
        <v>15</v>
      </c>
      <c r="I987" s="0" t="str">
        <f aca="false">INDEX(Laporan!$A$1:$AZ$300,G987,1)</f>
        <v>Water Treatment</v>
      </c>
      <c r="J987" s="0" t="str">
        <f aca="false">INDEX(Laporan!$A$1:$AZ$300,G987,2)</f>
        <v>330 ml</v>
      </c>
      <c r="K987" s="0" t="str">
        <f aca="false">INDEX(Laporan!$A$1:$AZ$300,G987,3)</f>
        <v>Shift 2</v>
      </c>
      <c r="L987" s="0" t="n">
        <f aca="false">INDEX(Laporan!$A$1:$AZ$300,G987,4)</f>
        <v>1</v>
      </c>
      <c r="M987" s="1" t="n">
        <f aca="false">DATE(Pemetaan!$B$1,VALUE(RIGHT(INDEX(Laporan!$A$1:$AZ$300,F987+1,H987),2)),VALUE(LEFT(INDEX(Laporan!$A$1:$AZ$300,F987+1,H987),2)))</f>
        <v>46097</v>
      </c>
      <c r="N987" s="0" t="n">
        <f aca="false">INDEX(Laporan!$A$1:$AZ$300,G987,H987)</f>
        <v>12</v>
      </c>
      <c r="O987" s="0" t="n">
        <f aca="false">IF(N987="","",IFERROR(VALUE(SUBSTITUTE(SUBSTITUTE(N987," btl",""),".","")),""))</f>
        <v>12</v>
      </c>
      <c r="P987" s="0" t="str">
        <f aca="false">IF(B987="PRODUKSI","produced","reject")</f>
        <v>reject</v>
      </c>
    </row>
    <row r="988" customFormat="false" ht="15" hidden="false" customHeight="false" outlineLevel="0" collapsed="false">
      <c r="A988" s="0" t="n">
        <v>987</v>
      </c>
      <c r="B988" s="0" t="str">
        <f aca="false">IF(A988&lt;=36*25,"PRODUKSI","REJECT")</f>
        <v>REJECT</v>
      </c>
      <c r="C988" s="0" t="n">
        <f aca="false">MOD(A988-1,Pemetaan!$B$3*Pemetaan!$B$4)</f>
        <v>86</v>
      </c>
      <c r="D988" s="0" t="n">
        <f aca="false">INT(C988/Pemetaan!$B$4)</f>
        <v>3</v>
      </c>
      <c r="E988" s="0" t="n">
        <f aca="false">MOD(C988,Pemetaan!$B$4)</f>
        <v>11</v>
      </c>
      <c r="F988" s="0" t="n">
        <f aca="false">IF(B988="PRODUKSI",Pemetaan!$B$5,Pemetaan!$B$6)</f>
        <v>46</v>
      </c>
      <c r="G988" s="0" t="n">
        <f aca="false">F988+2+D988</f>
        <v>51</v>
      </c>
      <c r="H988" s="0" t="n">
        <f aca="false">Pemetaan!$B$2+E988</f>
        <v>16</v>
      </c>
      <c r="I988" s="0" t="str">
        <f aca="false">INDEX(Laporan!$A$1:$AZ$300,G988,1)</f>
        <v>Water Treatment</v>
      </c>
      <c r="J988" s="0" t="str">
        <f aca="false">INDEX(Laporan!$A$1:$AZ$300,G988,2)</f>
        <v>330 ml</v>
      </c>
      <c r="K988" s="0" t="str">
        <f aca="false">INDEX(Laporan!$A$1:$AZ$300,G988,3)</f>
        <v>Shift 2</v>
      </c>
      <c r="L988" s="0" t="n">
        <f aca="false">INDEX(Laporan!$A$1:$AZ$300,G988,4)</f>
        <v>1</v>
      </c>
      <c r="M988" s="1" t="n">
        <f aca="false">DATE(Pemetaan!$B$1,VALUE(RIGHT(INDEX(Laporan!$A$1:$AZ$300,F988+1,H988),2)),VALUE(LEFT(INDEX(Laporan!$A$1:$AZ$300,F988+1,H988),2)))</f>
        <v>46098</v>
      </c>
      <c r="N988" s="0" t="n">
        <f aca="false">INDEX(Laporan!$A$1:$AZ$300,G988,H988)</f>
        <v>9</v>
      </c>
      <c r="O988" s="0" t="n">
        <f aca="false">IF(N988="","",IFERROR(VALUE(SUBSTITUTE(SUBSTITUTE(N988," btl",""),".","")),""))</f>
        <v>9</v>
      </c>
      <c r="P988" s="0" t="str">
        <f aca="false">IF(B988="PRODUKSI","produced","reject")</f>
        <v>reject</v>
      </c>
    </row>
    <row r="989" customFormat="false" ht="15" hidden="false" customHeight="false" outlineLevel="0" collapsed="false">
      <c r="A989" s="0" t="n">
        <v>988</v>
      </c>
      <c r="B989" s="0" t="str">
        <f aca="false">IF(A989&lt;=36*25,"PRODUKSI","REJECT")</f>
        <v>REJECT</v>
      </c>
      <c r="C989" s="0" t="n">
        <f aca="false">MOD(A989-1,Pemetaan!$B$3*Pemetaan!$B$4)</f>
        <v>87</v>
      </c>
      <c r="D989" s="0" t="n">
        <f aca="false">INT(C989/Pemetaan!$B$4)</f>
        <v>3</v>
      </c>
      <c r="E989" s="0" t="n">
        <f aca="false">MOD(C989,Pemetaan!$B$4)</f>
        <v>12</v>
      </c>
      <c r="F989" s="0" t="n">
        <f aca="false">IF(B989="PRODUKSI",Pemetaan!$B$5,Pemetaan!$B$6)</f>
        <v>46</v>
      </c>
      <c r="G989" s="0" t="n">
        <f aca="false">F989+2+D989</f>
        <v>51</v>
      </c>
      <c r="H989" s="0" t="n">
        <f aca="false">Pemetaan!$B$2+E989</f>
        <v>17</v>
      </c>
      <c r="I989" s="0" t="str">
        <f aca="false">INDEX(Laporan!$A$1:$AZ$300,G989,1)</f>
        <v>Water Treatment</v>
      </c>
      <c r="J989" s="0" t="str">
        <f aca="false">INDEX(Laporan!$A$1:$AZ$300,G989,2)</f>
        <v>330 ml</v>
      </c>
      <c r="K989" s="0" t="str">
        <f aca="false">INDEX(Laporan!$A$1:$AZ$300,G989,3)</f>
        <v>Shift 2</v>
      </c>
      <c r="L989" s="0" t="n">
        <f aca="false">INDEX(Laporan!$A$1:$AZ$300,G989,4)</f>
        <v>1</v>
      </c>
      <c r="M989" s="1" t="n">
        <f aca="false">DATE(Pemetaan!$B$1,VALUE(RIGHT(INDEX(Laporan!$A$1:$AZ$300,F989+1,H989),2)),VALUE(LEFT(INDEX(Laporan!$A$1:$AZ$300,F989+1,H989),2)))</f>
        <v>46099</v>
      </c>
      <c r="N989" s="0" t="n">
        <f aca="false">INDEX(Laporan!$A$1:$AZ$300,G989,H989)</f>
        <v>18</v>
      </c>
      <c r="O989" s="0" t="n">
        <f aca="false">IF(N989="","",IFERROR(VALUE(SUBSTITUTE(SUBSTITUTE(N989," btl",""),".","")),""))</f>
        <v>18</v>
      </c>
      <c r="P989" s="0" t="str">
        <f aca="false">IF(B989="PRODUKSI","produced","reject")</f>
        <v>reject</v>
      </c>
    </row>
    <row r="990" customFormat="false" ht="15" hidden="false" customHeight="false" outlineLevel="0" collapsed="false">
      <c r="A990" s="0" t="n">
        <v>989</v>
      </c>
      <c r="B990" s="0" t="str">
        <f aca="false">IF(A990&lt;=36*25,"PRODUKSI","REJECT")</f>
        <v>REJECT</v>
      </c>
      <c r="C990" s="0" t="n">
        <f aca="false">MOD(A990-1,Pemetaan!$B$3*Pemetaan!$B$4)</f>
        <v>88</v>
      </c>
      <c r="D990" s="0" t="n">
        <f aca="false">INT(C990/Pemetaan!$B$4)</f>
        <v>3</v>
      </c>
      <c r="E990" s="0" t="n">
        <f aca="false">MOD(C990,Pemetaan!$B$4)</f>
        <v>13</v>
      </c>
      <c r="F990" s="0" t="n">
        <f aca="false">IF(B990="PRODUKSI",Pemetaan!$B$5,Pemetaan!$B$6)</f>
        <v>46</v>
      </c>
      <c r="G990" s="0" t="n">
        <f aca="false">F990+2+D990</f>
        <v>51</v>
      </c>
      <c r="H990" s="0" t="n">
        <f aca="false">Pemetaan!$B$2+E990</f>
        <v>18</v>
      </c>
      <c r="I990" s="0" t="str">
        <f aca="false">INDEX(Laporan!$A$1:$AZ$300,G990,1)</f>
        <v>Water Treatment</v>
      </c>
      <c r="J990" s="0" t="str">
        <f aca="false">INDEX(Laporan!$A$1:$AZ$300,G990,2)</f>
        <v>330 ml</v>
      </c>
      <c r="K990" s="0" t="str">
        <f aca="false">INDEX(Laporan!$A$1:$AZ$300,G990,3)</f>
        <v>Shift 2</v>
      </c>
      <c r="L990" s="0" t="n">
        <f aca="false">INDEX(Laporan!$A$1:$AZ$300,G990,4)</f>
        <v>1</v>
      </c>
      <c r="M990" s="1" t="n">
        <f aca="false">DATE(Pemetaan!$B$1,VALUE(RIGHT(INDEX(Laporan!$A$1:$AZ$300,F990+1,H990),2)),VALUE(LEFT(INDEX(Laporan!$A$1:$AZ$300,F990+1,H990),2)))</f>
        <v>46100</v>
      </c>
      <c r="N990" s="0" t="n">
        <f aca="false">INDEX(Laporan!$A$1:$AZ$300,G990,H990)</f>
        <v>10</v>
      </c>
      <c r="O990" s="0" t="n">
        <f aca="false">IF(N990="","",IFERROR(VALUE(SUBSTITUTE(SUBSTITUTE(N990," btl",""),".","")),""))</f>
        <v>10</v>
      </c>
      <c r="P990" s="0" t="str">
        <f aca="false">IF(B990="PRODUKSI","produced","reject")</f>
        <v>reject</v>
      </c>
    </row>
    <row r="991" customFormat="false" ht="15" hidden="false" customHeight="false" outlineLevel="0" collapsed="false">
      <c r="A991" s="0" t="n">
        <v>990</v>
      </c>
      <c r="B991" s="0" t="str">
        <f aca="false">IF(A991&lt;=36*25,"PRODUKSI","REJECT")</f>
        <v>REJECT</v>
      </c>
      <c r="C991" s="0" t="n">
        <f aca="false">MOD(A991-1,Pemetaan!$B$3*Pemetaan!$B$4)</f>
        <v>89</v>
      </c>
      <c r="D991" s="0" t="n">
        <f aca="false">INT(C991/Pemetaan!$B$4)</f>
        <v>3</v>
      </c>
      <c r="E991" s="0" t="n">
        <f aca="false">MOD(C991,Pemetaan!$B$4)</f>
        <v>14</v>
      </c>
      <c r="F991" s="0" t="n">
        <f aca="false">IF(B991="PRODUKSI",Pemetaan!$B$5,Pemetaan!$B$6)</f>
        <v>46</v>
      </c>
      <c r="G991" s="0" t="n">
        <f aca="false">F991+2+D991</f>
        <v>51</v>
      </c>
      <c r="H991" s="0" t="n">
        <f aca="false">Pemetaan!$B$2+E991</f>
        <v>19</v>
      </c>
      <c r="I991" s="0" t="str">
        <f aca="false">INDEX(Laporan!$A$1:$AZ$300,G991,1)</f>
        <v>Water Treatment</v>
      </c>
      <c r="J991" s="0" t="str">
        <f aca="false">INDEX(Laporan!$A$1:$AZ$300,G991,2)</f>
        <v>330 ml</v>
      </c>
      <c r="K991" s="0" t="str">
        <f aca="false">INDEX(Laporan!$A$1:$AZ$300,G991,3)</f>
        <v>Shift 2</v>
      </c>
      <c r="L991" s="0" t="n">
        <f aca="false">INDEX(Laporan!$A$1:$AZ$300,G991,4)</f>
        <v>1</v>
      </c>
      <c r="M991" s="1" t="n">
        <f aca="false">DATE(Pemetaan!$B$1,VALUE(RIGHT(INDEX(Laporan!$A$1:$AZ$300,F991+1,H991),2)),VALUE(LEFT(INDEX(Laporan!$A$1:$AZ$300,F991+1,H991),2)))</f>
        <v>46101</v>
      </c>
      <c r="N991" s="0" t="n">
        <f aca="false">INDEX(Laporan!$A$1:$AZ$300,G991,H991)</f>
        <v>21</v>
      </c>
      <c r="O991" s="0" t="n">
        <f aca="false">IF(N991="","",IFERROR(VALUE(SUBSTITUTE(SUBSTITUTE(N991," btl",""),".","")),""))</f>
        <v>21</v>
      </c>
      <c r="P991" s="0" t="str">
        <f aca="false">IF(B991="PRODUKSI","produced","reject")</f>
        <v>reject</v>
      </c>
    </row>
    <row r="992" customFormat="false" ht="15" hidden="false" customHeight="false" outlineLevel="0" collapsed="false">
      <c r="A992" s="0" t="n">
        <v>991</v>
      </c>
      <c r="B992" s="0" t="str">
        <f aca="false">IF(A992&lt;=36*25,"PRODUKSI","REJECT")</f>
        <v>REJECT</v>
      </c>
      <c r="C992" s="0" t="n">
        <f aca="false">MOD(A992-1,Pemetaan!$B$3*Pemetaan!$B$4)</f>
        <v>90</v>
      </c>
      <c r="D992" s="0" t="n">
        <f aca="false">INT(C992/Pemetaan!$B$4)</f>
        <v>3</v>
      </c>
      <c r="E992" s="0" t="n">
        <f aca="false">MOD(C992,Pemetaan!$B$4)</f>
        <v>15</v>
      </c>
      <c r="F992" s="0" t="n">
        <f aca="false">IF(B992="PRODUKSI",Pemetaan!$B$5,Pemetaan!$B$6)</f>
        <v>46</v>
      </c>
      <c r="G992" s="0" t="n">
        <f aca="false">F992+2+D992</f>
        <v>51</v>
      </c>
      <c r="H992" s="0" t="n">
        <f aca="false">Pemetaan!$B$2+E992</f>
        <v>20</v>
      </c>
      <c r="I992" s="0" t="str">
        <f aca="false">INDEX(Laporan!$A$1:$AZ$300,G992,1)</f>
        <v>Water Treatment</v>
      </c>
      <c r="J992" s="0" t="str">
        <f aca="false">INDEX(Laporan!$A$1:$AZ$300,G992,2)</f>
        <v>330 ml</v>
      </c>
      <c r="K992" s="0" t="str">
        <f aca="false">INDEX(Laporan!$A$1:$AZ$300,G992,3)</f>
        <v>Shift 2</v>
      </c>
      <c r="L992" s="0" t="n">
        <f aca="false">INDEX(Laporan!$A$1:$AZ$300,G992,4)</f>
        <v>1</v>
      </c>
      <c r="M992" s="1" t="n">
        <f aca="false">DATE(Pemetaan!$B$1,VALUE(RIGHT(INDEX(Laporan!$A$1:$AZ$300,F992+1,H992),2)),VALUE(LEFT(INDEX(Laporan!$A$1:$AZ$300,F992+1,H992),2)))</f>
        <v>46104</v>
      </c>
      <c r="N992" s="0" t="n">
        <f aca="false">INDEX(Laporan!$A$1:$AZ$300,G992,H992)</f>
        <v>12</v>
      </c>
      <c r="O992" s="0" t="n">
        <f aca="false">IF(N992="","",IFERROR(VALUE(SUBSTITUTE(SUBSTITUTE(N992," btl",""),".","")),""))</f>
        <v>12</v>
      </c>
      <c r="P992" s="0" t="str">
        <f aca="false">IF(B992="PRODUKSI","produced","reject")</f>
        <v>reject</v>
      </c>
    </row>
    <row r="993" customFormat="false" ht="15" hidden="false" customHeight="false" outlineLevel="0" collapsed="false">
      <c r="A993" s="0" t="n">
        <v>992</v>
      </c>
      <c r="B993" s="0" t="str">
        <f aca="false">IF(A993&lt;=36*25,"PRODUKSI","REJECT")</f>
        <v>REJECT</v>
      </c>
      <c r="C993" s="0" t="n">
        <f aca="false">MOD(A993-1,Pemetaan!$B$3*Pemetaan!$B$4)</f>
        <v>91</v>
      </c>
      <c r="D993" s="0" t="n">
        <f aca="false">INT(C993/Pemetaan!$B$4)</f>
        <v>3</v>
      </c>
      <c r="E993" s="0" t="n">
        <f aca="false">MOD(C993,Pemetaan!$B$4)</f>
        <v>16</v>
      </c>
      <c r="F993" s="0" t="n">
        <f aca="false">IF(B993="PRODUKSI",Pemetaan!$B$5,Pemetaan!$B$6)</f>
        <v>46</v>
      </c>
      <c r="G993" s="0" t="n">
        <f aca="false">F993+2+D993</f>
        <v>51</v>
      </c>
      <c r="H993" s="0" t="n">
        <f aca="false">Pemetaan!$B$2+E993</f>
        <v>21</v>
      </c>
      <c r="I993" s="0" t="str">
        <f aca="false">INDEX(Laporan!$A$1:$AZ$300,G993,1)</f>
        <v>Water Treatment</v>
      </c>
      <c r="J993" s="0" t="str">
        <f aca="false">INDEX(Laporan!$A$1:$AZ$300,G993,2)</f>
        <v>330 ml</v>
      </c>
      <c r="K993" s="0" t="str">
        <f aca="false">INDEX(Laporan!$A$1:$AZ$300,G993,3)</f>
        <v>Shift 2</v>
      </c>
      <c r="L993" s="0" t="n">
        <f aca="false">INDEX(Laporan!$A$1:$AZ$300,G993,4)</f>
        <v>1</v>
      </c>
      <c r="M993" s="1" t="n">
        <f aca="false">DATE(Pemetaan!$B$1,VALUE(RIGHT(INDEX(Laporan!$A$1:$AZ$300,F993+1,H993),2)),VALUE(LEFT(INDEX(Laporan!$A$1:$AZ$300,F993+1,H993),2)))</f>
        <v>46105</v>
      </c>
      <c r="N993" s="0" t="n">
        <f aca="false">INDEX(Laporan!$A$1:$AZ$300,G993,H993)</f>
        <v>11</v>
      </c>
      <c r="O993" s="0" t="n">
        <f aca="false">IF(N993="","",IFERROR(VALUE(SUBSTITUTE(SUBSTITUTE(N993," btl",""),".","")),""))</f>
        <v>11</v>
      </c>
      <c r="P993" s="0" t="str">
        <f aca="false">IF(B993="PRODUKSI","produced","reject")</f>
        <v>reject</v>
      </c>
    </row>
    <row r="994" customFormat="false" ht="15" hidden="false" customHeight="false" outlineLevel="0" collapsed="false">
      <c r="A994" s="0" t="n">
        <v>993</v>
      </c>
      <c r="B994" s="0" t="str">
        <f aca="false">IF(A994&lt;=36*25,"PRODUKSI","REJECT")</f>
        <v>REJECT</v>
      </c>
      <c r="C994" s="0" t="n">
        <f aca="false">MOD(A994-1,Pemetaan!$B$3*Pemetaan!$B$4)</f>
        <v>92</v>
      </c>
      <c r="D994" s="0" t="n">
        <f aca="false">INT(C994/Pemetaan!$B$4)</f>
        <v>3</v>
      </c>
      <c r="E994" s="0" t="n">
        <f aca="false">MOD(C994,Pemetaan!$B$4)</f>
        <v>17</v>
      </c>
      <c r="F994" s="0" t="n">
        <f aca="false">IF(B994="PRODUKSI",Pemetaan!$B$5,Pemetaan!$B$6)</f>
        <v>46</v>
      </c>
      <c r="G994" s="0" t="n">
        <f aca="false">F994+2+D994</f>
        <v>51</v>
      </c>
      <c r="H994" s="0" t="n">
        <f aca="false">Pemetaan!$B$2+E994</f>
        <v>22</v>
      </c>
      <c r="I994" s="0" t="str">
        <f aca="false">INDEX(Laporan!$A$1:$AZ$300,G994,1)</f>
        <v>Water Treatment</v>
      </c>
      <c r="J994" s="0" t="str">
        <f aca="false">INDEX(Laporan!$A$1:$AZ$300,G994,2)</f>
        <v>330 ml</v>
      </c>
      <c r="K994" s="0" t="str">
        <f aca="false">INDEX(Laporan!$A$1:$AZ$300,G994,3)</f>
        <v>Shift 2</v>
      </c>
      <c r="L994" s="0" t="n">
        <f aca="false">INDEX(Laporan!$A$1:$AZ$300,G994,4)</f>
        <v>1</v>
      </c>
      <c r="M994" s="1" t="n">
        <f aca="false">DATE(Pemetaan!$B$1,VALUE(RIGHT(INDEX(Laporan!$A$1:$AZ$300,F994+1,H994),2)),VALUE(LEFT(INDEX(Laporan!$A$1:$AZ$300,F994+1,H994),2)))</f>
        <v>46106</v>
      </c>
      <c r="N994" s="0" t="n">
        <f aca="false">INDEX(Laporan!$A$1:$AZ$300,G994,H994)</f>
        <v>6</v>
      </c>
      <c r="O994" s="0" t="n">
        <f aca="false">IF(N994="","",IFERROR(VALUE(SUBSTITUTE(SUBSTITUTE(N994," btl",""),".","")),""))</f>
        <v>6</v>
      </c>
      <c r="P994" s="0" t="str">
        <f aca="false">IF(B994="PRODUKSI","produced","reject")</f>
        <v>reject</v>
      </c>
    </row>
    <row r="995" customFormat="false" ht="15" hidden="false" customHeight="false" outlineLevel="0" collapsed="false">
      <c r="A995" s="0" t="n">
        <v>994</v>
      </c>
      <c r="B995" s="0" t="str">
        <f aca="false">IF(A995&lt;=36*25,"PRODUKSI","REJECT")</f>
        <v>REJECT</v>
      </c>
      <c r="C995" s="0" t="n">
        <f aca="false">MOD(A995-1,Pemetaan!$B$3*Pemetaan!$B$4)</f>
        <v>93</v>
      </c>
      <c r="D995" s="0" t="n">
        <f aca="false">INT(C995/Pemetaan!$B$4)</f>
        <v>3</v>
      </c>
      <c r="E995" s="0" t="n">
        <f aca="false">MOD(C995,Pemetaan!$B$4)</f>
        <v>18</v>
      </c>
      <c r="F995" s="0" t="n">
        <f aca="false">IF(B995="PRODUKSI",Pemetaan!$B$5,Pemetaan!$B$6)</f>
        <v>46</v>
      </c>
      <c r="G995" s="0" t="n">
        <f aca="false">F995+2+D995</f>
        <v>51</v>
      </c>
      <c r="H995" s="0" t="n">
        <f aca="false">Pemetaan!$B$2+E995</f>
        <v>23</v>
      </c>
      <c r="I995" s="0" t="str">
        <f aca="false">INDEX(Laporan!$A$1:$AZ$300,G995,1)</f>
        <v>Water Treatment</v>
      </c>
      <c r="J995" s="0" t="str">
        <f aca="false">INDEX(Laporan!$A$1:$AZ$300,G995,2)</f>
        <v>330 ml</v>
      </c>
      <c r="K995" s="0" t="str">
        <f aca="false">INDEX(Laporan!$A$1:$AZ$300,G995,3)</f>
        <v>Shift 2</v>
      </c>
      <c r="L995" s="0" t="n">
        <f aca="false">INDEX(Laporan!$A$1:$AZ$300,G995,4)</f>
        <v>1</v>
      </c>
      <c r="M995" s="1" t="n">
        <f aca="false">DATE(Pemetaan!$B$1,VALUE(RIGHT(INDEX(Laporan!$A$1:$AZ$300,F995+1,H995),2)),VALUE(LEFT(INDEX(Laporan!$A$1:$AZ$300,F995+1,H995),2)))</f>
        <v>46107</v>
      </c>
      <c r="N995" s="0" t="n">
        <f aca="false">INDEX(Laporan!$A$1:$AZ$300,G995,H995)</f>
        <v>17</v>
      </c>
      <c r="O995" s="0" t="n">
        <f aca="false">IF(N995="","",IFERROR(VALUE(SUBSTITUTE(SUBSTITUTE(N995," btl",""),".","")),""))</f>
        <v>17</v>
      </c>
      <c r="P995" s="0" t="str">
        <f aca="false">IF(B995="PRODUKSI","produced","reject")</f>
        <v>reject</v>
      </c>
    </row>
    <row r="996" customFormat="false" ht="15" hidden="false" customHeight="false" outlineLevel="0" collapsed="false">
      <c r="A996" s="0" t="n">
        <v>995</v>
      </c>
      <c r="B996" s="0" t="str">
        <f aca="false">IF(A996&lt;=36*25,"PRODUKSI","REJECT")</f>
        <v>REJECT</v>
      </c>
      <c r="C996" s="0" t="n">
        <f aca="false">MOD(A996-1,Pemetaan!$B$3*Pemetaan!$B$4)</f>
        <v>94</v>
      </c>
      <c r="D996" s="0" t="n">
        <f aca="false">INT(C996/Pemetaan!$B$4)</f>
        <v>3</v>
      </c>
      <c r="E996" s="0" t="n">
        <f aca="false">MOD(C996,Pemetaan!$B$4)</f>
        <v>19</v>
      </c>
      <c r="F996" s="0" t="n">
        <f aca="false">IF(B996="PRODUKSI",Pemetaan!$B$5,Pemetaan!$B$6)</f>
        <v>46</v>
      </c>
      <c r="G996" s="0" t="n">
        <f aca="false">F996+2+D996</f>
        <v>51</v>
      </c>
      <c r="H996" s="0" t="n">
        <f aca="false">Pemetaan!$B$2+E996</f>
        <v>24</v>
      </c>
      <c r="I996" s="0" t="str">
        <f aca="false">INDEX(Laporan!$A$1:$AZ$300,G996,1)</f>
        <v>Water Treatment</v>
      </c>
      <c r="J996" s="0" t="str">
        <f aca="false">INDEX(Laporan!$A$1:$AZ$300,G996,2)</f>
        <v>330 ml</v>
      </c>
      <c r="K996" s="0" t="str">
        <f aca="false">INDEX(Laporan!$A$1:$AZ$300,G996,3)</f>
        <v>Shift 2</v>
      </c>
      <c r="L996" s="0" t="n">
        <f aca="false">INDEX(Laporan!$A$1:$AZ$300,G996,4)</f>
        <v>1</v>
      </c>
      <c r="M996" s="1" t="n">
        <f aca="false">DATE(Pemetaan!$B$1,VALUE(RIGHT(INDEX(Laporan!$A$1:$AZ$300,F996+1,H996),2)),VALUE(LEFT(INDEX(Laporan!$A$1:$AZ$300,F996+1,H996),2)))</f>
        <v>46108</v>
      </c>
      <c r="N996" s="0" t="n">
        <f aca="false">INDEX(Laporan!$A$1:$AZ$300,G996,H996)</f>
        <v>9</v>
      </c>
      <c r="O996" s="0" t="n">
        <f aca="false">IF(N996="","",IFERROR(VALUE(SUBSTITUTE(SUBSTITUTE(N996," btl",""),".","")),""))</f>
        <v>9</v>
      </c>
      <c r="P996" s="0" t="str">
        <f aca="false">IF(B996="PRODUKSI","produced","reject")</f>
        <v>reject</v>
      </c>
    </row>
    <row r="997" customFormat="false" ht="15" hidden="false" customHeight="false" outlineLevel="0" collapsed="false">
      <c r="A997" s="0" t="n">
        <v>996</v>
      </c>
      <c r="B997" s="0" t="str">
        <f aca="false">IF(A997&lt;=36*25,"PRODUKSI","REJECT")</f>
        <v>REJECT</v>
      </c>
      <c r="C997" s="0" t="n">
        <f aca="false">MOD(A997-1,Pemetaan!$B$3*Pemetaan!$B$4)</f>
        <v>95</v>
      </c>
      <c r="D997" s="0" t="n">
        <f aca="false">INT(C997/Pemetaan!$B$4)</f>
        <v>3</v>
      </c>
      <c r="E997" s="0" t="n">
        <f aca="false">MOD(C997,Pemetaan!$B$4)</f>
        <v>20</v>
      </c>
      <c r="F997" s="0" t="n">
        <f aca="false">IF(B997="PRODUKSI",Pemetaan!$B$5,Pemetaan!$B$6)</f>
        <v>46</v>
      </c>
      <c r="G997" s="0" t="n">
        <f aca="false">F997+2+D997</f>
        <v>51</v>
      </c>
      <c r="H997" s="0" t="n">
        <f aca="false">Pemetaan!$B$2+E997</f>
        <v>25</v>
      </c>
      <c r="I997" s="0" t="str">
        <f aca="false">INDEX(Laporan!$A$1:$AZ$300,G997,1)</f>
        <v>Water Treatment</v>
      </c>
      <c r="J997" s="0" t="str">
        <f aca="false">INDEX(Laporan!$A$1:$AZ$300,G997,2)</f>
        <v>330 ml</v>
      </c>
      <c r="K997" s="0" t="str">
        <f aca="false">INDEX(Laporan!$A$1:$AZ$300,G997,3)</f>
        <v>Shift 2</v>
      </c>
      <c r="L997" s="0" t="n">
        <f aca="false">INDEX(Laporan!$A$1:$AZ$300,G997,4)</f>
        <v>1</v>
      </c>
      <c r="M997" s="1" t="n">
        <f aca="false">DATE(Pemetaan!$B$1,VALUE(RIGHT(INDEX(Laporan!$A$1:$AZ$300,F997+1,H997),2)),VALUE(LEFT(INDEX(Laporan!$A$1:$AZ$300,F997+1,H997),2)))</f>
        <v>46111</v>
      </c>
      <c r="N997" s="0" t="n">
        <f aca="false">INDEX(Laporan!$A$1:$AZ$300,G997,H997)</f>
        <v>12</v>
      </c>
      <c r="O997" s="0" t="n">
        <f aca="false">IF(N997="","",IFERROR(VALUE(SUBSTITUTE(SUBSTITUTE(N997," btl",""),".","")),""))</f>
        <v>12</v>
      </c>
      <c r="P997" s="0" t="str">
        <f aca="false">IF(B997="PRODUKSI","produced","reject")</f>
        <v>reject</v>
      </c>
    </row>
    <row r="998" customFormat="false" ht="15" hidden="false" customHeight="false" outlineLevel="0" collapsed="false">
      <c r="A998" s="0" t="n">
        <v>997</v>
      </c>
      <c r="B998" s="0" t="str">
        <f aca="false">IF(A998&lt;=36*25,"PRODUKSI","REJECT")</f>
        <v>REJECT</v>
      </c>
      <c r="C998" s="0" t="n">
        <f aca="false">MOD(A998-1,Pemetaan!$B$3*Pemetaan!$B$4)</f>
        <v>96</v>
      </c>
      <c r="D998" s="0" t="n">
        <f aca="false">INT(C998/Pemetaan!$B$4)</f>
        <v>3</v>
      </c>
      <c r="E998" s="0" t="n">
        <f aca="false">MOD(C998,Pemetaan!$B$4)</f>
        <v>21</v>
      </c>
      <c r="F998" s="0" t="n">
        <f aca="false">IF(B998="PRODUKSI",Pemetaan!$B$5,Pemetaan!$B$6)</f>
        <v>46</v>
      </c>
      <c r="G998" s="0" t="n">
        <f aca="false">F998+2+D998</f>
        <v>51</v>
      </c>
      <c r="H998" s="0" t="n">
        <f aca="false">Pemetaan!$B$2+E998</f>
        <v>26</v>
      </c>
      <c r="I998" s="0" t="str">
        <f aca="false">INDEX(Laporan!$A$1:$AZ$300,G998,1)</f>
        <v>Water Treatment</v>
      </c>
      <c r="J998" s="0" t="str">
        <f aca="false">INDEX(Laporan!$A$1:$AZ$300,G998,2)</f>
        <v>330 ml</v>
      </c>
      <c r="K998" s="0" t="str">
        <f aca="false">INDEX(Laporan!$A$1:$AZ$300,G998,3)</f>
        <v>Shift 2</v>
      </c>
      <c r="L998" s="0" t="n">
        <f aca="false">INDEX(Laporan!$A$1:$AZ$300,G998,4)</f>
        <v>1</v>
      </c>
      <c r="M998" s="1" t="n">
        <f aca="false">DATE(Pemetaan!$B$1,VALUE(RIGHT(INDEX(Laporan!$A$1:$AZ$300,F998+1,H998),2)),VALUE(LEFT(INDEX(Laporan!$A$1:$AZ$300,F998+1,H998),2)))</f>
        <v>46112</v>
      </c>
      <c r="N998" s="0" t="n">
        <f aca="false">INDEX(Laporan!$A$1:$AZ$300,G998,H998)</f>
        <v>13</v>
      </c>
      <c r="O998" s="0" t="n">
        <f aca="false">IF(N998="","",IFERROR(VALUE(SUBSTITUTE(SUBSTITUTE(N998," btl",""),".","")),""))</f>
        <v>13</v>
      </c>
      <c r="P998" s="0" t="str">
        <f aca="false">IF(B998="PRODUKSI","produced","reject")</f>
        <v>reject</v>
      </c>
    </row>
    <row r="999" customFormat="false" ht="15" hidden="false" customHeight="false" outlineLevel="0" collapsed="false">
      <c r="A999" s="0" t="n">
        <v>998</v>
      </c>
      <c r="B999" s="0" t="str">
        <f aca="false">IF(A999&lt;=36*25,"PRODUKSI","REJECT")</f>
        <v>REJECT</v>
      </c>
      <c r="C999" s="0" t="n">
        <f aca="false">MOD(A999-1,Pemetaan!$B$3*Pemetaan!$B$4)</f>
        <v>97</v>
      </c>
      <c r="D999" s="0" t="n">
        <f aca="false">INT(C999/Pemetaan!$B$4)</f>
        <v>3</v>
      </c>
      <c r="E999" s="0" t="n">
        <f aca="false">MOD(C999,Pemetaan!$B$4)</f>
        <v>22</v>
      </c>
      <c r="F999" s="0" t="n">
        <f aca="false">IF(B999="PRODUKSI",Pemetaan!$B$5,Pemetaan!$B$6)</f>
        <v>46</v>
      </c>
      <c r="G999" s="0" t="n">
        <f aca="false">F999+2+D999</f>
        <v>51</v>
      </c>
      <c r="H999" s="0" t="n">
        <f aca="false">Pemetaan!$B$2+E999</f>
        <v>27</v>
      </c>
      <c r="I999" s="0" t="str">
        <f aca="false">INDEX(Laporan!$A$1:$AZ$300,G999,1)</f>
        <v>Water Treatment</v>
      </c>
      <c r="J999" s="0" t="str">
        <f aca="false">INDEX(Laporan!$A$1:$AZ$300,G999,2)</f>
        <v>330 ml</v>
      </c>
      <c r="K999" s="0" t="str">
        <f aca="false">INDEX(Laporan!$A$1:$AZ$300,G999,3)</f>
        <v>Shift 2</v>
      </c>
      <c r="L999" s="0" t="n">
        <f aca="false">INDEX(Laporan!$A$1:$AZ$300,G999,4)</f>
        <v>1</v>
      </c>
      <c r="M999" s="1" t="n">
        <f aca="false">DATE(Pemetaan!$B$1,VALUE(RIGHT(INDEX(Laporan!$A$1:$AZ$300,F999+1,H999),2)),VALUE(LEFT(INDEX(Laporan!$A$1:$AZ$300,F999+1,H999),2)))</f>
        <v>46113</v>
      </c>
      <c r="N999" s="0" t="n">
        <f aca="false">INDEX(Laporan!$A$1:$AZ$300,G999,H999)</f>
        <v>14</v>
      </c>
      <c r="O999" s="0" t="n">
        <f aca="false">IF(N999="","",IFERROR(VALUE(SUBSTITUTE(SUBSTITUTE(N999," btl",""),".","")),""))</f>
        <v>14</v>
      </c>
      <c r="P999" s="0" t="str">
        <f aca="false">IF(B999="PRODUKSI","produced","reject")</f>
        <v>reject</v>
      </c>
    </row>
    <row r="1000" customFormat="false" ht="15" hidden="false" customHeight="false" outlineLevel="0" collapsed="false">
      <c r="A1000" s="0" t="n">
        <v>999</v>
      </c>
      <c r="B1000" s="0" t="str">
        <f aca="false">IF(A1000&lt;=36*25,"PRODUKSI","REJECT")</f>
        <v>REJECT</v>
      </c>
      <c r="C1000" s="0" t="n">
        <f aca="false">MOD(A1000-1,Pemetaan!$B$3*Pemetaan!$B$4)</f>
        <v>98</v>
      </c>
      <c r="D1000" s="0" t="n">
        <f aca="false">INT(C1000/Pemetaan!$B$4)</f>
        <v>3</v>
      </c>
      <c r="E1000" s="0" t="n">
        <f aca="false">MOD(C1000,Pemetaan!$B$4)</f>
        <v>23</v>
      </c>
      <c r="F1000" s="0" t="n">
        <f aca="false">IF(B1000="PRODUKSI",Pemetaan!$B$5,Pemetaan!$B$6)</f>
        <v>46</v>
      </c>
      <c r="G1000" s="0" t="n">
        <f aca="false">F1000+2+D1000</f>
        <v>51</v>
      </c>
      <c r="H1000" s="0" t="n">
        <f aca="false">Pemetaan!$B$2+E1000</f>
        <v>28</v>
      </c>
      <c r="I1000" s="0" t="str">
        <f aca="false">INDEX(Laporan!$A$1:$AZ$300,G1000,1)</f>
        <v>Water Treatment</v>
      </c>
      <c r="J1000" s="0" t="str">
        <f aca="false">INDEX(Laporan!$A$1:$AZ$300,G1000,2)</f>
        <v>330 ml</v>
      </c>
      <c r="K1000" s="0" t="str">
        <f aca="false">INDEX(Laporan!$A$1:$AZ$300,G1000,3)</f>
        <v>Shift 2</v>
      </c>
      <c r="L1000" s="0" t="n">
        <f aca="false">INDEX(Laporan!$A$1:$AZ$300,G1000,4)</f>
        <v>1</v>
      </c>
      <c r="M1000" s="1" t="n">
        <f aca="false">DATE(Pemetaan!$B$1,VALUE(RIGHT(INDEX(Laporan!$A$1:$AZ$300,F1000+1,H1000),2)),VALUE(LEFT(INDEX(Laporan!$A$1:$AZ$300,F1000+1,H1000),2)))</f>
        <v>46114</v>
      </c>
      <c r="N1000" s="0" t="n">
        <f aca="false">INDEX(Laporan!$A$1:$AZ$300,G1000,H1000)</f>
        <v>15</v>
      </c>
      <c r="O1000" s="0" t="n">
        <f aca="false">IF(N1000="","",IFERROR(VALUE(SUBSTITUTE(SUBSTITUTE(N1000," btl",""),".","")),""))</f>
        <v>15</v>
      </c>
      <c r="P1000" s="0" t="str">
        <f aca="false">IF(B1000="PRODUKSI","produced","reject")</f>
        <v>reject</v>
      </c>
    </row>
    <row r="1001" customFormat="false" ht="15" hidden="false" customHeight="false" outlineLevel="0" collapsed="false">
      <c r="A1001" s="0" t="n">
        <v>1000</v>
      </c>
      <c r="B1001" s="0" t="str">
        <f aca="false">IF(A1001&lt;=36*25,"PRODUKSI","REJECT")</f>
        <v>REJECT</v>
      </c>
      <c r="C1001" s="0" t="n">
        <f aca="false">MOD(A1001-1,Pemetaan!$B$3*Pemetaan!$B$4)</f>
        <v>99</v>
      </c>
      <c r="D1001" s="0" t="n">
        <f aca="false">INT(C1001/Pemetaan!$B$4)</f>
        <v>3</v>
      </c>
      <c r="E1001" s="0" t="n">
        <f aca="false">MOD(C1001,Pemetaan!$B$4)</f>
        <v>24</v>
      </c>
      <c r="F1001" s="0" t="n">
        <f aca="false">IF(B1001="PRODUKSI",Pemetaan!$B$5,Pemetaan!$B$6)</f>
        <v>46</v>
      </c>
      <c r="G1001" s="0" t="n">
        <f aca="false">F1001+2+D1001</f>
        <v>51</v>
      </c>
      <c r="H1001" s="0" t="n">
        <f aca="false">Pemetaan!$B$2+E1001</f>
        <v>29</v>
      </c>
      <c r="I1001" s="0" t="str">
        <f aca="false">INDEX(Laporan!$A$1:$AZ$300,G1001,1)</f>
        <v>Water Treatment</v>
      </c>
      <c r="J1001" s="0" t="str">
        <f aca="false">INDEX(Laporan!$A$1:$AZ$300,G1001,2)</f>
        <v>330 ml</v>
      </c>
      <c r="K1001" s="0" t="str">
        <f aca="false">INDEX(Laporan!$A$1:$AZ$300,G1001,3)</f>
        <v>Shift 2</v>
      </c>
      <c r="L1001" s="0" t="n">
        <f aca="false">INDEX(Laporan!$A$1:$AZ$300,G1001,4)</f>
        <v>1</v>
      </c>
      <c r="M1001" s="1" t="n">
        <f aca="false">DATE(Pemetaan!$B$1,VALUE(RIGHT(INDEX(Laporan!$A$1:$AZ$300,F1001+1,H1001),2)),VALUE(LEFT(INDEX(Laporan!$A$1:$AZ$300,F1001+1,H1001),2)))</f>
        <v>46115</v>
      </c>
      <c r="N1001" s="0" t="n">
        <f aca="false">INDEX(Laporan!$A$1:$AZ$300,G1001,H1001)</f>
        <v>14</v>
      </c>
      <c r="O1001" s="0" t="n">
        <f aca="false">IF(N1001="","",IFERROR(VALUE(SUBSTITUTE(SUBSTITUTE(N1001," btl",""),".","")),""))</f>
        <v>14</v>
      </c>
      <c r="P1001" s="0" t="str">
        <f aca="false">IF(B1001="PRODUKSI","produced","reject")</f>
        <v>reject</v>
      </c>
    </row>
    <row r="1002" customFormat="false" ht="15" hidden="false" customHeight="false" outlineLevel="0" collapsed="false">
      <c r="A1002" s="0" t="n">
        <v>1001</v>
      </c>
      <c r="B1002" s="0" t="str">
        <f aca="false">IF(A1002&lt;=36*25,"PRODUKSI","REJECT")</f>
        <v>REJECT</v>
      </c>
      <c r="C1002" s="0" t="n">
        <f aca="false">MOD(A1002-1,Pemetaan!$B$3*Pemetaan!$B$4)</f>
        <v>100</v>
      </c>
      <c r="D1002" s="0" t="n">
        <f aca="false">INT(C1002/Pemetaan!$B$4)</f>
        <v>4</v>
      </c>
      <c r="E1002" s="0" t="n">
        <f aca="false">MOD(C1002,Pemetaan!$B$4)</f>
        <v>0</v>
      </c>
      <c r="F1002" s="0" t="n">
        <f aca="false">IF(B1002="PRODUKSI",Pemetaan!$B$5,Pemetaan!$B$6)</f>
        <v>46</v>
      </c>
      <c r="G1002" s="0" t="n">
        <f aca="false">F1002+2+D1002</f>
        <v>52</v>
      </c>
      <c r="H1002" s="0" t="n">
        <f aca="false">Pemetaan!$B$2+E1002</f>
        <v>5</v>
      </c>
      <c r="I1002" s="0" t="str">
        <f aca="false">INDEX(Laporan!$A$1:$AZ$300,G1002,1)</f>
        <v>Water Treatment</v>
      </c>
      <c r="J1002" s="0" t="str">
        <f aca="false">INDEX(Laporan!$A$1:$AZ$300,G1002,2)</f>
        <v>330 ml</v>
      </c>
      <c r="K1002" s="0" t="str">
        <f aca="false">INDEX(Laporan!$A$1:$AZ$300,G1002,3)</f>
        <v>Shift 2</v>
      </c>
      <c r="L1002" s="0" t="n">
        <f aca="false">INDEX(Laporan!$A$1:$AZ$300,G1002,4)</f>
        <v>2</v>
      </c>
      <c r="M1002" s="1" t="n">
        <f aca="false">DATE(Pemetaan!$B$1,VALUE(RIGHT(INDEX(Laporan!$A$1:$AZ$300,F1002+1,H1002),2)),VALUE(LEFT(INDEX(Laporan!$A$1:$AZ$300,F1002+1,H1002),2)))</f>
        <v>46083</v>
      </c>
      <c r="N1002" s="0" t="n">
        <f aca="false">INDEX(Laporan!$A$1:$AZ$300,G1002,H1002)</f>
        <v>21</v>
      </c>
      <c r="O1002" s="0" t="n">
        <f aca="false">IF(N1002="","",IFERROR(VALUE(SUBSTITUTE(SUBSTITUTE(N1002," btl",""),".","")),""))</f>
        <v>21</v>
      </c>
      <c r="P1002" s="0" t="str">
        <f aca="false">IF(B1002="PRODUKSI","produced","reject")</f>
        <v>reject</v>
      </c>
    </row>
    <row r="1003" customFormat="false" ht="15" hidden="false" customHeight="false" outlineLevel="0" collapsed="false">
      <c r="A1003" s="0" t="n">
        <v>1002</v>
      </c>
      <c r="B1003" s="0" t="str">
        <f aca="false">IF(A1003&lt;=36*25,"PRODUKSI","REJECT")</f>
        <v>REJECT</v>
      </c>
      <c r="C1003" s="0" t="n">
        <f aca="false">MOD(A1003-1,Pemetaan!$B$3*Pemetaan!$B$4)</f>
        <v>101</v>
      </c>
      <c r="D1003" s="0" t="n">
        <f aca="false">INT(C1003/Pemetaan!$B$4)</f>
        <v>4</v>
      </c>
      <c r="E1003" s="0" t="n">
        <f aca="false">MOD(C1003,Pemetaan!$B$4)</f>
        <v>1</v>
      </c>
      <c r="F1003" s="0" t="n">
        <f aca="false">IF(B1003="PRODUKSI",Pemetaan!$B$5,Pemetaan!$B$6)</f>
        <v>46</v>
      </c>
      <c r="G1003" s="0" t="n">
        <f aca="false">F1003+2+D1003</f>
        <v>52</v>
      </c>
      <c r="H1003" s="0" t="n">
        <f aca="false">Pemetaan!$B$2+E1003</f>
        <v>6</v>
      </c>
      <c r="I1003" s="0" t="str">
        <f aca="false">INDEX(Laporan!$A$1:$AZ$300,G1003,1)</f>
        <v>Water Treatment</v>
      </c>
      <c r="J1003" s="0" t="str">
        <f aca="false">INDEX(Laporan!$A$1:$AZ$300,G1003,2)</f>
        <v>330 ml</v>
      </c>
      <c r="K1003" s="0" t="str">
        <f aca="false">INDEX(Laporan!$A$1:$AZ$300,G1003,3)</f>
        <v>Shift 2</v>
      </c>
      <c r="L1003" s="0" t="n">
        <f aca="false">INDEX(Laporan!$A$1:$AZ$300,G1003,4)</f>
        <v>2</v>
      </c>
      <c r="M1003" s="1" t="n">
        <f aca="false">DATE(Pemetaan!$B$1,VALUE(RIGHT(INDEX(Laporan!$A$1:$AZ$300,F1003+1,H1003),2)),VALUE(LEFT(INDEX(Laporan!$A$1:$AZ$300,F1003+1,H1003),2)))</f>
        <v>46084</v>
      </c>
      <c r="N1003" s="0" t="n">
        <f aca="false">INDEX(Laporan!$A$1:$AZ$300,G1003,H1003)</f>
        <v>10</v>
      </c>
      <c r="O1003" s="0" t="n">
        <f aca="false">IF(N1003="","",IFERROR(VALUE(SUBSTITUTE(SUBSTITUTE(N1003," btl",""),".","")),""))</f>
        <v>10</v>
      </c>
      <c r="P1003" s="0" t="str">
        <f aca="false">IF(B1003="PRODUKSI","produced","reject")</f>
        <v>reject</v>
      </c>
    </row>
    <row r="1004" customFormat="false" ht="15" hidden="false" customHeight="false" outlineLevel="0" collapsed="false">
      <c r="A1004" s="0" t="n">
        <v>1003</v>
      </c>
      <c r="B1004" s="0" t="str">
        <f aca="false">IF(A1004&lt;=36*25,"PRODUKSI","REJECT")</f>
        <v>REJECT</v>
      </c>
      <c r="C1004" s="0" t="n">
        <f aca="false">MOD(A1004-1,Pemetaan!$B$3*Pemetaan!$B$4)</f>
        <v>102</v>
      </c>
      <c r="D1004" s="0" t="n">
        <f aca="false">INT(C1004/Pemetaan!$B$4)</f>
        <v>4</v>
      </c>
      <c r="E1004" s="0" t="n">
        <f aca="false">MOD(C1004,Pemetaan!$B$4)</f>
        <v>2</v>
      </c>
      <c r="F1004" s="0" t="n">
        <f aca="false">IF(B1004="PRODUKSI",Pemetaan!$B$5,Pemetaan!$B$6)</f>
        <v>46</v>
      </c>
      <c r="G1004" s="0" t="n">
        <f aca="false">F1004+2+D1004</f>
        <v>52</v>
      </c>
      <c r="H1004" s="0" t="n">
        <f aca="false">Pemetaan!$B$2+E1004</f>
        <v>7</v>
      </c>
      <c r="I1004" s="0" t="str">
        <f aca="false">INDEX(Laporan!$A$1:$AZ$300,G1004,1)</f>
        <v>Water Treatment</v>
      </c>
      <c r="J1004" s="0" t="str">
        <f aca="false">INDEX(Laporan!$A$1:$AZ$300,G1004,2)</f>
        <v>330 ml</v>
      </c>
      <c r="K1004" s="0" t="str">
        <f aca="false">INDEX(Laporan!$A$1:$AZ$300,G1004,3)</f>
        <v>Shift 2</v>
      </c>
      <c r="L1004" s="0" t="n">
        <f aca="false">INDEX(Laporan!$A$1:$AZ$300,G1004,4)</f>
        <v>2</v>
      </c>
      <c r="M1004" s="1" t="n">
        <f aca="false">DATE(Pemetaan!$B$1,VALUE(RIGHT(INDEX(Laporan!$A$1:$AZ$300,F1004+1,H1004),2)),VALUE(LEFT(INDEX(Laporan!$A$1:$AZ$300,F1004+1,H1004),2)))</f>
        <v>46085</v>
      </c>
      <c r="N1004" s="0" t="n">
        <f aca="false">INDEX(Laporan!$A$1:$AZ$300,G1004,H1004)</f>
        <v>17</v>
      </c>
      <c r="O1004" s="0" t="n">
        <f aca="false">IF(N1004="","",IFERROR(VALUE(SUBSTITUTE(SUBSTITUTE(N1004," btl",""),".","")),""))</f>
        <v>17</v>
      </c>
      <c r="P1004" s="0" t="str">
        <f aca="false">IF(B1004="PRODUKSI","produced","reject")</f>
        <v>reject</v>
      </c>
    </row>
    <row r="1005" customFormat="false" ht="15" hidden="false" customHeight="false" outlineLevel="0" collapsed="false">
      <c r="A1005" s="0" t="n">
        <v>1004</v>
      </c>
      <c r="B1005" s="0" t="str">
        <f aca="false">IF(A1005&lt;=36*25,"PRODUKSI","REJECT")</f>
        <v>REJECT</v>
      </c>
      <c r="C1005" s="0" t="n">
        <f aca="false">MOD(A1005-1,Pemetaan!$B$3*Pemetaan!$B$4)</f>
        <v>103</v>
      </c>
      <c r="D1005" s="0" t="n">
        <f aca="false">INT(C1005/Pemetaan!$B$4)</f>
        <v>4</v>
      </c>
      <c r="E1005" s="0" t="n">
        <f aca="false">MOD(C1005,Pemetaan!$B$4)</f>
        <v>3</v>
      </c>
      <c r="F1005" s="0" t="n">
        <f aca="false">IF(B1005="PRODUKSI",Pemetaan!$B$5,Pemetaan!$B$6)</f>
        <v>46</v>
      </c>
      <c r="G1005" s="0" t="n">
        <f aca="false">F1005+2+D1005</f>
        <v>52</v>
      </c>
      <c r="H1005" s="0" t="n">
        <f aca="false">Pemetaan!$B$2+E1005</f>
        <v>8</v>
      </c>
      <c r="I1005" s="0" t="str">
        <f aca="false">INDEX(Laporan!$A$1:$AZ$300,G1005,1)</f>
        <v>Water Treatment</v>
      </c>
      <c r="J1005" s="0" t="str">
        <f aca="false">INDEX(Laporan!$A$1:$AZ$300,G1005,2)</f>
        <v>330 ml</v>
      </c>
      <c r="K1005" s="0" t="str">
        <f aca="false">INDEX(Laporan!$A$1:$AZ$300,G1005,3)</f>
        <v>Shift 2</v>
      </c>
      <c r="L1005" s="0" t="n">
        <f aca="false">INDEX(Laporan!$A$1:$AZ$300,G1005,4)</f>
        <v>2</v>
      </c>
      <c r="M1005" s="1" t="n">
        <f aca="false">DATE(Pemetaan!$B$1,VALUE(RIGHT(INDEX(Laporan!$A$1:$AZ$300,F1005+1,H1005),2)),VALUE(LEFT(INDEX(Laporan!$A$1:$AZ$300,F1005+1,H1005),2)))</f>
        <v>46086</v>
      </c>
      <c r="N1005" s="0" t="n">
        <f aca="false">INDEX(Laporan!$A$1:$AZ$300,G1005,H1005)</f>
        <v>13</v>
      </c>
      <c r="O1005" s="0" t="n">
        <f aca="false">IF(N1005="","",IFERROR(VALUE(SUBSTITUTE(SUBSTITUTE(N1005," btl",""),".","")),""))</f>
        <v>13</v>
      </c>
      <c r="P1005" s="0" t="str">
        <f aca="false">IF(B1005="PRODUKSI","produced","reject")</f>
        <v>reject</v>
      </c>
    </row>
    <row r="1006" customFormat="false" ht="15" hidden="false" customHeight="false" outlineLevel="0" collapsed="false">
      <c r="A1006" s="0" t="n">
        <v>1005</v>
      </c>
      <c r="B1006" s="0" t="str">
        <f aca="false">IF(A1006&lt;=36*25,"PRODUKSI","REJECT")</f>
        <v>REJECT</v>
      </c>
      <c r="C1006" s="0" t="n">
        <f aca="false">MOD(A1006-1,Pemetaan!$B$3*Pemetaan!$B$4)</f>
        <v>104</v>
      </c>
      <c r="D1006" s="0" t="n">
        <f aca="false">INT(C1006/Pemetaan!$B$4)</f>
        <v>4</v>
      </c>
      <c r="E1006" s="0" t="n">
        <f aca="false">MOD(C1006,Pemetaan!$B$4)</f>
        <v>4</v>
      </c>
      <c r="F1006" s="0" t="n">
        <f aca="false">IF(B1006="PRODUKSI",Pemetaan!$B$5,Pemetaan!$B$6)</f>
        <v>46</v>
      </c>
      <c r="G1006" s="0" t="n">
        <f aca="false">F1006+2+D1006</f>
        <v>52</v>
      </c>
      <c r="H1006" s="0" t="n">
        <f aca="false">Pemetaan!$B$2+E1006</f>
        <v>9</v>
      </c>
      <c r="I1006" s="0" t="str">
        <f aca="false">INDEX(Laporan!$A$1:$AZ$300,G1006,1)</f>
        <v>Water Treatment</v>
      </c>
      <c r="J1006" s="0" t="str">
        <f aca="false">INDEX(Laporan!$A$1:$AZ$300,G1006,2)</f>
        <v>330 ml</v>
      </c>
      <c r="K1006" s="0" t="str">
        <f aca="false">INDEX(Laporan!$A$1:$AZ$300,G1006,3)</f>
        <v>Shift 2</v>
      </c>
      <c r="L1006" s="0" t="n">
        <f aca="false">INDEX(Laporan!$A$1:$AZ$300,G1006,4)</f>
        <v>2</v>
      </c>
      <c r="M1006" s="1" t="n">
        <f aca="false">DATE(Pemetaan!$B$1,VALUE(RIGHT(INDEX(Laporan!$A$1:$AZ$300,F1006+1,H1006),2)),VALUE(LEFT(INDEX(Laporan!$A$1:$AZ$300,F1006+1,H1006),2)))</f>
        <v>46087</v>
      </c>
      <c r="N1006" s="0" t="n">
        <f aca="false">INDEX(Laporan!$A$1:$AZ$300,G1006,H1006)</f>
        <v>15</v>
      </c>
      <c r="O1006" s="0" t="n">
        <f aca="false">IF(N1006="","",IFERROR(VALUE(SUBSTITUTE(SUBSTITUTE(N1006," btl",""),".","")),""))</f>
        <v>15</v>
      </c>
      <c r="P1006" s="0" t="str">
        <f aca="false">IF(B1006="PRODUKSI","produced","reject")</f>
        <v>reject</v>
      </c>
    </row>
    <row r="1007" customFormat="false" ht="15" hidden="false" customHeight="false" outlineLevel="0" collapsed="false">
      <c r="A1007" s="0" t="n">
        <v>1006</v>
      </c>
      <c r="B1007" s="0" t="str">
        <f aca="false">IF(A1007&lt;=36*25,"PRODUKSI","REJECT")</f>
        <v>REJECT</v>
      </c>
      <c r="C1007" s="0" t="n">
        <f aca="false">MOD(A1007-1,Pemetaan!$B$3*Pemetaan!$B$4)</f>
        <v>105</v>
      </c>
      <c r="D1007" s="0" t="n">
        <f aca="false">INT(C1007/Pemetaan!$B$4)</f>
        <v>4</v>
      </c>
      <c r="E1007" s="0" t="n">
        <f aca="false">MOD(C1007,Pemetaan!$B$4)</f>
        <v>5</v>
      </c>
      <c r="F1007" s="0" t="n">
        <f aca="false">IF(B1007="PRODUKSI",Pemetaan!$B$5,Pemetaan!$B$6)</f>
        <v>46</v>
      </c>
      <c r="G1007" s="0" t="n">
        <f aca="false">F1007+2+D1007</f>
        <v>52</v>
      </c>
      <c r="H1007" s="0" t="n">
        <f aca="false">Pemetaan!$B$2+E1007</f>
        <v>10</v>
      </c>
      <c r="I1007" s="0" t="str">
        <f aca="false">INDEX(Laporan!$A$1:$AZ$300,G1007,1)</f>
        <v>Water Treatment</v>
      </c>
      <c r="J1007" s="0" t="str">
        <f aca="false">INDEX(Laporan!$A$1:$AZ$300,G1007,2)</f>
        <v>330 ml</v>
      </c>
      <c r="K1007" s="0" t="str">
        <f aca="false">INDEX(Laporan!$A$1:$AZ$300,G1007,3)</f>
        <v>Shift 2</v>
      </c>
      <c r="L1007" s="0" t="n">
        <f aca="false">INDEX(Laporan!$A$1:$AZ$300,G1007,4)</f>
        <v>2</v>
      </c>
      <c r="M1007" s="1" t="n">
        <f aca="false">DATE(Pemetaan!$B$1,VALUE(RIGHT(INDEX(Laporan!$A$1:$AZ$300,F1007+1,H1007),2)),VALUE(LEFT(INDEX(Laporan!$A$1:$AZ$300,F1007+1,H1007),2)))</f>
        <v>46090</v>
      </c>
      <c r="N1007" s="0" t="n">
        <f aca="false">INDEX(Laporan!$A$1:$AZ$300,G1007,H1007)</f>
        <v>13</v>
      </c>
      <c r="O1007" s="0" t="n">
        <f aca="false">IF(N1007="","",IFERROR(VALUE(SUBSTITUTE(SUBSTITUTE(N1007," btl",""),".","")),""))</f>
        <v>13</v>
      </c>
      <c r="P1007" s="0" t="str">
        <f aca="false">IF(B1007="PRODUKSI","produced","reject")</f>
        <v>reject</v>
      </c>
    </row>
    <row r="1008" customFormat="false" ht="15" hidden="false" customHeight="false" outlineLevel="0" collapsed="false">
      <c r="A1008" s="0" t="n">
        <v>1007</v>
      </c>
      <c r="B1008" s="0" t="str">
        <f aca="false">IF(A1008&lt;=36*25,"PRODUKSI","REJECT")</f>
        <v>REJECT</v>
      </c>
      <c r="C1008" s="0" t="n">
        <f aca="false">MOD(A1008-1,Pemetaan!$B$3*Pemetaan!$B$4)</f>
        <v>106</v>
      </c>
      <c r="D1008" s="0" t="n">
        <f aca="false">INT(C1008/Pemetaan!$B$4)</f>
        <v>4</v>
      </c>
      <c r="E1008" s="0" t="n">
        <f aca="false">MOD(C1008,Pemetaan!$B$4)</f>
        <v>6</v>
      </c>
      <c r="F1008" s="0" t="n">
        <f aca="false">IF(B1008="PRODUKSI",Pemetaan!$B$5,Pemetaan!$B$6)</f>
        <v>46</v>
      </c>
      <c r="G1008" s="0" t="n">
        <f aca="false">F1008+2+D1008</f>
        <v>52</v>
      </c>
      <c r="H1008" s="0" t="n">
        <f aca="false">Pemetaan!$B$2+E1008</f>
        <v>11</v>
      </c>
      <c r="I1008" s="0" t="str">
        <f aca="false">INDEX(Laporan!$A$1:$AZ$300,G1008,1)</f>
        <v>Water Treatment</v>
      </c>
      <c r="J1008" s="0" t="str">
        <f aca="false">INDEX(Laporan!$A$1:$AZ$300,G1008,2)</f>
        <v>330 ml</v>
      </c>
      <c r="K1008" s="0" t="str">
        <f aca="false">INDEX(Laporan!$A$1:$AZ$300,G1008,3)</f>
        <v>Shift 2</v>
      </c>
      <c r="L1008" s="0" t="n">
        <f aca="false">INDEX(Laporan!$A$1:$AZ$300,G1008,4)</f>
        <v>2</v>
      </c>
      <c r="M1008" s="1" t="n">
        <f aca="false">DATE(Pemetaan!$B$1,VALUE(RIGHT(INDEX(Laporan!$A$1:$AZ$300,F1008+1,H1008),2)),VALUE(LEFT(INDEX(Laporan!$A$1:$AZ$300,F1008+1,H1008),2)))</f>
        <v>46091</v>
      </c>
      <c r="N1008" s="0" t="n">
        <f aca="false">INDEX(Laporan!$A$1:$AZ$300,G1008,H1008)</f>
        <v>18</v>
      </c>
      <c r="O1008" s="0" t="n">
        <f aca="false">IF(N1008="","",IFERROR(VALUE(SUBSTITUTE(SUBSTITUTE(N1008," btl",""),".","")),""))</f>
        <v>18</v>
      </c>
      <c r="P1008" s="0" t="str">
        <f aca="false">IF(B1008="PRODUKSI","produced","reject")</f>
        <v>reject</v>
      </c>
    </row>
    <row r="1009" customFormat="false" ht="15" hidden="false" customHeight="false" outlineLevel="0" collapsed="false">
      <c r="A1009" s="0" t="n">
        <v>1008</v>
      </c>
      <c r="B1009" s="0" t="str">
        <f aca="false">IF(A1009&lt;=36*25,"PRODUKSI","REJECT")</f>
        <v>REJECT</v>
      </c>
      <c r="C1009" s="0" t="n">
        <f aca="false">MOD(A1009-1,Pemetaan!$B$3*Pemetaan!$B$4)</f>
        <v>107</v>
      </c>
      <c r="D1009" s="0" t="n">
        <f aca="false">INT(C1009/Pemetaan!$B$4)</f>
        <v>4</v>
      </c>
      <c r="E1009" s="0" t="n">
        <f aca="false">MOD(C1009,Pemetaan!$B$4)</f>
        <v>7</v>
      </c>
      <c r="F1009" s="0" t="n">
        <f aca="false">IF(B1009="PRODUKSI",Pemetaan!$B$5,Pemetaan!$B$6)</f>
        <v>46</v>
      </c>
      <c r="G1009" s="0" t="n">
        <f aca="false">F1009+2+D1009</f>
        <v>52</v>
      </c>
      <c r="H1009" s="0" t="n">
        <f aca="false">Pemetaan!$B$2+E1009</f>
        <v>12</v>
      </c>
      <c r="I1009" s="0" t="str">
        <f aca="false">INDEX(Laporan!$A$1:$AZ$300,G1009,1)</f>
        <v>Water Treatment</v>
      </c>
      <c r="J1009" s="0" t="str">
        <f aca="false">INDEX(Laporan!$A$1:$AZ$300,G1009,2)</f>
        <v>330 ml</v>
      </c>
      <c r="K1009" s="0" t="str">
        <f aca="false">INDEX(Laporan!$A$1:$AZ$300,G1009,3)</f>
        <v>Shift 2</v>
      </c>
      <c r="L1009" s="0" t="n">
        <f aca="false">INDEX(Laporan!$A$1:$AZ$300,G1009,4)</f>
        <v>2</v>
      </c>
      <c r="M1009" s="1" t="n">
        <f aca="false">DATE(Pemetaan!$B$1,VALUE(RIGHT(INDEX(Laporan!$A$1:$AZ$300,F1009+1,H1009),2)),VALUE(LEFT(INDEX(Laporan!$A$1:$AZ$300,F1009+1,H1009),2)))</f>
        <v>46092</v>
      </c>
      <c r="N1009" s="0" t="n">
        <f aca="false">INDEX(Laporan!$A$1:$AZ$300,G1009,H1009)</f>
        <v>16</v>
      </c>
      <c r="O1009" s="0" t="n">
        <f aca="false">IF(N1009="","",IFERROR(VALUE(SUBSTITUTE(SUBSTITUTE(N1009," btl",""),".","")),""))</f>
        <v>16</v>
      </c>
      <c r="P1009" s="0" t="str">
        <f aca="false">IF(B1009="PRODUKSI","produced","reject")</f>
        <v>reject</v>
      </c>
    </row>
    <row r="1010" customFormat="false" ht="15" hidden="false" customHeight="false" outlineLevel="0" collapsed="false">
      <c r="A1010" s="0" t="n">
        <v>1009</v>
      </c>
      <c r="B1010" s="0" t="str">
        <f aca="false">IF(A1010&lt;=36*25,"PRODUKSI","REJECT")</f>
        <v>REJECT</v>
      </c>
      <c r="C1010" s="0" t="n">
        <f aca="false">MOD(A1010-1,Pemetaan!$B$3*Pemetaan!$B$4)</f>
        <v>108</v>
      </c>
      <c r="D1010" s="0" t="n">
        <f aca="false">INT(C1010/Pemetaan!$B$4)</f>
        <v>4</v>
      </c>
      <c r="E1010" s="0" t="n">
        <f aca="false">MOD(C1010,Pemetaan!$B$4)</f>
        <v>8</v>
      </c>
      <c r="F1010" s="0" t="n">
        <f aca="false">IF(B1010="PRODUKSI",Pemetaan!$B$5,Pemetaan!$B$6)</f>
        <v>46</v>
      </c>
      <c r="G1010" s="0" t="n">
        <f aca="false">F1010+2+D1010</f>
        <v>52</v>
      </c>
      <c r="H1010" s="0" t="n">
        <f aca="false">Pemetaan!$B$2+E1010</f>
        <v>13</v>
      </c>
      <c r="I1010" s="0" t="str">
        <f aca="false">INDEX(Laporan!$A$1:$AZ$300,G1010,1)</f>
        <v>Water Treatment</v>
      </c>
      <c r="J1010" s="0" t="str">
        <f aca="false">INDEX(Laporan!$A$1:$AZ$300,G1010,2)</f>
        <v>330 ml</v>
      </c>
      <c r="K1010" s="0" t="str">
        <f aca="false">INDEX(Laporan!$A$1:$AZ$300,G1010,3)</f>
        <v>Shift 2</v>
      </c>
      <c r="L1010" s="0" t="n">
        <f aca="false">INDEX(Laporan!$A$1:$AZ$300,G1010,4)</f>
        <v>2</v>
      </c>
      <c r="M1010" s="1" t="n">
        <f aca="false">DATE(Pemetaan!$B$1,VALUE(RIGHT(INDEX(Laporan!$A$1:$AZ$300,F1010+1,H1010),2)),VALUE(LEFT(INDEX(Laporan!$A$1:$AZ$300,F1010+1,H1010),2)))</f>
        <v>46093</v>
      </c>
      <c r="N1010" s="0" t="n">
        <f aca="false">INDEX(Laporan!$A$1:$AZ$300,G1010,H1010)</f>
        <v>12</v>
      </c>
      <c r="O1010" s="0" t="n">
        <f aca="false">IF(N1010="","",IFERROR(VALUE(SUBSTITUTE(SUBSTITUTE(N1010," btl",""),".","")),""))</f>
        <v>12</v>
      </c>
      <c r="P1010" s="0" t="str">
        <f aca="false">IF(B1010="PRODUKSI","produced","reject")</f>
        <v>reject</v>
      </c>
    </row>
    <row r="1011" customFormat="false" ht="15" hidden="false" customHeight="false" outlineLevel="0" collapsed="false">
      <c r="A1011" s="0" t="n">
        <v>1010</v>
      </c>
      <c r="B1011" s="0" t="str">
        <f aca="false">IF(A1011&lt;=36*25,"PRODUKSI","REJECT")</f>
        <v>REJECT</v>
      </c>
      <c r="C1011" s="0" t="n">
        <f aca="false">MOD(A1011-1,Pemetaan!$B$3*Pemetaan!$B$4)</f>
        <v>109</v>
      </c>
      <c r="D1011" s="0" t="n">
        <f aca="false">INT(C1011/Pemetaan!$B$4)</f>
        <v>4</v>
      </c>
      <c r="E1011" s="0" t="n">
        <f aca="false">MOD(C1011,Pemetaan!$B$4)</f>
        <v>9</v>
      </c>
      <c r="F1011" s="0" t="n">
        <f aca="false">IF(B1011="PRODUKSI",Pemetaan!$B$5,Pemetaan!$B$6)</f>
        <v>46</v>
      </c>
      <c r="G1011" s="0" t="n">
        <f aca="false">F1011+2+D1011</f>
        <v>52</v>
      </c>
      <c r="H1011" s="0" t="n">
        <f aca="false">Pemetaan!$B$2+E1011</f>
        <v>14</v>
      </c>
      <c r="I1011" s="0" t="str">
        <f aca="false">INDEX(Laporan!$A$1:$AZ$300,G1011,1)</f>
        <v>Water Treatment</v>
      </c>
      <c r="J1011" s="0" t="str">
        <f aca="false">INDEX(Laporan!$A$1:$AZ$300,G1011,2)</f>
        <v>330 ml</v>
      </c>
      <c r="K1011" s="0" t="str">
        <f aca="false">INDEX(Laporan!$A$1:$AZ$300,G1011,3)</f>
        <v>Shift 2</v>
      </c>
      <c r="L1011" s="0" t="n">
        <f aca="false">INDEX(Laporan!$A$1:$AZ$300,G1011,4)</f>
        <v>2</v>
      </c>
      <c r="M1011" s="1" t="n">
        <f aca="false">DATE(Pemetaan!$B$1,VALUE(RIGHT(INDEX(Laporan!$A$1:$AZ$300,F1011+1,H1011),2)),VALUE(LEFT(INDEX(Laporan!$A$1:$AZ$300,F1011+1,H1011),2)))</f>
        <v>46094</v>
      </c>
      <c r="N1011" s="0" t="n">
        <f aca="false">INDEX(Laporan!$A$1:$AZ$300,G1011,H1011)</f>
        <v>18</v>
      </c>
      <c r="O1011" s="0" t="n">
        <f aca="false">IF(N1011="","",IFERROR(VALUE(SUBSTITUTE(SUBSTITUTE(N1011," btl",""),".","")),""))</f>
        <v>18</v>
      </c>
      <c r="P1011" s="0" t="str">
        <f aca="false">IF(B1011="PRODUKSI","produced","reject")</f>
        <v>reject</v>
      </c>
    </row>
    <row r="1012" customFormat="false" ht="15" hidden="false" customHeight="false" outlineLevel="0" collapsed="false">
      <c r="A1012" s="0" t="n">
        <v>1011</v>
      </c>
      <c r="B1012" s="0" t="str">
        <f aca="false">IF(A1012&lt;=36*25,"PRODUKSI","REJECT")</f>
        <v>REJECT</v>
      </c>
      <c r="C1012" s="0" t="n">
        <f aca="false">MOD(A1012-1,Pemetaan!$B$3*Pemetaan!$B$4)</f>
        <v>110</v>
      </c>
      <c r="D1012" s="0" t="n">
        <f aca="false">INT(C1012/Pemetaan!$B$4)</f>
        <v>4</v>
      </c>
      <c r="E1012" s="0" t="n">
        <f aca="false">MOD(C1012,Pemetaan!$B$4)</f>
        <v>10</v>
      </c>
      <c r="F1012" s="0" t="n">
        <f aca="false">IF(B1012="PRODUKSI",Pemetaan!$B$5,Pemetaan!$B$6)</f>
        <v>46</v>
      </c>
      <c r="G1012" s="0" t="n">
        <f aca="false">F1012+2+D1012</f>
        <v>52</v>
      </c>
      <c r="H1012" s="0" t="n">
        <f aca="false">Pemetaan!$B$2+E1012</f>
        <v>15</v>
      </c>
      <c r="I1012" s="0" t="str">
        <f aca="false">INDEX(Laporan!$A$1:$AZ$300,G1012,1)</f>
        <v>Water Treatment</v>
      </c>
      <c r="J1012" s="0" t="str">
        <f aca="false">INDEX(Laporan!$A$1:$AZ$300,G1012,2)</f>
        <v>330 ml</v>
      </c>
      <c r="K1012" s="0" t="str">
        <f aca="false">INDEX(Laporan!$A$1:$AZ$300,G1012,3)</f>
        <v>Shift 2</v>
      </c>
      <c r="L1012" s="0" t="n">
        <f aca="false">INDEX(Laporan!$A$1:$AZ$300,G1012,4)</f>
        <v>2</v>
      </c>
      <c r="M1012" s="1" t="n">
        <f aca="false">DATE(Pemetaan!$B$1,VALUE(RIGHT(INDEX(Laporan!$A$1:$AZ$300,F1012+1,H1012),2)),VALUE(LEFT(INDEX(Laporan!$A$1:$AZ$300,F1012+1,H1012),2)))</f>
        <v>46097</v>
      </c>
      <c r="N1012" s="0" t="n">
        <f aca="false">INDEX(Laporan!$A$1:$AZ$300,G1012,H1012)</f>
        <v>12</v>
      </c>
      <c r="O1012" s="0" t="n">
        <f aca="false">IF(N1012="","",IFERROR(VALUE(SUBSTITUTE(SUBSTITUTE(N1012," btl",""),".","")),""))</f>
        <v>12</v>
      </c>
      <c r="P1012" s="0" t="str">
        <f aca="false">IF(B1012="PRODUKSI","produced","reject")</f>
        <v>reject</v>
      </c>
    </row>
    <row r="1013" customFormat="false" ht="15" hidden="false" customHeight="false" outlineLevel="0" collapsed="false">
      <c r="A1013" s="0" t="n">
        <v>1012</v>
      </c>
      <c r="B1013" s="0" t="str">
        <f aca="false">IF(A1013&lt;=36*25,"PRODUKSI","REJECT")</f>
        <v>REJECT</v>
      </c>
      <c r="C1013" s="0" t="n">
        <f aca="false">MOD(A1013-1,Pemetaan!$B$3*Pemetaan!$B$4)</f>
        <v>111</v>
      </c>
      <c r="D1013" s="0" t="n">
        <f aca="false">INT(C1013/Pemetaan!$B$4)</f>
        <v>4</v>
      </c>
      <c r="E1013" s="0" t="n">
        <f aca="false">MOD(C1013,Pemetaan!$B$4)</f>
        <v>11</v>
      </c>
      <c r="F1013" s="0" t="n">
        <f aca="false">IF(B1013="PRODUKSI",Pemetaan!$B$5,Pemetaan!$B$6)</f>
        <v>46</v>
      </c>
      <c r="G1013" s="0" t="n">
        <f aca="false">F1013+2+D1013</f>
        <v>52</v>
      </c>
      <c r="H1013" s="0" t="n">
        <f aca="false">Pemetaan!$B$2+E1013</f>
        <v>16</v>
      </c>
      <c r="I1013" s="0" t="str">
        <f aca="false">INDEX(Laporan!$A$1:$AZ$300,G1013,1)</f>
        <v>Water Treatment</v>
      </c>
      <c r="J1013" s="0" t="str">
        <f aca="false">INDEX(Laporan!$A$1:$AZ$300,G1013,2)</f>
        <v>330 ml</v>
      </c>
      <c r="K1013" s="0" t="str">
        <f aca="false">INDEX(Laporan!$A$1:$AZ$300,G1013,3)</f>
        <v>Shift 2</v>
      </c>
      <c r="L1013" s="0" t="n">
        <f aca="false">INDEX(Laporan!$A$1:$AZ$300,G1013,4)</f>
        <v>2</v>
      </c>
      <c r="M1013" s="1" t="n">
        <f aca="false">DATE(Pemetaan!$B$1,VALUE(RIGHT(INDEX(Laporan!$A$1:$AZ$300,F1013+1,H1013),2)),VALUE(LEFT(INDEX(Laporan!$A$1:$AZ$300,F1013+1,H1013),2)))</f>
        <v>46098</v>
      </c>
      <c r="N1013" s="0" t="n">
        <f aca="false">INDEX(Laporan!$A$1:$AZ$300,G1013,H1013)</f>
        <v>19</v>
      </c>
      <c r="O1013" s="0" t="n">
        <f aca="false">IF(N1013="","",IFERROR(VALUE(SUBSTITUTE(SUBSTITUTE(N1013," btl",""),".","")),""))</f>
        <v>19</v>
      </c>
      <c r="P1013" s="0" t="str">
        <f aca="false">IF(B1013="PRODUKSI","produced","reject")</f>
        <v>reject</v>
      </c>
    </row>
    <row r="1014" customFormat="false" ht="15" hidden="false" customHeight="false" outlineLevel="0" collapsed="false">
      <c r="A1014" s="0" t="n">
        <v>1013</v>
      </c>
      <c r="B1014" s="0" t="str">
        <f aca="false">IF(A1014&lt;=36*25,"PRODUKSI","REJECT")</f>
        <v>REJECT</v>
      </c>
      <c r="C1014" s="0" t="n">
        <f aca="false">MOD(A1014-1,Pemetaan!$B$3*Pemetaan!$B$4)</f>
        <v>112</v>
      </c>
      <c r="D1014" s="0" t="n">
        <f aca="false">INT(C1014/Pemetaan!$B$4)</f>
        <v>4</v>
      </c>
      <c r="E1014" s="0" t="n">
        <f aca="false">MOD(C1014,Pemetaan!$B$4)</f>
        <v>12</v>
      </c>
      <c r="F1014" s="0" t="n">
        <f aca="false">IF(B1014="PRODUKSI",Pemetaan!$B$5,Pemetaan!$B$6)</f>
        <v>46</v>
      </c>
      <c r="G1014" s="0" t="n">
        <f aca="false">F1014+2+D1014</f>
        <v>52</v>
      </c>
      <c r="H1014" s="0" t="n">
        <f aca="false">Pemetaan!$B$2+E1014</f>
        <v>17</v>
      </c>
      <c r="I1014" s="0" t="str">
        <f aca="false">INDEX(Laporan!$A$1:$AZ$300,G1014,1)</f>
        <v>Water Treatment</v>
      </c>
      <c r="J1014" s="0" t="str">
        <f aca="false">INDEX(Laporan!$A$1:$AZ$300,G1014,2)</f>
        <v>330 ml</v>
      </c>
      <c r="K1014" s="0" t="str">
        <f aca="false">INDEX(Laporan!$A$1:$AZ$300,G1014,3)</f>
        <v>Shift 2</v>
      </c>
      <c r="L1014" s="0" t="n">
        <f aca="false">INDEX(Laporan!$A$1:$AZ$300,G1014,4)</f>
        <v>2</v>
      </c>
      <c r="M1014" s="1" t="n">
        <f aca="false">DATE(Pemetaan!$B$1,VALUE(RIGHT(INDEX(Laporan!$A$1:$AZ$300,F1014+1,H1014),2)),VALUE(LEFT(INDEX(Laporan!$A$1:$AZ$300,F1014+1,H1014),2)))</f>
        <v>46099</v>
      </c>
      <c r="N1014" s="0" t="n">
        <f aca="false">INDEX(Laporan!$A$1:$AZ$300,G1014,H1014)</f>
        <v>15</v>
      </c>
      <c r="O1014" s="0" t="n">
        <f aca="false">IF(N1014="","",IFERROR(VALUE(SUBSTITUTE(SUBSTITUTE(N1014," btl",""),".","")),""))</f>
        <v>15</v>
      </c>
      <c r="P1014" s="0" t="str">
        <f aca="false">IF(B1014="PRODUKSI","produced","reject")</f>
        <v>reject</v>
      </c>
    </row>
    <row r="1015" customFormat="false" ht="15" hidden="false" customHeight="false" outlineLevel="0" collapsed="false">
      <c r="A1015" s="0" t="n">
        <v>1014</v>
      </c>
      <c r="B1015" s="0" t="str">
        <f aca="false">IF(A1015&lt;=36*25,"PRODUKSI","REJECT")</f>
        <v>REJECT</v>
      </c>
      <c r="C1015" s="0" t="n">
        <f aca="false">MOD(A1015-1,Pemetaan!$B$3*Pemetaan!$B$4)</f>
        <v>113</v>
      </c>
      <c r="D1015" s="0" t="n">
        <f aca="false">INT(C1015/Pemetaan!$B$4)</f>
        <v>4</v>
      </c>
      <c r="E1015" s="0" t="n">
        <f aca="false">MOD(C1015,Pemetaan!$B$4)</f>
        <v>13</v>
      </c>
      <c r="F1015" s="0" t="n">
        <f aca="false">IF(B1015="PRODUKSI",Pemetaan!$B$5,Pemetaan!$B$6)</f>
        <v>46</v>
      </c>
      <c r="G1015" s="0" t="n">
        <f aca="false">F1015+2+D1015</f>
        <v>52</v>
      </c>
      <c r="H1015" s="0" t="n">
        <f aca="false">Pemetaan!$B$2+E1015</f>
        <v>18</v>
      </c>
      <c r="I1015" s="0" t="str">
        <f aca="false">INDEX(Laporan!$A$1:$AZ$300,G1015,1)</f>
        <v>Water Treatment</v>
      </c>
      <c r="J1015" s="0" t="str">
        <f aca="false">INDEX(Laporan!$A$1:$AZ$300,G1015,2)</f>
        <v>330 ml</v>
      </c>
      <c r="K1015" s="0" t="str">
        <f aca="false">INDEX(Laporan!$A$1:$AZ$300,G1015,3)</f>
        <v>Shift 2</v>
      </c>
      <c r="L1015" s="0" t="n">
        <f aca="false">INDEX(Laporan!$A$1:$AZ$300,G1015,4)</f>
        <v>2</v>
      </c>
      <c r="M1015" s="1" t="n">
        <f aca="false">DATE(Pemetaan!$B$1,VALUE(RIGHT(INDEX(Laporan!$A$1:$AZ$300,F1015+1,H1015),2)),VALUE(LEFT(INDEX(Laporan!$A$1:$AZ$300,F1015+1,H1015),2)))</f>
        <v>46100</v>
      </c>
      <c r="N1015" s="0" t="n">
        <f aca="false">INDEX(Laporan!$A$1:$AZ$300,G1015,H1015)</f>
        <v>5</v>
      </c>
      <c r="O1015" s="0" t="n">
        <f aca="false">IF(N1015="","",IFERROR(VALUE(SUBSTITUTE(SUBSTITUTE(N1015," btl",""),".","")),""))</f>
        <v>5</v>
      </c>
      <c r="P1015" s="0" t="str">
        <f aca="false">IF(B1015="PRODUKSI","produced","reject")</f>
        <v>reject</v>
      </c>
    </row>
    <row r="1016" customFormat="false" ht="15" hidden="false" customHeight="false" outlineLevel="0" collapsed="false">
      <c r="A1016" s="0" t="n">
        <v>1015</v>
      </c>
      <c r="B1016" s="0" t="str">
        <f aca="false">IF(A1016&lt;=36*25,"PRODUKSI","REJECT")</f>
        <v>REJECT</v>
      </c>
      <c r="C1016" s="0" t="n">
        <f aca="false">MOD(A1016-1,Pemetaan!$B$3*Pemetaan!$B$4)</f>
        <v>114</v>
      </c>
      <c r="D1016" s="0" t="n">
        <f aca="false">INT(C1016/Pemetaan!$B$4)</f>
        <v>4</v>
      </c>
      <c r="E1016" s="0" t="n">
        <f aca="false">MOD(C1016,Pemetaan!$B$4)</f>
        <v>14</v>
      </c>
      <c r="F1016" s="0" t="n">
        <f aca="false">IF(B1016="PRODUKSI",Pemetaan!$B$5,Pemetaan!$B$6)</f>
        <v>46</v>
      </c>
      <c r="G1016" s="0" t="n">
        <f aca="false">F1016+2+D1016</f>
        <v>52</v>
      </c>
      <c r="H1016" s="0" t="n">
        <f aca="false">Pemetaan!$B$2+E1016</f>
        <v>19</v>
      </c>
      <c r="I1016" s="0" t="str">
        <f aca="false">INDEX(Laporan!$A$1:$AZ$300,G1016,1)</f>
        <v>Water Treatment</v>
      </c>
      <c r="J1016" s="0" t="str">
        <f aca="false">INDEX(Laporan!$A$1:$AZ$300,G1016,2)</f>
        <v>330 ml</v>
      </c>
      <c r="K1016" s="0" t="str">
        <f aca="false">INDEX(Laporan!$A$1:$AZ$300,G1016,3)</f>
        <v>Shift 2</v>
      </c>
      <c r="L1016" s="0" t="n">
        <f aca="false">INDEX(Laporan!$A$1:$AZ$300,G1016,4)</f>
        <v>2</v>
      </c>
      <c r="M1016" s="1" t="n">
        <f aca="false">DATE(Pemetaan!$B$1,VALUE(RIGHT(INDEX(Laporan!$A$1:$AZ$300,F1016+1,H1016),2)),VALUE(LEFT(INDEX(Laporan!$A$1:$AZ$300,F1016+1,H1016),2)))</f>
        <v>46101</v>
      </c>
      <c r="N1016" s="0" t="n">
        <f aca="false">INDEX(Laporan!$A$1:$AZ$300,G1016,H1016)</f>
        <v>13</v>
      </c>
      <c r="O1016" s="0" t="n">
        <f aca="false">IF(N1016="","",IFERROR(VALUE(SUBSTITUTE(SUBSTITUTE(N1016," btl",""),".","")),""))</f>
        <v>13</v>
      </c>
      <c r="P1016" s="0" t="str">
        <f aca="false">IF(B1016="PRODUKSI","produced","reject")</f>
        <v>reject</v>
      </c>
    </row>
    <row r="1017" customFormat="false" ht="15" hidden="false" customHeight="false" outlineLevel="0" collapsed="false">
      <c r="A1017" s="0" t="n">
        <v>1016</v>
      </c>
      <c r="B1017" s="0" t="str">
        <f aca="false">IF(A1017&lt;=36*25,"PRODUKSI","REJECT")</f>
        <v>REJECT</v>
      </c>
      <c r="C1017" s="0" t="n">
        <f aca="false">MOD(A1017-1,Pemetaan!$B$3*Pemetaan!$B$4)</f>
        <v>115</v>
      </c>
      <c r="D1017" s="0" t="n">
        <f aca="false">INT(C1017/Pemetaan!$B$4)</f>
        <v>4</v>
      </c>
      <c r="E1017" s="0" t="n">
        <f aca="false">MOD(C1017,Pemetaan!$B$4)</f>
        <v>15</v>
      </c>
      <c r="F1017" s="0" t="n">
        <f aca="false">IF(B1017="PRODUKSI",Pemetaan!$B$5,Pemetaan!$B$6)</f>
        <v>46</v>
      </c>
      <c r="G1017" s="0" t="n">
        <f aca="false">F1017+2+D1017</f>
        <v>52</v>
      </c>
      <c r="H1017" s="0" t="n">
        <f aca="false">Pemetaan!$B$2+E1017</f>
        <v>20</v>
      </c>
      <c r="I1017" s="0" t="str">
        <f aca="false">INDEX(Laporan!$A$1:$AZ$300,G1017,1)</f>
        <v>Water Treatment</v>
      </c>
      <c r="J1017" s="0" t="str">
        <f aca="false">INDEX(Laporan!$A$1:$AZ$300,G1017,2)</f>
        <v>330 ml</v>
      </c>
      <c r="K1017" s="0" t="str">
        <f aca="false">INDEX(Laporan!$A$1:$AZ$300,G1017,3)</f>
        <v>Shift 2</v>
      </c>
      <c r="L1017" s="0" t="n">
        <f aca="false">INDEX(Laporan!$A$1:$AZ$300,G1017,4)</f>
        <v>2</v>
      </c>
      <c r="M1017" s="1" t="n">
        <f aca="false">DATE(Pemetaan!$B$1,VALUE(RIGHT(INDEX(Laporan!$A$1:$AZ$300,F1017+1,H1017),2)),VALUE(LEFT(INDEX(Laporan!$A$1:$AZ$300,F1017+1,H1017),2)))</f>
        <v>46104</v>
      </c>
      <c r="N1017" s="0" t="n">
        <f aca="false">INDEX(Laporan!$A$1:$AZ$300,G1017,H1017)</f>
        <v>21</v>
      </c>
      <c r="O1017" s="0" t="n">
        <f aca="false">IF(N1017="","",IFERROR(VALUE(SUBSTITUTE(SUBSTITUTE(N1017," btl",""),".","")),""))</f>
        <v>21</v>
      </c>
      <c r="P1017" s="0" t="str">
        <f aca="false">IF(B1017="PRODUKSI","produced","reject")</f>
        <v>reject</v>
      </c>
    </row>
    <row r="1018" customFormat="false" ht="15" hidden="false" customHeight="false" outlineLevel="0" collapsed="false">
      <c r="A1018" s="0" t="n">
        <v>1017</v>
      </c>
      <c r="B1018" s="0" t="str">
        <f aca="false">IF(A1018&lt;=36*25,"PRODUKSI","REJECT")</f>
        <v>REJECT</v>
      </c>
      <c r="C1018" s="0" t="n">
        <f aca="false">MOD(A1018-1,Pemetaan!$B$3*Pemetaan!$B$4)</f>
        <v>116</v>
      </c>
      <c r="D1018" s="0" t="n">
        <f aca="false">INT(C1018/Pemetaan!$B$4)</f>
        <v>4</v>
      </c>
      <c r="E1018" s="0" t="n">
        <f aca="false">MOD(C1018,Pemetaan!$B$4)</f>
        <v>16</v>
      </c>
      <c r="F1018" s="0" t="n">
        <f aca="false">IF(B1018="PRODUKSI",Pemetaan!$B$5,Pemetaan!$B$6)</f>
        <v>46</v>
      </c>
      <c r="G1018" s="0" t="n">
        <f aca="false">F1018+2+D1018</f>
        <v>52</v>
      </c>
      <c r="H1018" s="0" t="n">
        <f aca="false">Pemetaan!$B$2+E1018</f>
        <v>21</v>
      </c>
      <c r="I1018" s="0" t="str">
        <f aca="false">INDEX(Laporan!$A$1:$AZ$300,G1018,1)</f>
        <v>Water Treatment</v>
      </c>
      <c r="J1018" s="0" t="str">
        <f aca="false">INDEX(Laporan!$A$1:$AZ$300,G1018,2)</f>
        <v>330 ml</v>
      </c>
      <c r="K1018" s="0" t="str">
        <f aca="false">INDEX(Laporan!$A$1:$AZ$300,G1018,3)</f>
        <v>Shift 2</v>
      </c>
      <c r="L1018" s="0" t="n">
        <f aca="false">INDEX(Laporan!$A$1:$AZ$300,G1018,4)</f>
        <v>2</v>
      </c>
      <c r="M1018" s="1" t="n">
        <f aca="false">DATE(Pemetaan!$B$1,VALUE(RIGHT(INDEX(Laporan!$A$1:$AZ$300,F1018+1,H1018),2)),VALUE(LEFT(INDEX(Laporan!$A$1:$AZ$300,F1018+1,H1018),2)))</f>
        <v>46105</v>
      </c>
      <c r="N1018" s="0" t="n">
        <f aca="false">INDEX(Laporan!$A$1:$AZ$300,G1018,H1018)</f>
        <v>12</v>
      </c>
      <c r="O1018" s="0" t="n">
        <f aca="false">IF(N1018="","",IFERROR(VALUE(SUBSTITUTE(SUBSTITUTE(N1018," btl",""),".","")),""))</f>
        <v>12</v>
      </c>
      <c r="P1018" s="0" t="str">
        <f aca="false">IF(B1018="PRODUKSI","produced","reject")</f>
        <v>reject</v>
      </c>
    </row>
    <row r="1019" customFormat="false" ht="15" hidden="false" customHeight="false" outlineLevel="0" collapsed="false">
      <c r="A1019" s="0" t="n">
        <v>1018</v>
      </c>
      <c r="B1019" s="0" t="str">
        <f aca="false">IF(A1019&lt;=36*25,"PRODUKSI","REJECT")</f>
        <v>REJECT</v>
      </c>
      <c r="C1019" s="0" t="n">
        <f aca="false">MOD(A1019-1,Pemetaan!$B$3*Pemetaan!$B$4)</f>
        <v>117</v>
      </c>
      <c r="D1019" s="0" t="n">
        <f aca="false">INT(C1019/Pemetaan!$B$4)</f>
        <v>4</v>
      </c>
      <c r="E1019" s="0" t="n">
        <f aca="false">MOD(C1019,Pemetaan!$B$4)</f>
        <v>17</v>
      </c>
      <c r="F1019" s="0" t="n">
        <f aca="false">IF(B1019="PRODUKSI",Pemetaan!$B$5,Pemetaan!$B$6)</f>
        <v>46</v>
      </c>
      <c r="G1019" s="0" t="n">
        <f aca="false">F1019+2+D1019</f>
        <v>52</v>
      </c>
      <c r="H1019" s="0" t="n">
        <f aca="false">Pemetaan!$B$2+E1019</f>
        <v>22</v>
      </c>
      <c r="I1019" s="0" t="str">
        <f aca="false">INDEX(Laporan!$A$1:$AZ$300,G1019,1)</f>
        <v>Water Treatment</v>
      </c>
      <c r="J1019" s="0" t="str">
        <f aca="false">INDEX(Laporan!$A$1:$AZ$300,G1019,2)</f>
        <v>330 ml</v>
      </c>
      <c r="K1019" s="0" t="str">
        <f aca="false">INDEX(Laporan!$A$1:$AZ$300,G1019,3)</f>
        <v>Shift 2</v>
      </c>
      <c r="L1019" s="0" t="n">
        <f aca="false">INDEX(Laporan!$A$1:$AZ$300,G1019,4)</f>
        <v>2</v>
      </c>
      <c r="M1019" s="1" t="n">
        <f aca="false">DATE(Pemetaan!$B$1,VALUE(RIGHT(INDEX(Laporan!$A$1:$AZ$300,F1019+1,H1019),2)),VALUE(LEFT(INDEX(Laporan!$A$1:$AZ$300,F1019+1,H1019),2)))</f>
        <v>46106</v>
      </c>
      <c r="N1019" s="0" t="n">
        <f aca="false">INDEX(Laporan!$A$1:$AZ$300,G1019,H1019)</f>
        <v>12</v>
      </c>
      <c r="O1019" s="0" t="n">
        <f aca="false">IF(N1019="","",IFERROR(VALUE(SUBSTITUTE(SUBSTITUTE(N1019," btl",""),".","")),""))</f>
        <v>12</v>
      </c>
      <c r="P1019" s="0" t="str">
        <f aca="false">IF(B1019="PRODUKSI","produced","reject")</f>
        <v>reject</v>
      </c>
    </row>
    <row r="1020" customFormat="false" ht="15" hidden="false" customHeight="false" outlineLevel="0" collapsed="false">
      <c r="A1020" s="0" t="n">
        <v>1019</v>
      </c>
      <c r="B1020" s="0" t="str">
        <f aca="false">IF(A1020&lt;=36*25,"PRODUKSI","REJECT")</f>
        <v>REJECT</v>
      </c>
      <c r="C1020" s="0" t="n">
        <f aca="false">MOD(A1020-1,Pemetaan!$B$3*Pemetaan!$B$4)</f>
        <v>118</v>
      </c>
      <c r="D1020" s="0" t="n">
        <f aca="false">INT(C1020/Pemetaan!$B$4)</f>
        <v>4</v>
      </c>
      <c r="E1020" s="0" t="n">
        <f aca="false">MOD(C1020,Pemetaan!$B$4)</f>
        <v>18</v>
      </c>
      <c r="F1020" s="0" t="n">
        <f aca="false">IF(B1020="PRODUKSI",Pemetaan!$B$5,Pemetaan!$B$6)</f>
        <v>46</v>
      </c>
      <c r="G1020" s="0" t="n">
        <f aca="false">F1020+2+D1020</f>
        <v>52</v>
      </c>
      <c r="H1020" s="0" t="n">
        <f aca="false">Pemetaan!$B$2+E1020</f>
        <v>23</v>
      </c>
      <c r="I1020" s="0" t="str">
        <f aca="false">INDEX(Laporan!$A$1:$AZ$300,G1020,1)</f>
        <v>Water Treatment</v>
      </c>
      <c r="J1020" s="0" t="str">
        <f aca="false">INDEX(Laporan!$A$1:$AZ$300,G1020,2)</f>
        <v>330 ml</v>
      </c>
      <c r="K1020" s="0" t="str">
        <f aca="false">INDEX(Laporan!$A$1:$AZ$300,G1020,3)</f>
        <v>Shift 2</v>
      </c>
      <c r="L1020" s="0" t="n">
        <f aca="false">INDEX(Laporan!$A$1:$AZ$300,G1020,4)</f>
        <v>2</v>
      </c>
      <c r="M1020" s="1" t="n">
        <f aca="false">DATE(Pemetaan!$B$1,VALUE(RIGHT(INDEX(Laporan!$A$1:$AZ$300,F1020+1,H1020),2)),VALUE(LEFT(INDEX(Laporan!$A$1:$AZ$300,F1020+1,H1020),2)))</f>
        <v>46107</v>
      </c>
      <c r="N1020" s="0" t="n">
        <f aca="false">INDEX(Laporan!$A$1:$AZ$300,G1020,H1020)</f>
        <v>20</v>
      </c>
      <c r="O1020" s="0" t="n">
        <f aca="false">IF(N1020="","",IFERROR(VALUE(SUBSTITUTE(SUBSTITUTE(N1020," btl",""),".","")),""))</f>
        <v>20</v>
      </c>
      <c r="P1020" s="0" t="str">
        <f aca="false">IF(B1020="PRODUKSI","produced","reject")</f>
        <v>reject</v>
      </c>
    </row>
    <row r="1021" customFormat="false" ht="15" hidden="false" customHeight="false" outlineLevel="0" collapsed="false">
      <c r="A1021" s="0" t="n">
        <v>1020</v>
      </c>
      <c r="B1021" s="0" t="str">
        <f aca="false">IF(A1021&lt;=36*25,"PRODUKSI","REJECT")</f>
        <v>REJECT</v>
      </c>
      <c r="C1021" s="0" t="n">
        <f aca="false">MOD(A1021-1,Pemetaan!$B$3*Pemetaan!$B$4)</f>
        <v>119</v>
      </c>
      <c r="D1021" s="0" t="n">
        <f aca="false">INT(C1021/Pemetaan!$B$4)</f>
        <v>4</v>
      </c>
      <c r="E1021" s="0" t="n">
        <f aca="false">MOD(C1021,Pemetaan!$B$4)</f>
        <v>19</v>
      </c>
      <c r="F1021" s="0" t="n">
        <f aca="false">IF(B1021="PRODUKSI",Pemetaan!$B$5,Pemetaan!$B$6)</f>
        <v>46</v>
      </c>
      <c r="G1021" s="0" t="n">
        <f aca="false">F1021+2+D1021</f>
        <v>52</v>
      </c>
      <c r="H1021" s="0" t="n">
        <f aca="false">Pemetaan!$B$2+E1021</f>
        <v>24</v>
      </c>
      <c r="I1021" s="0" t="str">
        <f aca="false">INDEX(Laporan!$A$1:$AZ$300,G1021,1)</f>
        <v>Water Treatment</v>
      </c>
      <c r="J1021" s="0" t="str">
        <f aca="false">INDEX(Laporan!$A$1:$AZ$300,G1021,2)</f>
        <v>330 ml</v>
      </c>
      <c r="K1021" s="0" t="str">
        <f aca="false">INDEX(Laporan!$A$1:$AZ$300,G1021,3)</f>
        <v>Shift 2</v>
      </c>
      <c r="L1021" s="0" t="n">
        <f aca="false">INDEX(Laporan!$A$1:$AZ$300,G1021,4)</f>
        <v>2</v>
      </c>
      <c r="M1021" s="1" t="n">
        <f aca="false">DATE(Pemetaan!$B$1,VALUE(RIGHT(INDEX(Laporan!$A$1:$AZ$300,F1021+1,H1021),2)),VALUE(LEFT(INDEX(Laporan!$A$1:$AZ$300,F1021+1,H1021),2)))</f>
        <v>46108</v>
      </c>
      <c r="N1021" s="0" t="n">
        <f aca="false">INDEX(Laporan!$A$1:$AZ$300,G1021,H1021)</f>
        <v>16</v>
      </c>
      <c r="O1021" s="0" t="n">
        <f aca="false">IF(N1021="","",IFERROR(VALUE(SUBSTITUTE(SUBSTITUTE(N1021," btl",""),".","")),""))</f>
        <v>16</v>
      </c>
      <c r="P1021" s="0" t="str">
        <f aca="false">IF(B1021="PRODUKSI","produced","reject")</f>
        <v>reject</v>
      </c>
    </row>
    <row r="1022" customFormat="false" ht="15" hidden="false" customHeight="false" outlineLevel="0" collapsed="false">
      <c r="A1022" s="0" t="n">
        <v>1021</v>
      </c>
      <c r="B1022" s="0" t="str">
        <f aca="false">IF(A1022&lt;=36*25,"PRODUKSI","REJECT")</f>
        <v>REJECT</v>
      </c>
      <c r="C1022" s="0" t="n">
        <f aca="false">MOD(A1022-1,Pemetaan!$B$3*Pemetaan!$B$4)</f>
        <v>120</v>
      </c>
      <c r="D1022" s="0" t="n">
        <f aca="false">INT(C1022/Pemetaan!$B$4)</f>
        <v>4</v>
      </c>
      <c r="E1022" s="0" t="n">
        <f aca="false">MOD(C1022,Pemetaan!$B$4)</f>
        <v>20</v>
      </c>
      <c r="F1022" s="0" t="n">
        <f aca="false">IF(B1022="PRODUKSI",Pemetaan!$B$5,Pemetaan!$B$6)</f>
        <v>46</v>
      </c>
      <c r="G1022" s="0" t="n">
        <f aca="false">F1022+2+D1022</f>
        <v>52</v>
      </c>
      <c r="H1022" s="0" t="n">
        <f aca="false">Pemetaan!$B$2+E1022</f>
        <v>25</v>
      </c>
      <c r="I1022" s="0" t="str">
        <f aca="false">INDEX(Laporan!$A$1:$AZ$300,G1022,1)</f>
        <v>Water Treatment</v>
      </c>
      <c r="J1022" s="0" t="str">
        <f aca="false">INDEX(Laporan!$A$1:$AZ$300,G1022,2)</f>
        <v>330 ml</v>
      </c>
      <c r="K1022" s="0" t="str">
        <f aca="false">INDEX(Laporan!$A$1:$AZ$300,G1022,3)</f>
        <v>Shift 2</v>
      </c>
      <c r="L1022" s="0" t="n">
        <f aca="false">INDEX(Laporan!$A$1:$AZ$300,G1022,4)</f>
        <v>2</v>
      </c>
      <c r="M1022" s="1" t="n">
        <f aca="false">DATE(Pemetaan!$B$1,VALUE(RIGHT(INDEX(Laporan!$A$1:$AZ$300,F1022+1,H1022),2)),VALUE(LEFT(INDEX(Laporan!$A$1:$AZ$300,F1022+1,H1022),2)))</f>
        <v>46111</v>
      </c>
      <c r="N1022" s="0" t="n">
        <f aca="false">INDEX(Laporan!$A$1:$AZ$300,G1022,H1022)</f>
        <v>13</v>
      </c>
      <c r="O1022" s="0" t="n">
        <f aca="false">IF(N1022="","",IFERROR(VALUE(SUBSTITUTE(SUBSTITUTE(N1022," btl",""),".","")),""))</f>
        <v>13</v>
      </c>
      <c r="P1022" s="0" t="str">
        <f aca="false">IF(B1022="PRODUKSI","produced","reject")</f>
        <v>reject</v>
      </c>
    </row>
    <row r="1023" customFormat="false" ht="15" hidden="false" customHeight="false" outlineLevel="0" collapsed="false">
      <c r="A1023" s="0" t="n">
        <v>1022</v>
      </c>
      <c r="B1023" s="0" t="str">
        <f aca="false">IF(A1023&lt;=36*25,"PRODUKSI","REJECT")</f>
        <v>REJECT</v>
      </c>
      <c r="C1023" s="0" t="n">
        <f aca="false">MOD(A1023-1,Pemetaan!$B$3*Pemetaan!$B$4)</f>
        <v>121</v>
      </c>
      <c r="D1023" s="0" t="n">
        <f aca="false">INT(C1023/Pemetaan!$B$4)</f>
        <v>4</v>
      </c>
      <c r="E1023" s="0" t="n">
        <f aca="false">MOD(C1023,Pemetaan!$B$4)</f>
        <v>21</v>
      </c>
      <c r="F1023" s="0" t="n">
        <f aca="false">IF(B1023="PRODUKSI",Pemetaan!$B$5,Pemetaan!$B$6)</f>
        <v>46</v>
      </c>
      <c r="G1023" s="0" t="n">
        <f aca="false">F1023+2+D1023</f>
        <v>52</v>
      </c>
      <c r="H1023" s="0" t="n">
        <f aca="false">Pemetaan!$B$2+E1023</f>
        <v>26</v>
      </c>
      <c r="I1023" s="0" t="str">
        <f aca="false">INDEX(Laporan!$A$1:$AZ$300,G1023,1)</f>
        <v>Water Treatment</v>
      </c>
      <c r="J1023" s="0" t="str">
        <f aca="false">INDEX(Laporan!$A$1:$AZ$300,G1023,2)</f>
        <v>330 ml</v>
      </c>
      <c r="K1023" s="0" t="str">
        <f aca="false">INDEX(Laporan!$A$1:$AZ$300,G1023,3)</f>
        <v>Shift 2</v>
      </c>
      <c r="L1023" s="0" t="n">
        <f aca="false">INDEX(Laporan!$A$1:$AZ$300,G1023,4)</f>
        <v>2</v>
      </c>
      <c r="M1023" s="1" t="n">
        <f aca="false">DATE(Pemetaan!$B$1,VALUE(RIGHT(INDEX(Laporan!$A$1:$AZ$300,F1023+1,H1023),2)),VALUE(LEFT(INDEX(Laporan!$A$1:$AZ$300,F1023+1,H1023),2)))</f>
        <v>46112</v>
      </c>
      <c r="N1023" s="0" t="n">
        <f aca="false">INDEX(Laporan!$A$1:$AZ$300,G1023,H1023)</f>
        <v>9</v>
      </c>
      <c r="O1023" s="0" t="n">
        <f aca="false">IF(N1023="","",IFERROR(VALUE(SUBSTITUTE(SUBSTITUTE(N1023," btl",""),".","")),""))</f>
        <v>9</v>
      </c>
      <c r="P1023" s="0" t="str">
        <f aca="false">IF(B1023="PRODUKSI","produced","reject")</f>
        <v>reject</v>
      </c>
    </row>
    <row r="1024" customFormat="false" ht="15" hidden="false" customHeight="false" outlineLevel="0" collapsed="false">
      <c r="A1024" s="0" t="n">
        <v>1023</v>
      </c>
      <c r="B1024" s="0" t="str">
        <f aca="false">IF(A1024&lt;=36*25,"PRODUKSI","REJECT")</f>
        <v>REJECT</v>
      </c>
      <c r="C1024" s="0" t="n">
        <f aca="false">MOD(A1024-1,Pemetaan!$B$3*Pemetaan!$B$4)</f>
        <v>122</v>
      </c>
      <c r="D1024" s="0" t="n">
        <f aca="false">INT(C1024/Pemetaan!$B$4)</f>
        <v>4</v>
      </c>
      <c r="E1024" s="0" t="n">
        <f aca="false">MOD(C1024,Pemetaan!$B$4)</f>
        <v>22</v>
      </c>
      <c r="F1024" s="0" t="n">
        <f aca="false">IF(B1024="PRODUKSI",Pemetaan!$B$5,Pemetaan!$B$6)</f>
        <v>46</v>
      </c>
      <c r="G1024" s="0" t="n">
        <f aca="false">F1024+2+D1024</f>
        <v>52</v>
      </c>
      <c r="H1024" s="0" t="n">
        <f aca="false">Pemetaan!$B$2+E1024</f>
        <v>27</v>
      </c>
      <c r="I1024" s="0" t="str">
        <f aca="false">INDEX(Laporan!$A$1:$AZ$300,G1024,1)</f>
        <v>Water Treatment</v>
      </c>
      <c r="J1024" s="0" t="str">
        <f aca="false">INDEX(Laporan!$A$1:$AZ$300,G1024,2)</f>
        <v>330 ml</v>
      </c>
      <c r="K1024" s="0" t="str">
        <f aca="false">INDEX(Laporan!$A$1:$AZ$300,G1024,3)</f>
        <v>Shift 2</v>
      </c>
      <c r="L1024" s="0" t="n">
        <f aca="false">INDEX(Laporan!$A$1:$AZ$300,G1024,4)</f>
        <v>2</v>
      </c>
      <c r="M1024" s="1" t="n">
        <f aca="false">DATE(Pemetaan!$B$1,VALUE(RIGHT(INDEX(Laporan!$A$1:$AZ$300,F1024+1,H1024),2)),VALUE(LEFT(INDEX(Laporan!$A$1:$AZ$300,F1024+1,H1024),2)))</f>
        <v>46113</v>
      </c>
      <c r="N1024" s="0" t="n">
        <f aca="false">INDEX(Laporan!$A$1:$AZ$300,G1024,H1024)</f>
        <v>12</v>
      </c>
      <c r="O1024" s="0" t="n">
        <f aca="false">IF(N1024="","",IFERROR(VALUE(SUBSTITUTE(SUBSTITUTE(N1024," btl",""),".","")),""))</f>
        <v>12</v>
      </c>
      <c r="P1024" s="0" t="str">
        <f aca="false">IF(B1024="PRODUKSI","produced","reject")</f>
        <v>reject</v>
      </c>
    </row>
    <row r="1025" customFormat="false" ht="15" hidden="false" customHeight="false" outlineLevel="0" collapsed="false">
      <c r="A1025" s="0" t="n">
        <v>1024</v>
      </c>
      <c r="B1025" s="0" t="str">
        <f aca="false">IF(A1025&lt;=36*25,"PRODUKSI","REJECT")</f>
        <v>REJECT</v>
      </c>
      <c r="C1025" s="0" t="n">
        <f aca="false">MOD(A1025-1,Pemetaan!$B$3*Pemetaan!$B$4)</f>
        <v>123</v>
      </c>
      <c r="D1025" s="0" t="n">
        <f aca="false">INT(C1025/Pemetaan!$B$4)</f>
        <v>4</v>
      </c>
      <c r="E1025" s="0" t="n">
        <f aca="false">MOD(C1025,Pemetaan!$B$4)</f>
        <v>23</v>
      </c>
      <c r="F1025" s="0" t="n">
        <f aca="false">IF(B1025="PRODUKSI",Pemetaan!$B$5,Pemetaan!$B$6)</f>
        <v>46</v>
      </c>
      <c r="G1025" s="0" t="n">
        <f aca="false">F1025+2+D1025</f>
        <v>52</v>
      </c>
      <c r="H1025" s="0" t="n">
        <f aca="false">Pemetaan!$B$2+E1025</f>
        <v>28</v>
      </c>
      <c r="I1025" s="0" t="str">
        <f aca="false">INDEX(Laporan!$A$1:$AZ$300,G1025,1)</f>
        <v>Water Treatment</v>
      </c>
      <c r="J1025" s="0" t="str">
        <f aca="false">INDEX(Laporan!$A$1:$AZ$300,G1025,2)</f>
        <v>330 ml</v>
      </c>
      <c r="K1025" s="0" t="str">
        <f aca="false">INDEX(Laporan!$A$1:$AZ$300,G1025,3)</f>
        <v>Shift 2</v>
      </c>
      <c r="L1025" s="0" t="n">
        <f aca="false">INDEX(Laporan!$A$1:$AZ$300,G1025,4)</f>
        <v>2</v>
      </c>
      <c r="M1025" s="1" t="n">
        <f aca="false">DATE(Pemetaan!$B$1,VALUE(RIGHT(INDEX(Laporan!$A$1:$AZ$300,F1025+1,H1025),2)),VALUE(LEFT(INDEX(Laporan!$A$1:$AZ$300,F1025+1,H1025),2)))</f>
        <v>46114</v>
      </c>
      <c r="N1025" s="0" t="n">
        <f aca="false">INDEX(Laporan!$A$1:$AZ$300,G1025,H1025)</f>
        <v>11</v>
      </c>
      <c r="O1025" s="0" t="n">
        <f aca="false">IF(N1025="","",IFERROR(VALUE(SUBSTITUTE(SUBSTITUTE(N1025," btl",""),".","")),""))</f>
        <v>11</v>
      </c>
      <c r="P1025" s="0" t="str">
        <f aca="false">IF(B1025="PRODUKSI","produced","reject")</f>
        <v>reject</v>
      </c>
    </row>
    <row r="1026" customFormat="false" ht="15" hidden="false" customHeight="false" outlineLevel="0" collapsed="false">
      <c r="A1026" s="0" t="n">
        <v>1025</v>
      </c>
      <c r="B1026" s="0" t="str">
        <f aca="false">IF(A1026&lt;=36*25,"PRODUKSI","REJECT")</f>
        <v>REJECT</v>
      </c>
      <c r="C1026" s="0" t="n">
        <f aca="false">MOD(A1026-1,Pemetaan!$B$3*Pemetaan!$B$4)</f>
        <v>124</v>
      </c>
      <c r="D1026" s="0" t="n">
        <f aca="false">INT(C1026/Pemetaan!$B$4)</f>
        <v>4</v>
      </c>
      <c r="E1026" s="0" t="n">
        <f aca="false">MOD(C1026,Pemetaan!$B$4)</f>
        <v>24</v>
      </c>
      <c r="F1026" s="0" t="n">
        <f aca="false">IF(B1026="PRODUKSI",Pemetaan!$B$5,Pemetaan!$B$6)</f>
        <v>46</v>
      </c>
      <c r="G1026" s="0" t="n">
        <f aca="false">F1026+2+D1026</f>
        <v>52</v>
      </c>
      <c r="H1026" s="0" t="n">
        <f aca="false">Pemetaan!$B$2+E1026</f>
        <v>29</v>
      </c>
      <c r="I1026" s="0" t="str">
        <f aca="false">INDEX(Laporan!$A$1:$AZ$300,G1026,1)</f>
        <v>Water Treatment</v>
      </c>
      <c r="J1026" s="0" t="str">
        <f aca="false">INDEX(Laporan!$A$1:$AZ$300,G1026,2)</f>
        <v>330 ml</v>
      </c>
      <c r="K1026" s="0" t="str">
        <f aca="false">INDEX(Laporan!$A$1:$AZ$300,G1026,3)</f>
        <v>Shift 2</v>
      </c>
      <c r="L1026" s="0" t="n">
        <f aca="false">INDEX(Laporan!$A$1:$AZ$300,G1026,4)</f>
        <v>2</v>
      </c>
      <c r="M1026" s="1" t="n">
        <f aca="false">DATE(Pemetaan!$B$1,VALUE(RIGHT(INDEX(Laporan!$A$1:$AZ$300,F1026+1,H1026),2)),VALUE(LEFT(INDEX(Laporan!$A$1:$AZ$300,F1026+1,H1026),2)))</f>
        <v>46115</v>
      </c>
      <c r="N1026" s="0" t="n">
        <f aca="false">INDEX(Laporan!$A$1:$AZ$300,G1026,H1026)</f>
        <v>13</v>
      </c>
      <c r="O1026" s="0" t="n">
        <f aca="false">IF(N1026="","",IFERROR(VALUE(SUBSTITUTE(SUBSTITUTE(N1026," btl",""),".","")),""))</f>
        <v>13</v>
      </c>
      <c r="P1026" s="0" t="str">
        <f aca="false">IF(B1026="PRODUKSI","produced","reject")</f>
        <v>reject</v>
      </c>
    </row>
    <row r="1027" customFormat="false" ht="15" hidden="false" customHeight="false" outlineLevel="0" collapsed="false">
      <c r="A1027" s="0" t="n">
        <v>1026</v>
      </c>
      <c r="B1027" s="0" t="str">
        <f aca="false">IF(A1027&lt;=36*25,"PRODUKSI","REJECT")</f>
        <v>REJECT</v>
      </c>
      <c r="C1027" s="0" t="n">
        <f aca="false">MOD(A1027-1,Pemetaan!$B$3*Pemetaan!$B$4)</f>
        <v>125</v>
      </c>
      <c r="D1027" s="0" t="n">
        <f aca="false">INT(C1027/Pemetaan!$B$4)</f>
        <v>5</v>
      </c>
      <c r="E1027" s="0" t="n">
        <f aca="false">MOD(C1027,Pemetaan!$B$4)</f>
        <v>0</v>
      </c>
      <c r="F1027" s="0" t="n">
        <f aca="false">IF(B1027="PRODUKSI",Pemetaan!$B$5,Pemetaan!$B$6)</f>
        <v>46</v>
      </c>
      <c r="G1027" s="0" t="n">
        <f aca="false">F1027+2+D1027</f>
        <v>53</v>
      </c>
      <c r="H1027" s="0" t="n">
        <f aca="false">Pemetaan!$B$2+E1027</f>
        <v>5</v>
      </c>
      <c r="I1027" s="0" t="str">
        <f aca="false">INDEX(Laporan!$A$1:$AZ$300,G1027,1)</f>
        <v>Water Treatment</v>
      </c>
      <c r="J1027" s="0" t="str">
        <f aca="false">INDEX(Laporan!$A$1:$AZ$300,G1027,2)</f>
        <v>330 ml</v>
      </c>
      <c r="K1027" s="0" t="str">
        <f aca="false">INDEX(Laporan!$A$1:$AZ$300,G1027,3)</f>
        <v>Shift 2</v>
      </c>
      <c r="L1027" s="0" t="n">
        <f aca="false">INDEX(Laporan!$A$1:$AZ$300,G1027,4)</f>
        <v>3</v>
      </c>
      <c r="M1027" s="1" t="n">
        <f aca="false">DATE(Pemetaan!$B$1,VALUE(RIGHT(INDEX(Laporan!$A$1:$AZ$300,F1027+1,H1027),2)),VALUE(LEFT(INDEX(Laporan!$A$1:$AZ$300,F1027+1,H1027),2)))</f>
        <v>46083</v>
      </c>
      <c r="N1027" s="0" t="n">
        <f aca="false">INDEX(Laporan!$A$1:$AZ$300,G1027,H1027)</f>
        <v>10</v>
      </c>
      <c r="O1027" s="0" t="n">
        <f aca="false">IF(N1027="","",IFERROR(VALUE(SUBSTITUTE(SUBSTITUTE(N1027," btl",""),".","")),""))</f>
        <v>10</v>
      </c>
      <c r="P1027" s="0" t="str">
        <f aca="false">IF(B1027="PRODUKSI","produced","reject")</f>
        <v>reject</v>
      </c>
    </row>
    <row r="1028" customFormat="false" ht="15" hidden="false" customHeight="false" outlineLevel="0" collapsed="false">
      <c r="A1028" s="0" t="n">
        <v>1027</v>
      </c>
      <c r="B1028" s="0" t="str">
        <f aca="false">IF(A1028&lt;=36*25,"PRODUKSI","REJECT")</f>
        <v>REJECT</v>
      </c>
      <c r="C1028" s="0" t="n">
        <f aca="false">MOD(A1028-1,Pemetaan!$B$3*Pemetaan!$B$4)</f>
        <v>126</v>
      </c>
      <c r="D1028" s="0" t="n">
        <f aca="false">INT(C1028/Pemetaan!$B$4)</f>
        <v>5</v>
      </c>
      <c r="E1028" s="0" t="n">
        <f aca="false">MOD(C1028,Pemetaan!$B$4)</f>
        <v>1</v>
      </c>
      <c r="F1028" s="0" t="n">
        <f aca="false">IF(B1028="PRODUKSI",Pemetaan!$B$5,Pemetaan!$B$6)</f>
        <v>46</v>
      </c>
      <c r="G1028" s="0" t="n">
        <f aca="false">F1028+2+D1028</f>
        <v>53</v>
      </c>
      <c r="H1028" s="0" t="n">
        <f aca="false">Pemetaan!$B$2+E1028</f>
        <v>6</v>
      </c>
      <c r="I1028" s="0" t="str">
        <f aca="false">INDEX(Laporan!$A$1:$AZ$300,G1028,1)</f>
        <v>Water Treatment</v>
      </c>
      <c r="J1028" s="0" t="str">
        <f aca="false">INDEX(Laporan!$A$1:$AZ$300,G1028,2)</f>
        <v>330 ml</v>
      </c>
      <c r="K1028" s="0" t="str">
        <f aca="false">INDEX(Laporan!$A$1:$AZ$300,G1028,3)</f>
        <v>Shift 2</v>
      </c>
      <c r="L1028" s="0" t="n">
        <f aca="false">INDEX(Laporan!$A$1:$AZ$300,G1028,4)</f>
        <v>3</v>
      </c>
      <c r="M1028" s="1" t="n">
        <f aca="false">DATE(Pemetaan!$B$1,VALUE(RIGHT(INDEX(Laporan!$A$1:$AZ$300,F1028+1,H1028),2)),VALUE(LEFT(INDEX(Laporan!$A$1:$AZ$300,F1028+1,H1028),2)))</f>
        <v>46084</v>
      </c>
      <c r="N1028" s="0" t="n">
        <f aca="false">INDEX(Laporan!$A$1:$AZ$300,G1028,H1028)</f>
        <v>5</v>
      </c>
      <c r="O1028" s="0" t="n">
        <f aca="false">IF(N1028="","",IFERROR(VALUE(SUBSTITUTE(SUBSTITUTE(N1028," btl",""),".","")),""))</f>
        <v>5</v>
      </c>
      <c r="P1028" s="0" t="str">
        <f aca="false">IF(B1028="PRODUKSI","produced","reject")</f>
        <v>reject</v>
      </c>
    </row>
    <row r="1029" customFormat="false" ht="15" hidden="false" customHeight="false" outlineLevel="0" collapsed="false">
      <c r="A1029" s="0" t="n">
        <v>1028</v>
      </c>
      <c r="B1029" s="0" t="str">
        <f aca="false">IF(A1029&lt;=36*25,"PRODUKSI","REJECT")</f>
        <v>REJECT</v>
      </c>
      <c r="C1029" s="0" t="n">
        <f aca="false">MOD(A1029-1,Pemetaan!$B$3*Pemetaan!$B$4)</f>
        <v>127</v>
      </c>
      <c r="D1029" s="0" t="n">
        <f aca="false">INT(C1029/Pemetaan!$B$4)</f>
        <v>5</v>
      </c>
      <c r="E1029" s="0" t="n">
        <f aca="false">MOD(C1029,Pemetaan!$B$4)</f>
        <v>2</v>
      </c>
      <c r="F1029" s="0" t="n">
        <f aca="false">IF(B1029="PRODUKSI",Pemetaan!$B$5,Pemetaan!$B$6)</f>
        <v>46</v>
      </c>
      <c r="G1029" s="0" t="n">
        <f aca="false">F1029+2+D1029</f>
        <v>53</v>
      </c>
      <c r="H1029" s="0" t="n">
        <f aca="false">Pemetaan!$B$2+E1029</f>
        <v>7</v>
      </c>
      <c r="I1029" s="0" t="str">
        <f aca="false">INDEX(Laporan!$A$1:$AZ$300,G1029,1)</f>
        <v>Water Treatment</v>
      </c>
      <c r="J1029" s="0" t="str">
        <f aca="false">INDEX(Laporan!$A$1:$AZ$300,G1029,2)</f>
        <v>330 ml</v>
      </c>
      <c r="K1029" s="0" t="str">
        <f aca="false">INDEX(Laporan!$A$1:$AZ$300,G1029,3)</f>
        <v>Shift 2</v>
      </c>
      <c r="L1029" s="0" t="n">
        <f aca="false">INDEX(Laporan!$A$1:$AZ$300,G1029,4)</f>
        <v>3</v>
      </c>
      <c r="M1029" s="1" t="n">
        <f aca="false">DATE(Pemetaan!$B$1,VALUE(RIGHT(INDEX(Laporan!$A$1:$AZ$300,F1029+1,H1029),2)),VALUE(LEFT(INDEX(Laporan!$A$1:$AZ$300,F1029+1,H1029),2)))</f>
        <v>46085</v>
      </c>
      <c r="N1029" s="0" t="n">
        <f aca="false">INDEX(Laporan!$A$1:$AZ$300,G1029,H1029)</f>
        <v>15</v>
      </c>
      <c r="O1029" s="0" t="n">
        <f aca="false">IF(N1029="","",IFERROR(VALUE(SUBSTITUTE(SUBSTITUTE(N1029," btl",""),".","")),""))</f>
        <v>15</v>
      </c>
      <c r="P1029" s="0" t="str">
        <f aca="false">IF(B1029="PRODUKSI","produced","reject")</f>
        <v>reject</v>
      </c>
    </row>
    <row r="1030" customFormat="false" ht="15" hidden="false" customHeight="false" outlineLevel="0" collapsed="false">
      <c r="A1030" s="0" t="n">
        <v>1029</v>
      </c>
      <c r="B1030" s="0" t="str">
        <f aca="false">IF(A1030&lt;=36*25,"PRODUKSI","REJECT")</f>
        <v>REJECT</v>
      </c>
      <c r="C1030" s="0" t="n">
        <f aca="false">MOD(A1030-1,Pemetaan!$B$3*Pemetaan!$B$4)</f>
        <v>128</v>
      </c>
      <c r="D1030" s="0" t="n">
        <f aca="false">INT(C1030/Pemetaan!$B$4)</f>
        <v>5</v>
      </c>
      <c r="E1030" s="0" t="n">
        <f aca="false">MOD(C1030,Pemetaan!$B$4)</f>
        <v>3</v>
      </c>
      <c r="F1030" s="0" t="n">
        <f aca="false">IF(B1030="PRODUKSI",Pemetaan!$B$5,Pemetaan!$B$6)</f>
        <v>46</v>
      </c>
      <c r="G1030" s="0" t="n">
        <f aca="false">F1030+2+D1030</f>
        <v>53</v>
      </c>
      <c r="H1030" s="0" t="n">
        <f aca="false">Pemetaan!$B$2+E1030</f>
        <v>8</v>
      </c>
      <c r="I1030" s="0" t="str">
        <f aca="false">INDEX(Laporan!$A$1:$AZ$300,G1030,1)</f>
        <v>Water Treatment</v>
      </c>
      <c r="J1030" s="0" t="str">
        <f aca="false">INDEX(Laporan!$A$1:$AZ$300,G1030,2)</f>
        <v>330 ml</v>
      </c>
      <c r="K1030" s="0" t="str">
        <f aca="false">INDEX(Laporan!$A$1:$AZ$300,G1030,3)</f>
        <v>Shift 2</v>
      </c>
      <c r="L1030" s="0" t="n">
        <f aca="false">INDEX(Laporan!$A$1:$AZ$300,G1030,4)</f>
        <v>3</v>
      </c>
      <c r="M1030" s="1" t="n">
        <f aca="false">DATE(Pemetaan!$B$1,VALUE(RIGHT(INDEX(Laporan!$A$1:$AZ$300,F1030+1,H1030),2)),VALUE(LEFT(INDEX(Laporan!$A$1:$AZ$300,F1030+1,H1030),2)))</f>
        <v>46086</v>
      </c>
      <c r="N1030" s="0" t="str">
        <f aca="false">INDEX(Laporan!$A$1:$AZ$300,G1030,H1030)</f>
        <v>13 btl</v>
      </c>
      <c r="O1030" s="0" t="n">
        <f aca="false">IF(N1030="","",IFERROR(VALUE(SUBSTITUTE(SUBSTITUTE(N1030," btl",""),".","")),""))</f>
        <v>13</v>
      </c>
      <c r="P1030" s="0" t="str">
        <f aca="false">IF(B1030="PRODUKSI","produced","reject")</f>
        <v>reject</v>
      </c>
    </row>
    <row r="1031" customFormat="false" ht="15" hidden="false" customHeight="false" outlineLevel="0" collapsed="false">
      <c r="A1031" s="0" t="n">
        <v>1030</v>
      </c>
      <c r="B1031" s="0" t="str">
        <f aca="false">IF(A1031&lt;=36*25,"PRODUKSI","REJECT")</f>
        <v>REJECT</v>
      </c>
      <c r="C1031" s="0" t="n">
        <f aca="false">MOD(A1031-1,Pemetaan!$B$3*Pemetaan!$B$4)</f>
        <v>129</v>
      </c>
      <c r="D1031" s="0" t="n">
        <f aca="false">INT(C1031/Pemetaan!$B$4)</f>
        <v>5</v>
      </c>
      <c r="E1031" s="0" t="n">
        <f aca="false">MOD(C1031,Pemetaan!$B$4)</f>
        <v>4</v>
      </c>
      <c r="F1031" s="0" t="n">
        <f aca="false">IF(B1031="PRODUKSI",Pemetaan!$B$5,Pemetaan!$B$6)</f>
        <v>46</v>
      </c>
      <c r="G1031" s="0" t="n">
        <f aca="false">F1031+2+D1031</f>
        <v>53</v>
      </c>
      <c r="H1031" s="0" t="n">
        <f aca="false">Pemetaan!$B$2+E1031</f>
        <v>9</v>
      </c>
      <c r="I1031" s="0" t="str">
        <f aca="false">INDEX(Laporan!$A$1:$AZ$300,G1031,1)</f>
        <v>Water Treatment</v>
      </c>
      <c r="J1031" s="0" t="str">
        <f aca="false">INDEX(Laporan!$A$1:$AZ$300,G1031,2)</f>
        <v>330 ml</v>
      </c>
      <c r="K1031" s="0" t="str">
        <f aca="false">INDEX(Laporan!$A$1:$AZ$300,G1031,3)</f>
        <v>Shift 2</v>
      </c>
      <c r="L1031" s="0" t="n">
        <f aca="false">INDEX(Laporan!$A$1:$AZ$300,G1031,4)</f>
        <v>3</v>
      </c>
      <c r="M1031" s="1" t="n">
        <f aca="false">DATE(Pemetaan!$B$1,VALUE(RIGHT(INDEX(Laporan!$A$1:$AZ$300,F1031+1,H1031),2)),VALUE(LEFT(INDEX(Laporan!$A$1:$AZ$300,F1031+1,H1031),2)))</f>
        <v>46087</v>
      </c>
      <c r="N1031" s="0" t="n">
        <f aca="false">INDEX(Laporan!$A$1:$AZ$300,G1031,H1031)</f>
        <v>14</v>
      </c>
      <c r="O1031" s="0" t="n">
        <f aca="false">IF(N1031="","",IFERROR(VALUE(SUBSTITUTE(SUBSTITUTE(N1031," btl",""),".","")),""))</f>
        <v>14</v>
      </c>
      <c r="P1031" s="0" t="str">
        <f aca="false">IF(B1031="PRODUKSI","produced","reject")</f>
        <v>reject</v>
      </c>
    </row>
    <row r="1032" customFormat="false" ht="15" hidden="false" customHeight="false" outlineLevel="0" collapsed="false">
      <c r="A1032" s="0" t="n">
        <v>1031</v>
      </c>
      <c r="B1032" s="0" t="str">
        <f aca="false">IF(A1032&lt;=36*25,"PRODUKSI","REJECT")</f>
        <v>REJECT</v>
      </c>
      <c r="C1032" s="0" t="n">
        <f aca="false">MOD(A1032-1,Pemetaan!$B$3*Pemetaan!$B$4)</f>
        <v>130</v>
      </c>
      <c r="D1032" s="0" t="n">
        <f aca="false">INT(C1032/Pemetaan!$B$4)</f>
        <v>5</v>
      </c>
      <c r="E1032" s="0" t="n">
        <f aca="false">MOD(C1032,Pemetaan!$B$4)</f>
        <v>5</v>
      </c>
      <c r="F1032" s="0" t="n">
        <f aca="false">IF(B1032="PRODUKSI",Pemetaan!$B$5,Pemetaan!$B$6)</f>
        <v>46</v>
      </c>
      <c r="G1032" s="0" t="n">
        <f aca="false">F1032+2+D1032</f>
        <v>53</v>
      </c>
      <c r="H1032" s="0" t="n">
        <f aca="false">Pemetaan!$B$2+E1032</f>
        <v>10</v>
      </c>
      <c r="I1032" s="0" t="str">
        <f aca="false">INDEX(Laporan!$A$1:$AZ$300,G1032,1)</f>
        <v>Water Treatment</v>
      </c>
      <c r="J1032" s="0" t="str">
        <f aca="false">INDEX(Laporan!$A$1:$AZ$300,G1032,2)</f>
        <v>330 ml</v>
      </c>
      <c r="K1032" s="0" t="str">
        <f aca="false">INDEX(Laporan!$A$1:$AZ$300,G1032,3)</f>
        <v>Shift 2</v>
      </c>
      <c r="L1032" s="0" t="n">
        <f aca="false">INDEX(Laporan!$A$1:$AZ$300,G1032,4)</f>
        <v>3</v>
      </c>
      <c r="M1032" s="1" t="n">
        <f aca="false">DATE(Pemetaan!$B$1,VALUE(RIGHT(INDEX(Laporan!$A$1:$AZ$300,F1032+1,H1032),2)),VALUE(LEFT(INDEX(Laporan!$A$1:$AZ$300,F1032+1,H1032),2)))</f>
        <v>46090</v>
      </c>
      <c r="N1032" s="0" t="n">
        <f aca="false">INDEX(Laporan!$A$1:$AZ$300,G1032,H1032)</f>
        <v>14</v>
      </c>
      <c r="O1032" s="0" t="n">
        <f aca="false">IF(N1032="","",IFERROR(VALUE(SUBSTITUTE(SUBSTITUTE(N1032," btl",""),".","")),""))</f>
        <v>14</v>
      </c>
      <c r="P1032" s="0" t="str">
        <f aca="false">IF(B1032="PRODUKSI","produced","reject")</f>
        <v>reject</v>
      </c>
    </row>
    <row r="1033" customFormat="false" ht="15" hidden="false" customHeight="false" outlineLevel="0" collapsed="false">
      <c r="A1033" s="0" t="n">
        <v>1032</v>
      </c>
      <c r="B1033" s="0" t="str">
        <f aca="false">IF(A1033&lt;=36*25,"PRODUKSI","REJECT")</f>
        <v>REJECT</v>
      </c>
      <c r="C1033" s="0" t="n">
        <f aca="false">MOD(A1033-1,Pemetaan!$B$3*Pemetaan!$B$4)</f>
        <v>131</v>
      </c>
      <c r="D1033" s="0" t="n">
        <f aca="false">INT(C1033/Pemetaan!$B$4)</f>
        <v>5</v>
      </c>
      <c r="E1033" s="0" t="n">
        <f aca="false">MOD(C1033,Pemetaan!$B$4)</f>
        <v>6</v>
      </c>
      <c r="F1033" s="0" t="n">
        <f aca="false">IF(B1033="PRODUKSI",Pemetaan!$B$5,Pemetaan!$B$6)</f>
        <v>46</v>
      </c>
      <c r="G1033" s="0" t="n">
        <f aca="false">F1033+2+D1033</f>
        <v>53</v>
      </c>
      <c r="H1033" s="0" t="n">
        <f aca="false">Pemetaan!$B$2+E1033</f>
        <v>11</v>
      </c>
      <c r="I1033" s="0" t="str">
        <f aca="false">INDEX(Laporan!$A$1:$AZ$300,G1033,1)</f>
        <v>Water Treatment</v>
      </c>
      <c r="J1033" s="0" t="str">
        <f aca="false">INDEX(Laporan!$A$1:$AZ$300,G1033,2)</f>
        <v>330 ml</v>
      </c>
      <c r="K1033" s="0" t="str">
        <f aca="false">INDEX(Laporan!$A$1:$AZ$300,G1033,3)</f>
        <v>Shift 2</v>
      </c>
      <c r="L1033" s="0" t="n">
        <f aca="false">INDEX(Laporan!$A$1:$AZ$300,G1033,4)</f>
        <v>3</v>
      </c>
      <c r="M1033" s="1" t="n">
        <f aca="false">DATE(Pemetaan!$B$1,VALUE(RIGHT(INDEX(Laporan!$A$1:$AZ$300,F1033+1,H1033),2)),VALUE(LEFT(INDEX(Laporan!$A$1:$AZ$300,F1033+1,H1033),2)))</f>
        <v>46091</v>
      </c>
      <c r="N1033" s="0" t="n">
        <f aca="false">INDEX(Laporan!$A$1:$AZ$300,G1033,H1033)</f>
        <v>12</v>
      </c>
      <c r="O1033" s="0" t="n">
        <f aca="false">IF(N1033="","",IFERROR(VALUE(SUBSTITUTE(SUBSTITUTE(N1033," btl",""),".","")),""))</f>
        <v>12</v>
      </c>
      <c r="P1033" s="0" t="str">
        <f aca="false">IF(B1033="PRODUKSI","produced","reject")</f>
        <v>reject</v>
      </c>
    </row>
    <row r="1034" customFormat="false" ht="15" hidden="false" customHeight="false" outlineLevel="0" collapsed="false">
      <c r="A1034" s="0" t="n">
        <v>1033</v>
      </c>
      <c r="B1034" s="0" t="str">
        <f aca="false">IF(A1034&lt;=36*25,"PRODUKSI","REJECT")</f>
        <v>REJECT</v>
      </c>
      <c r="C1034" s="0" t="n">
        <f aca="false">MOD(A1034-1,Pemetaan!$B$3*Pemetaan!$B$4)</f>
        <v>132</v>
      </c>
      <c r="D1034" s="0" t="n">
        <f aca="false">INT(C1034/Pemetaan!$B$4)</f>
        <v>5</v>
      </c>
      <c r="E1034" s="0" t="n">
        <f aca="false">MOD(C1034,Pemetaan!$B$4)</f>
        <v>7</v>
      </c>
      <c r="F1034" s="0" t="n">
        <f aca="false">IF(B1034="PRODUKSI",Pemetaan!$B$5,Pemetaan!$B$6)</f>
        <v>46</v>
      </c>
      <c r="G1034" s="0" t="n">
        <f aca="false">F1034+2+D1034</f>
        <v>53</v>
      </c>
      <c r="H1034" s="0" t="n">
        <f aca="false">Pemetaan!$B$2+E1034</f>
        <v>12</v>
      </c>
      <c r="I1034" s="0" t="str">
        <f aca="false">INDEX(Laporan!$A$1:$AZ$300,G1034,1)</f>
        <v>Water Treatment</v>
      </c>
      <c r="J1034" s="0" t="str">
        <f aca="false">INDEX(Laporan!$A$1:$AZ$300,G1034,2)</f>
        <v>330 ml</v>
      </c>
      <c r="K1034" s="0" t="str">
        <f aca="false">INDEX(Laporan!$A$1:$AZ$300,G1034,3)</f>
        <v>Shift 2</v>
      </c>
      <c r="L1034" s="0" t="n">
        <f aca="false">INDEX(Laporan!$A$1:$AZ$300,G1034,4)</f>
        <v>3</v>
      </c>
      <c r="M1034" s="1" t="n">
        <f aca="false">DATE(Pemetaan!$B$1,VALUE(RIGHT(INDEX(Laporan!$A$1:$AZ$300,F1034+1,H1034),2)),VALUE(LEFT(INDEX(Laporan!$A$1:$AZ$300,F1034+1,H1034),2)))</f>
        <v>46092</v>
      </c>
      <c r="N1034" s="0" t="n">
        <f aca="false">INDEX(Laporan!$A$1:$AZ$300,G1034,H1034)</f>
        <v>9</v>
      </c>
      <c r="O1034" s="0" t="n">
        <f aca="false">IF(N1034="","",IFERROR(VALUE(SUBSTITUTE(SUBSTITUTE(N1034," btl",""),".","")),""))</f>
        <v>9</v>
      </c>
      <c r="P1034" s="0" t="str">
        <f aca="false">IF(B1034="PRODUKSI","produced","reject")</f>
        <v>reject</v>
      </c>
    </row>
    <row r="1035" customFormat="false" ht="15" hidden="false" customHeight="false" outlineLevel="0" collapsed="false">
      <c r="A1035" s="0" t="n">
        <v>1034</v>
      </c>
      <c r="B1035" s="0" t="str">
        <f aca="false">IF(A1035&lt;=36*25,"PRODUKSI","REJECT")</f>
        <v>REJECT</v>
      </c>
      <c r="C1035" s="0" t="n">
        <f aca="false">MOD(A1035-1,Pemetaan!$B$3*Pemetaan!$B$4)</f>
        <v>133</v>
      </c>
      <c r="D1035" s="0" t="n">
        <f aca="false">INT(C1035/Pemetaan!$B$4)</f>
        <v>5</v>
      </c>
      <c r="E1035" s="0" t="n">
        <f aca="false">MOD(C1035,Pemetaan!$B$4)</f>
        <v>8</v>
      </c>
      <c r="F1035" s="0" t="n">
        <f aca="false">IF(B1035="PRODUKSI",Pemetaan!$B$5,Pemetaan!$B$6)</f>
        <v>46</v>
      </c>
      <c r="G1035" s="0" t="n">
        <f aca="false">F1035+2+D1035</f>
        <v>53</v>
      </c>
      <c r="H1035" s="0" t="n">
        <f aca="false">Pemetaan!$B$2+E1035</f>
        <v>13</v>
      </c>
      <c r="I1035" s="0" t="str">
        <f aca="false">INDEX(Laporan!$A$1:$AZ$300,G1035,1)</f>
        <v>Water Treatment</v>
      </c>
      <c r="J1035" s="0" t="str">
        <f aca="false">INDEX(Laporan!$A$1:$AZ$300,G1035,2)</f>
        <v>330 ml</v>
      </c>
      <c r="K1035" s="0" t="str">
        <f aca="false">INDEX(Laporan!$A$1:$AZ$300,G1035,3)</f>
        <v>Shift 2</v>
      </c>
      <c r="L1035" s="0" t="n">
        <f aca="false">INDEX(Laporan!$A$1:$AZ$300,G1035,4)</f>
        <v>3</v>
      </c>
      <c r="M1035" s="1" t="n">
        <f aca="false">DATE(Pemetaan!$B$1,VALUE(RIGHT(INDEX(Laporan!$A$1:$AZ$300,F1035+1,H1035),2)),VALUE(LEFT(INDEX(Laporan!$A$1:$AZ$300,F1035+1,H1035),2)))</f>
        <v>46093</v>
      </c>
      <c r="N1035" s="0" t="n">
        <f aca="false">INDEX(Laporan!$A$1:$AZ$300,G1035,H1035)</f>
        <v>11</v>
      </c>
      <c r="O1035" s="0" t="n">
        <f aca="false">IF(N1035="","",IFERROR(VALUE(SUBSTITUTE(SUBSTITUTE(N1035," btl",""),".","")),""))</f>
        <v>11</v>
      </c>
      <c r="P1035" s="0" t="str">
        <f aca="false">IF(B1035="PRODUKSI","produced","reject")</f>
        <v>reject</v>
      </c>
    </row>
    <row r="1036" customFormat="false" ht="15" hidden="false" customHeight="false" outlineLevel="0" collapsed="false">
      <c r="A1036" s="0" t="n">
        <v>1035</v>
      </c>
      <c r="B1036" s="0" t="str">
        <f aca="false">IF(A1036&lt;=36*25,"PRODUKSI","REJECT")</f>
        <v>REJECT</v>
      </c>
      <c r="C1036" s="0" t="n">
        <f aca="false">MOD(A1036-1,Pemetaan!$B$3*Pemetaan!$B$4)</f>
        <v>134</v>
      </c>
      <c r="D1036" s="0" t="n">
        <f aca="false">INT(C1036/Pemetaan!$B$4)</f>
        <v>5</v>
      </c>
      <c r="E1036" s="0" t="n">
        <f aca="false">MOD(C1036,Pemetaan!$B$4)</f>
        <v>9</v>
      </c>
      <c r="F1036" s="0" t="n">
        <f aca="false">IF(B1036="PRODUKSI",Pemetaan!$B$5,Pemetaan!$B$6)</f>
        <v>46</v>
      </c>
      <c r="G1036" s="0" t="n">
        <f aca="false">F1036+2+D1036</f>
        <v>53</v>
      </c>
      <c r="H1036" s="0" t="n">
        <f aca="false">Pemetaan!$B$2+E1036</f>
        <v>14</v>
      </c>
      <c r="I1036" s="0" t="str">
        <f aca="false">INDEX(Laporan!$A$1:$AZ$300,G1036,1)</f>
        <v>Water Treatment</v>
      </c>
      <c r="J1036" s="0" t="str">
        <f aca="false">INDEX(Laporan!$A$1:$AZ$300,G1036,2)</f>
        <v>330 ml</v>
      </c>
      <c r="K1036" s="0" t="str">
        <f aca="false">INDEX(Laporan!$A$1:$AZ$300,G1036,3)</f>
        <v>Shift 2</v>
      </c>
      <c r="L1036" s="0" t="n">
        <f aca="false">INDEX(Laporan!$A$1:$AZ$300,G1036,4)</f>
        <v>3</v>
      </c>
      <c r="M1036" s="1" t="n">
        <f aca="false">DATE(Pemetaan!$B$1,VALUE(RIGHT(INDEX(Laporan!$A$1:$AZ$300,F1036+1,H1036),2)),VALUE(LEFT(INDEX(Laporan!$A$1:$AZ$300,F1036+1,H1036),2)))</f>
        <v>46094</v>
      </c>
      <c r="N1036" s="0" t="n">
        <f aca="false">INDEX(Laporan!$A$1:$AZ$300,G1036,H1036)</f>
        <v>11</v>
      </c>
      <c r="O1036" s="0" t="n">
        <f aca="false">IF(N1036="","",IFERROR(VALUE(SUBSTITUTE(SUBSTITUTE(N1036," btl",""),".","")),""))</f>
        <v>11</v>
      </c>
      <c r="P1036" s="0" t="str">
        <f aca="false">IF(B1036="PRODUKSI","produced","reject")</f>
        <v>reject</v>
      </c>
    </row>
    <row r="1037" customFormat="false" ht="15" hidden="false" customHeight="false" outlineLevel="0" collapsed="false">
      <c r="A1037" s="0" t="n">
        <v>1036</v>
      </c>
      <c r="B1037" s="0" t="str">
        <f aca="false">IF(A1037&lt;=36*25,"PRODUKSI","REJECT")</f>
        <v>REJECT</v>
      </c>
      <c r="C1037" s="0" t="n">
        <f aca="false">MOD(A1037-1,Pemetaan!$B$3*Pemetaan!$B$4)</f>
        <v>135</v>
      </c>
      <c r="D1037" s="0" t="n">
        <f aca="false">INT(C1037/Pemetaan!$B$4)</f>
        <v>5</v>
      </c>
      <c r="E1037" s="0" t="n">
        <f aca="false">MOD(C1037,Pemetaan!$B$4)</f>
        <v>10</v>
      </c>
      <c r="F1037" s="0" t="n">
        <f aca="false">IF(B1037="PRODUKSI",Pemetaan!$B$5,Pemetaan!$B$6)</f>
        <v>46</v>
      </c>
      <c r="G1037" s="0" t="n">
        <f aca="false">F1037+2+D1037</f>
        <v>53</v>
      </c>
      <c r="H1037" s="0" t="n">
        <f aca="false">Pemetaan!$B$2+E1037</f>
        <v>15</v>
      </c>
      <c r="I1037" s="0" t="str">
        <f aca="false">INDEX(Laporan!$A$1:$AZ$300,G1037,1)</f>
        <v>Water Treatment</v>
      </c>
      <c r="J1037" s="0" t="str">
        <f aca="false">INDEX(Laporan!$A$1:$AZ$300,G1037,2)</f>
        <v>330 ml</v>
      </c>
      <c r="K1037" s="0" t="str">
        <f aca="false">INDEX(Laporan!$A$1:$AZ$300,G1037,3)</f>
        <v>Shift 2</v>
      </c>
      <c r="L1037" s="0" t="n">
        <f aca="false">INDEX(Laporan!$A$1:$AZ$300,G1037,4)</f>
        <v>3</v>
      </c>
      <c r="M1037" s="1" t="n">
        <f aca="false">DATE(Pemetaan!$B$1,VALUE(RIGHT(INDEX(Laporan!$A$1:$AZ$300,F1037+1,H1037),2)),VALUE(LEFT(INDEX(Laporan!$A$1:$AZ$300,F1037+1,H1037),2)))</f>
        <v>46097</v>
      </c>
      <c r="N1037" s="0" t="n">
        <f aca="false">INDEX(Laporan!$A$1:$AZ$300,G1037,H1037)</f>
        <v>16</v>
      </c>
      <c r="O1037" s="0" t="n">
        <f aca="false">IF(N1037="","",IFERROR(VALUE(SUBSTITUTE(SUBSTITUTE(N1037," btl",""),".","")),""))</f>
        <v>16</v>
      </c>
      <c r="P1037" s="0" t="str">
        <f aca="false">IF(B1037="PRODUKSI","produced","reject")</f>
        <v>reject</v>
      </c>
    </row>
    <row r="1038" customFormat="false" ht="15" hidden="false" customHeight="false" outlineLevel="0" collapsed="false">
      <c r="A1038" s="0" t="n">
        <v>1037</v>
      </c>
      <c r="B1038" s="0" t="str">
        <f aca="false">IF(A1038&lt;=36*25,"PRODUKSI","REJECT")</f>
        <v>REJECT</v>
      </c>
      <c r="C1038" s="0" t="n">
        <f aca="false">MOD(A1038-1,Pemetaan!$B$3*Pemetaan!$B$4)</f>
        <v>136</v>
      </c>
      <c r="D1038" s="0" t="n">
        <f aca="false">INT(C1038/Pemetaan!$B$4)</f>
        <v>5</v>
      </c>
      <c r="E1038" s="0" t="n">
        <f aca="false">MOD(C1038,Pemetaan!$B$4)</f>
        <v>11</v>
      </c>
      <c r="F1038" s="0" t="n">
        <f aca="false">IF(B1038="PRODUKSI",Pemetaan!$B$5,Pemetaan!$B$6)</f>
        <v>46</v>
      </c>
      <c r="G1038" s="0" t="n">
        <f aca="false">F1038+2+D1038</f>
        <v>53</v>
      </c>
      <c r="H1038" s="0" t="n">
        <f aca="false">Pemetaan!$B$2+E1038</f>
        <v>16</v>
      </c>
      <c r="I1038" s="0" t="str">
        <f aca="false">INDEX(Laporan!$A$1:$AZ$300,G1038,1)</f>
        <v>Water Treatment</v>
      </c>
      <c r="J1038" s="0" t="str">
        <f aca="false">INDEX(Laporan!$A$1:$AZ$300,G1038,2)</f>
        <v>330 ml</v>
      </c>
      <c r="K1038" s="0" t="str">
        <f aca="false">INDEX(Laporan!$A$1:$AZ$300,G1038,3)</f>
        <v>Shift 2</v>
      </c>
      <c r="L1038" s="0" t="n">
        <f aca="false">INDEX(Laporan!$A$1:$AZ$300,G1038,4)</f>
        <v>3</v>
      </c>
      <c r="M1038" s="1" t="n">
        <f aca="false">DATE(Pemetaan!$B$1,VALUE(RIGHT(INDEX(Laporan!$A$1:$AZ$300,F1038+1,H1038),2)),VALUE(LEFT(INDEX(Laporan!$A$1:$AZ$300,F1038+1,H1038),2)))</f>
        <v>46098</v>
      </c>
      <c r="N1038" s="0" t="n">
        <f aca="false">INDEX(Laporan!$A$1:$AZ$300,G1038,H1038)</f>
        <v>19</v>
      </c>
      <c r="O1038" s="0" t="n">
        <f aca="false">IF(N1038="","",IFERROR(VALUE(SUBSTITUTE(SUBSTITUTE(N1038," btl",""),".","")),""))</f>
        <v>19</v>
      </c>
      <c r="P1038" s="0" t="str">
        <f aca="false">IF(B1038="PRODUKSI","produced","reject")</f>
        <v>reject</v>
      </c>
    </row>
    <row r="1039" customFormat="false" ht="15" hidden="false" customHeight="false" outlineLevel="0" collapsed="false">
      <c r="A1039" s="0" t="n">
        <v>1038</v>
      </c>
      <c r="B1039" s="0" t="str">
        <f aca="false">IF(A1039&lt;=36*25,"PRODUKSI","REJECT")</f>
        <v>REJECT</v>
      </c>
      <c r="C1039" s="0" t="n">
        <f aca="false">MOD(A1039-1,Pemetaan!$B$3*Pemetaan!$B$4)</f>
        <v>137</v>
      </c>
      <c r="D1039" s="0" t="n">
        <f aca="false">INT(C1039/Pemetaan!$B$4)</f>
        <v>5</v>
      </c>
      <c r="E1039" s="0" t="n">
        <f aca="false">MOD(C1039,Pemetaan!$B$4)</f>
        <v>12</v>
      </c>
      <c r="F1039" s="0" t="n">
        <f aca="false">IF(B1039="PRODUKSI",Pemetaan!$B$5,Pemetaan!$B$6)</f>
        <v>46</v>
      </c>
      <c r="G1039" s="0" t="n">
        <f aca="false">F1039+2+D1039</f>
        <v>53</v>
      </c>
      <c r="H1039" s="0" t="n">
        <f aca="false">Pemetaan!$B$2+E1039</f>
        <v>17</v>
      </c>
      <c r="I1039" s="0" t="str">
        <f aca="false">INDEX(Laporan!$A$1:$AZ$300,G1039,1)</f>
        <v>Water Treatment</v>
      </c>
      <c r="J1039" s="0" t="str">
        <f aca="false">INDEX(Laporan!$A$1:$AZ$300,G1039,2)</f>
        <v>330 ml</v>
      </c>
      <c r="K1039" s="0" t="str">
        <f aca="false">INDEX(Laporan!$A$1:$AZ$300,G1039,3)</f>
        <v>Shift 2</v>
      </c>
      <c r="L1039" s="0" t="n">
        <f aca="false">INDEX(Laporan!$A$1:$AZ$300,G1039,4)</f>
        <v>3</v>
      </c>
      <c r="M1039" s="1" t="n">
        <f aca="false">DATE(Pemetaan!$B$1,VALUE(RIGHT(INDEX(Laporan!$A$1:$AZ$300,F1039+1,H1039),2)),VALUE(LEFT(INDEX(Laporan!$A$1:$AZ$300,F1039+1,H1039),2)))</f>
        <v>46099</v>
      </c>
      <c r="N1039" s="0" t="n">
        <f aca="false">INDEX(Laporan!$A$1:$AZ$300,G1039,H1039)</f>
        <v>7</v>
      </c>
      <c r="O1039" s="0" t="n">
        <f aca="false">IF(N1039="","",IFERROR(VALUE(SUBSTITUTE(SUBSTITUTE(N1039," btl",""),".","")),""))</f>
        <v>7</v>
      </c>
      <c r="P1039" s="0" t="str">
        <f aca="false">IF(B1039="PRODUKSI","produced","reject")</f>
        <v>reject</v>
      </c>
    </row>
    <row r="1040" customFormat="false" ht="15" hidden="false" customHeight="false" outlineLevel="0" collapsed="false">
      <c r="A1040" s="0" t="n">
        <v>1039</v>
      </c>
      <c r="B1040" s="0" t="str">
        <f aca="false">IF(A1040&lt;=36*25,"PRODUKSI","REJECT")</f>
        <v>REJECT</v>
      </c>
      <c r="C1040" s="0" t="n">
        <f aca="false">MOD(A1040-1,Pemetaan!$B$3*Pemetaan!$B$4)</f>
        <v>138</v>
      </c>
      <c r="D1040" s="0" t="n">
        <f aca="false">INT(C1040/Pemetaan!$B$4)</f>
        <v>5</v>
      </c>
      <c r="E1040" s="0" t="n">
        <f aca="false">MOD(C1040,Pemetaan!$B$4)</f>
        <v>13</v>
      </c>
      <c r="F1040" s="0" t="n">
        <f aca="false">IF(B1040="PRODUKSI",Pemetaan!$B$5,Pemetaan!$B$6)</f>
        <v>46</v>
      </c>
      <c r="G1040" s="0" t="n">
        <f aca="false">F1040+2+D1040</f>
        <v>53</v>
      </c>
      <c r="H1040" s="0" t="n">
        <f aca="false">Pemetaan!$B$2+E1040</f>
        <v>18</v>
      </c>
      <c r="I1040" s="0" t="str">
        <f aca="false">INDEX(Laporan!$A$1:$AZ$300,G1040,1)</f>
        <v>Water Treatment</v>
      </c>
      <c r="J1040" s="0" t="str">
        <f aca="false">INDEX(Laporan!$A$1:$AZ$300,G1040,2)</f>
        <v>330 ml</v>
      </c>
      <c r="K1040" s="0" t="str">
        <f aca="false">INDEX(Laporan!$A$1:$AZ$300,G1040,3)</f>
        <v>Shift 2</v>
      </c>
      <c r="L1040" s="0" t="n">
        <f aca="false">INDEX(Laporan!$A$1:$AZ$300,G1040,4)</f>
        <v>3</v>
      </c>
      <c r="M1040" s="1" t="n">
        <f aca="false">DATE(Pemetaan!$B$1,VALUE(RIGHT(INDEX(Laporan!$A$1:$AZ$300,F1040+1,H1040),2)),VALUE(LEFT(INDEX(Laporan!$A$1:$AZ$300,F1040+1,H1040),2)))</f>
        <v>46100</v>
      </c>
      <c r="N1040" s="0" t="n">
        <f aca="false">INDEX(Laporan!$A$1:$AZ$300,G1040,H1040)</f>
        <v>11</v>
      </c>
      <c r="O1040" s="0" t="n">
        <f aca="false">IF(N1040="","",IFERROR(VALUE(SUBSTITUTE(SUBSTITUTE(N1040," btl",""),".","")),""))</f>
        <v>11</v>
      </c>
      <c r="P1040" s="0" t="str">
        <f aca="false">IF(B1040="PRODUKSI","produced","reject")</f>
        <v>reject</v>
      </c>
    </row>
    <row r="1041" customFormat="false" ht="15" hidden="false" customHeight="false" outlineLevel="0" collapsed="false">
      <c r="A1041" s="0" t="n">
        <v>1040</v>
      </c>
      <c r="B1041" s="0" t="str">
        <f aca="false">IF(A1041&lt;=36*25,"PRODUKSI","REJECT")</f>
        <v>REJECT</v>
      </c>
      <c r="C1041" s="0" t="n">
        <f aca="false">MOD(A1041-1,Pemetaan!$B$3*Pemetaan!$B$4)</f>
        <v>139</v>
      </c>
      <c r="D1041" s="0" t="n">
        <f aca="false">INT(C1041/Pemetaan!$B$4)</f>
        <v>5</v>
      </c>
      <c r="E1041" s="0" t="n">
        <f aca="false">MOD(C1041,Pemetaan!$B$4)</f>
        <v>14</v>
      </c>
      <c r="F1041" s="0" t="n">
        <f aca="false">IF(B1041="PRODUKSI",Pemetaan!$B$5,Pemetaan!$B$6)</f>
        <v>46</v>
      </c>
      <c r="G1041" s="0" t="n">
        <f aca="false">F1041+2+D1041</f>
        <v>53</v>
      </c>
      <c r="H1041" s="0" t="n">
        <f aca="false">Pemetaan!$B$2+E1041</f>
        <v>19</v>
      </c>
      <c r="I1041" s="0" t="str">
        <f aca="false">INDEX(Laporan!$A$1:$AZ$300,G1041,1)</f>
        <v>Water Treatment</v>
      </c>
      <c r="J1041" s="0" t="str">
        <f aca="false">INDEX(Laporan!$A$1:$AZ$300,G1041,2)</f>
        <v>330 ml</v>
      </c>
      <c r="K1041" s="0" t="str">
        <f aca="false">INDEX(Laporan!$A$1:$AZ$300,G1041,3)</f>
        <v>Shift 2</v>
      </c>
      <c r="L1041" s="0" t="n">
        <f aca="false">INDEX(Laporan!$A$1:$AZ$300,G1041,4)</f>
        <v>3</v>
      </c>
      <c r="M1041" s="1" t="n">
        <f aca="false">DATE(Pemetaan!$B$1,VALUE(RIGHT(INDEX(Laporan!$A$1:$AZ$300,F1041+1,H1041),2)),VALUE(LEFT(INDEX(Laporan!$A$1:$AZ$300,F1041+1,H1041),2)))</f>
        <v>46101</v>
      </c>
      <c r="N1041" s="0" t="n">
        <f aca="false">INDEX(Laporan!$A$1:$AZ$300,G1041,H1041)</f>
        <v>14</v>
      </c>
      <c r="O1041" s="0" t="n">
        <f aca="false">IF(N1041="","",IFERROR(VALUE(SUBSTITUTE(SUBSTITUTE(N1041," btl",""),".","")),""))</f>
        <v>14</v>
      </c>
      <c r="P1041" s="0" t="str">
        <f aca="false">IF(B1041="PRODUKSI","produced","reject")</f>
        <v>reject</v>
      </c>
    </row>
    <row r="1042" customFormat="false" ht="15" hidden="false" customHeight="false" outlineLevel="0" collapsed="false">
      <c r="A1042" s="0" t="n">
        <v>1041</v>
      </c>
      <c r="B1042" s="0" t="str">
        <f aca="false">IF(A1042&lt;=36*25,"PRODUKSI","REJECT")</f>
        <v>REJECT</v>
      </c>
      <c r="C1042" s="0" t="n">
        <f aca="false">MOD(A1042-1,Pemetaan!$B$3*Pemetaan!$B$4)</f>
        <v>140</v>
      </c>
      <c r="D1042" s="0" t="n">
        <f aca="false">INT(C1042/Pemetaan!$B$4)</f>
        <v>5</v>
      </c>
      <c r="E1042" s="0" t="n">
        <f aca="false">MOD(C1042,Pemetaan!$B$4)</f>
        <v>15</v>
      </c>
      <c r="F1042" s="0" t="n">
        <f aca="false">IF(B1042="PRODUKSI",Pemetaan!$B$5,Pemetaan!$B$6)</f>
        <v>46</v>
      </c>
      <c r="G1042" s="0" t="n">
        <f aca="false">F1042+2+D1042</f>
        <v>53</v>
      </c>
      <c r="H1042" s="0" t="n">
        <f aca="false">Pemetaan!$B$2+E1042</f>
        <v>20</v>
      </c>
      <c r="I1042" s="0" t="str">
        <f aca="false">INDEX(Laporan!$A$1:$AZ$300,G1042,1)</f>
        <v>Water Treatment</v>
      </c>
      <c r="J1042" s="0" t="str">
        <f aca="false">INDEX(Laporan!$A$1:$AZ$300,G1042,2)</f>
        <v>330 ml</v>
      </c>
      <c r="K1042" s="0" t="str">
        <f aca="false">INDEX(Laporan!$A$1:$AZ$300,G1042,3)</f>
        <v>Shift 2</v>
      </c>
      <c r="L1042" s="0" t="n">
        <f aca="false">INDEX(Laporan!$A$1:$AZ$300,G1042,4)</f>
        <v>3</v>
      </c>
      <c r="M1042" s="1" t="n">
        <f aca="false">DATE(Pemetaan!$B$1,VALUE(RIGHT(INDEX(Laporan!$A$1:$AZ$300,F1042+1,H1042),2)),VALUE(LEFT(INDEX(Laporan!$A$1:$AZ$300,F1042+1,H1042),2)))</f>
        <v>46104</v>
      </c>
      <c r="N1042" s="0" t="n">
        <f aca="false">INDEX(Laporan!$A$1:$AZ$300,G1042,H1042)</f>
        <v>20</v>
      </c>
      <c r="O1042" s="0" t="n">
        <f aca="false">IF(N1042="","",IFERROR(VALUE(SUBSTITUTE(SUBSTITUTE(N1042," btl",""),".","")),""))</f>
        <v>20</v>
      </c>
      <c r="P1042" s="0" t="str">
        <f aca="false">IF(B1042="PRODUKSI","produced","reject")</f>
        <v>reject</v>
      </c>
    </row>
    <row r="1043" customFormat="false" ht="15" hidden="false" customHeight="false" outlineLevel="0" collapsed="false">
      <c r="A1043" s="0" t="n">
        <v>1042</v>
      </c>
      <c r="B1043" s="0" t="str">
        <f aca="false">IF(A1043&lt;=36*25,"PRODUKSI","REJECT")</f>
        <v>REJECT</v>
      </c>
      <c r="C1043" s="0" t="n">
        <f aca="false">MOD(A1043-1,Pemetaan!$B$3*Pemetaan!$B$4)</f>
        <v>141</v>
      </c>
      <c r="D1043" s="0" t="n">
        <f aca="false">INT(C1043/Pemetaan!$B$4)</f>
        <v>5</v>
      </c>
      <c r="E1043" s="0" t="n">
        <f aca="false">MOD(C1043,Pemetaan!$B$4)</f>
        <v>16</v>
      </c>
      <c r="F1043" s="0" t="n">
        <f aca="false">IF(B1043="PRODUKSI",Pemetaan!$B$5,Pemetaan!$B$6)</f>
        <v>46</v>
      </c>
      <c r="G1043" s="0" t="n">
        <f aca="false">F1043+2+D1043</f>
        <v>53</v>
      </c>
      <c r="H1043" s="0" t="n">
        <f aca="false">Pemetaan!$B$2+E1043</f>
        <v>21</v>
      </c>
      <c r="I1043" s="0" t="str">
        <f aca="false">INDEX(Laporan!$A$1:$AZ$300,G1043,1)</f>
        <v>Water Treatment</v>
      </c>
      <c r="J1043" s="0" t="str">
        <f aca="false">INDEX(Laporan!$A$1:$AZ$300,G1043,2)</f>
        <v>330 ml</v>
      </c>
      <c r="K1043" s="0" t="str">
        <f aca="false">INDEX(Laporan!$A$1:$AZ$300,G1043,3)</f>
        <v>Shift 2</v>
      </c>
      <c r="L1043" s="0" t="n">
        <f aca="false">INDEX(Laporan!$A$1:$AZ$300,G1043,4)</f>
        <v>3</v>
      </c>
      <c r="M1043" s="1" t="n">
        <f aca="false">DATE(Pemetaan!$B$1,VALUE(RIGHT(INDEX(Laporan!$A$1:$AZ$300,F1043+1,H1043),2)),VALUE(LEFT(INDEX(Laporan!$A$1:$AZ$300,F1043+1,H1043),2)))</f>
        <v>46105</v>
      </c>
      <c r="N1043" s="0" t="n">
        <f aca="false">INDEX(Laporan!$A$1:$AZ$300,G1043,H1043)</f>
        <v>5</v>
      </c>
      <c r="O1043" s="0" t="n">
        <f aca="false">IF(N1043="","",IFERROR(VALUE(SUBSTITUTE(SUBSTITUTE(N1043," btl",""),".","")),""))</f>
        <v>5</v>
      </c>
      <c r="P1043" s="0" t="str">
        <f aca="false">IF(B1043="PRODUKSI","produced","reject")</f>
        <v>reject</v>
      </c>
    </row>
    <row r="1044" customFormat="false" ht="15" hidden="false" customHeight="false" outlineLevel="0" collapsed="false">
      <c r="A1044" s="0" t="n">
        <v>1043</v>
      </c>
      <c r="B1044" s="0" t="str">
        <f aca="false">IF(A1044&lt;=36*25,"PRODUKSI","REJECT")</f>
        <v>REJECT</v>
      </c>
      <c r="C1044" s="0" t="n">
        <f aca="false">MOD(A1044-1,Pemetaan!$B$3*Pemetaan!$B$4)</f>
        <v>142</v>
      </c>
      <c r="D1044" s="0" t="n">
        <f aca="false">INT(C1044/Pemetaan!$B$4)</f>
        <v>5</v>
      </c>
      <c r="E1044" s="0" t="n">
        <f aca="false">MOD(C1044,Pemetaan!$B$4)</f>
        <v>17</v>
      </c>
      <c r="F1044" s="0" t="n">
        <f aca="false">IF(B1044="PRODUKSI",Pemetaan!$B$5,Pemetaan!$B$6)</f>
        <v>46</v>
      </c>
      <c r="G1044" s="0" t="n">
        <f aca="false">F1044+2+D1044</f>
        <v>53</v>
      </c>
      <c r="H1044" s="0" t="n">
        <f aca="false">Pemetaan!$B$2+E1044</f>
        <v>22</v>
      </c>
      <c r="I1044" s="0" t="str">
        <f aca="false">INDEX(Laporan!$A$1:$AZ$300,G1044,1)</f>
        <v>Water Treatment</v>
      </c>
      <c r="J1044" s="0" t="str">
        <f aca="false">INDEX(Laporan!$A$1:$AZ$300,G1044,2)</f>
        <v>330 ml</v>
      </c>
      <c r="K1044" s="0" t="str">
        <f aca="false">INDEX(Laporan!$A$1:$AZ$300,G1044,3)</f>
        <v>Shift 2</v>
      </c>
      <c r="L1044" s="0" t="n">
        <f aca="false">INDEX(Laporan!$A$1:$AZ$300,G1044,4)</f>
        <v>3</v>
      </c>
      <c r="M1044" s="1" t="n">
        <f aca="false">DATE(Pemetaan!$B$1,VALUE(RIGHT(INDEX(Laporan!$A$1:$AZ$300,F1044+1,H1044),2)),VALUE(LEFT(INDEX(Laporan!$A$1:$AZ$300,F1044+1,H1044),2)))</f>
        <v>46106</v>
      </c>
      <c r="N1044" s="0" t="n">
        <f aca="false">INDEX(Laporan!$A$1:$AZ$300,G1044,H1044)</f>
        <v>13</v>
      </c>
      <c r="O1044" s="0" t="n">
        <f aca="false">IF(N1044="","",IFERROR(VALUE(SUBSTITUTE(SUBSTITUTE(N1044," btl",""),".","")),""))</f>
        <v>13</v>
      </c>
      <c r="P1044" s="0" t="str">
        <f aca="false">IF(B1044="PRODUKSI","produced","reject")</f>
        <v>reject</v>
      </c>
    </row>
    <row r="1045" customFormat="false" ht="15" hidden="false" customHeight="false" outlineLevel="0" collapsed="false">
      <c r="A1045" s="0" t="n">
        <v>1044</v>
      </c>
      <c r="B1045" s="0" t="str">
        <f aca="false">IF(A1045&lt;=36*25,"PRODUKSI","REJECT")</f>
        <v>REJECT</v>
      </c>
      <c r="C1045" s="0" t="n">
        <f aca="false">MOD(A1045-1,Pemetaan!$B$3*Pemetaan!$B$4)</f>
        <v>143</v>
      </c>
      <c r="D1045" s="0" t="n">
        <f aca="false">INT(C1045/Pemetaan!$B$4)</f>
        <v>5</v>
      </c>
      <c r="E1045" s="0" t="n">
        <f aca="false">MOD(C1045,Pemetaan!$B$4)</f>
        <v>18</v>
      </c>
      <c r="F1045" s="0" t="n">
        <f aca="false">IF(B1045="PRODUKSI",Pemetaan!$B$5,Pemetaan!$B$6)</f>
        <v>46</v>
      </c>
      <c r="G1045" s="0" t="n">
        <f aca="false">F1045+2+D1045</f>
        <v>53</v>
      </c>
      <c r="H1045" s="0" t="n">
        <f aca="false">Pemetaan!$B$2+E1045</f>
        <v>23</v>
      </c>
      <c r="I1045" s="0" t="str">
        <f aca="false">INDEX(Laporan!$A$1:$AZ$300,G1045,1)</f>
        <v>Water Treatment</v>
      </c>
      <c r="J1045" s="0" t="str">
        <f aca="false">INDEX(Laporan!$A$1:$AZ$300,G1045,2)</f>
        <v>330 ml</v>
      </c>
      <c r="K1045" s="0" t="str">
        <f aca="false">INDEX(Laporan!$A$1:$AZ$300,G1045,3)</f>
        <v>Shift 2</v>
      </c>
      <c r="L1045" s="0" t="n">
        <f aca="false">INDEX(Laporan!$A$1:$AZ$300,G1045,4)</f>
        <v>3</v>
      </c>
      <c r="M1045" s="1" t="n">
        <f aca="false">DATE(Pemetaan!$B$1,VALUE(RIGHT(INDEX(Laporan!$A$1:$AZ$300,F1045+1,H1045),2)),VALUE(LEFT(INDEX(Laporan!$A$1:$AZ$300,F1045+1,H1045),2)))</f>
        <v>46107</v>
      </c>
      <c r="N1045" s="0" t="n">
        <f aca="false">INDEX(Laporan!$A$1:$AZ$300,G1045,H1045)</f>
        <v>15</v>
      </c>
      <c r="O1045" s="0" t="n">
        <f aca="false">IF(N1045="","",IFERROR(VALUE(SUBSTITUTE(SUBSTITUTE(N1045," btl",""),".","")),""))</f>
        <v>15</v>
      </c>
      <c r="P1045" s="0" t="str">
        <f aca="false">IF(B1045="PRODUKSI","produced","reject")</f>
        <v>reject</v>
      </c>
    </row>
    <row r="1046" customFormat="false" ht="15" hidden="false" customHeight="false" outlineLevel="0" collapsed="false">
      <c r="A1046" s="0" t="n">
        <v>1045</v>
      </c>
      <c r="B1046" s="0" t="str">
        <f aca="false">IF(A1046&lt;=36*25,"PRODUKSI","REJECT")</f>
        <v>REJECT</v>
      </c>
      <c r="C1046" s="0" t="n">
        <f aca="false">MOD(A1046-1,Pemetaan!$B$3*Pemetaan!$B$4)</f>
        <v>144</v>
      </c>
      <c r="D1046" s="0" t="n">
        <f aca="false">INT(C1046/Pemetaan!$B$4)</f>
        <v>5</v>
      </c>
      <c r="E1046" s="0" t="n">
        <f aca="false">MOD(C1046,Pemetaan!$B$4)</f>
        <v>19</v>
      </c>
      <c r="F1046" s="0" t="n">
        <f aca="false">IF(B1046="PRODUKSI",Pemetaan!$B$5,Pemetaan!$B$6)</f>
        <v>46</v>
      </c>
      <c r="G1046" s="0" t="n">
        <f aca="false">F1046+2+D1046</f>
        <v>53</v>
      </c>
      <c r="H1046" s="0" t="n">
        <f aca="false">Pemetaan!$B$2+E1046</f>
        <v>24</v>
      </c>
      <c r="I1046" s="0" t="str">
        <f aca="false">INDEX(Laporan!$A$1:$AZ$300,G1046,1)</f>
        <v>Water Treatment</v>
      </c>
      <c r="J1046" s="0" t="str">
        <f aca="false">INDEX(Laporan!$A$1:$AZ$300,G1046,2)</f>
        <v>330 ml</v>
      </c>
      <c r="K1046" s="0" t="str">
        <f aca="false">INDEX(Laporan!$A$1:$AZ$300,G1046,3)</f>
        <v>Shift 2</v>
      </c>
      <c r="L1046" s="0" t="n">
        <f aca="false">INDEX(Laporan!$A$1:$AZ$300,G1046,4)</f>
        <v>3</v>
      </c>
      <c r="M1046" s="1" t="n">
        <f aca="false">DATE(Pemetaan!$B$1,VALUE(RIGHT(INDEX(Laporan!$A$1:$AZ$300,F1046+1,H1046),2)),VALUE(LEFT(INDEX(Laporan!$A$1:$AZ$300,F1046+1,H1046),2)))</f>
        <v>46108</v>
      </c>
      <c r="N1046" s="0" t="n">
        <f aca="false">INDEX(Laporan!$A$1:$AZ$300,G1046,H1046)</f>
        <v>10</v>
      </c>
      <c r="O1046" s="0" t="n">
        <f aca="false">IF(N1046="","",IFERROR(VALUE(SUBSTITUTE(SUBSTITUTE(N1046," btl",""),".","")),""))</f>
        <v>10</v>
      </c>
      <c r="P1046" s="0" t="str">
        <f aca="false">IF(B1046="PRODUKSI","produced","reject")</f>
        <v>reject</v>
      </c>
    </row>
    <row r="1047" customFormat="false" ht="15" hidden="false" customHeight="false" outlineLevel="0" collapsed="false">
      <c r="A1047" s="0" t="n">
        <v>1046</v>
      </c>
      <c r="B1047" s="0" t="str">
        <f aca="false">IF(A1047&lt;=36*25,"PRODUKSI","REJECT")</f>
        <v>REJECT</v>
      </c>
      <c r="C1047" s="0" t="n">
        <f aca="false">MOD(A1047-1,Pemetaan!$B$3*Pemetaan!$B$4)</f>
        <v>145</v>
      </c>
      <c r="D1047" s="0" t="n">
        <f aca="false">INT(C1047/Pemetaan!$B$4)</f>
        <v>5</v>
      </c>
      <c r="E1047" s="0" t="n">
        <f aca="false">MOD(C1047,Pemetaan!$B$4)</f>
        <v>20</v>
      </c>
      <c r="F1047" s="0" t="n">
        <f aca="false">IF(B1047="PRODUKSI",Pemetaan!$B$5,Pemetaan!$B$6)</f>
        <v>46</v>
      </c>
      <c r="G1047" s="0" t="n">
        <f aca="false">F1047+2+D1047</f>
        <v>53</v>
      </c>
      <c r="H1047" s="0" t="n">
        <f aca="false">Pemetaan!$B$2+E1047</f>
        <v>25</v>
      </c>
      <c r="I1047" s="0" t="str">
        <f aca="false">INDEX(Laporan!$A$1:$AZ$300,G1047,1)</f>
        <v>Water Treatment</v>
      </c>
      <c r="J1047" s="0" t="str">
        <f aca="false">INDEX(Laporan!$A$1:$AZ$300,G1047,2)</f>
        <v>330 ml</v>
      </c>
      <c r="K1047" s="0" t="str">
        <f aca="false">INDEX(Laporan!$A$1:$AZ$300,G1047,3)</f>
        <v>Shift 2</v>
      </c>
      <c r="L1047" s="0" t="n">
        <f aca="false">INDEX(Laporan!$A$1:$AZ$300,G1047,4)</f>
        <v>3</v>
      </c>
      <c r="M1047" s="1" t="n">
        <f aca="false">DATE(Pemetaan!$B$1,VALUE(RIGHT(INDEX(Laporan!$A$1:$AZ$300,F1047+1,H1047),2)),VALUE(LEFT(INDEX(Laporan!$A$1:$AZ$300,F1047+1,H1047),2)))</f>
        <v>46111</v>
      </c>
      <c r="N1047" s="0" t="n">
        <f aca="false">INDEX(Laporan!$A$1:$AZ$300,G1047,H1047)</f>
        <v>16</v>
      </c>
      <c r="O1047" s="0" t="n">
        <f aca="false">IF(N1047="","",IFERROR(VALUE(SUBSTITUTE(SUBSTITUTE(N1047," btl",""),".","")),""))</f>
        <v>16</v>
      </c>
      <c r="P1047" s="0" t="str">
        <f aca="false">IF(B1047="PRODUKSI","produced","reject")</f>
        <v>reject</v>
      </c>
    </row>
    <row r="1048" customFormat="false" ht="15" hidden="false" customHeight="false" outlineLevel="0" collapsed="false">
      <c r="A1048" s="0" t="n">
        <v>1047</v>
      </c>
      <c r="B1048" s="0" t="str">
        <f aca="false">IF(A1048&lt;=36*25,"PRODUKSI","REJECT")</f>
        <v>REJECT</v>
      </c>
      <c r="C1048" s="0" t="n">
        <f aca="false">MOD(A1048-1,Pemetaan!$B$3*Pemetaan!$B$4)</f>
        <v>146</v>
      </c>
      <c r="D1048" s="0" t="n">
        <f aca="false">INT(C1048/Pemetaan!$B$4)</f>
        <v>5</v>
      </c>
      <c r="E1048" s="0" t="n">
        <f aca="false">MOD(C1048,Pemetaan!$B$4)</f>
        <v>21</v>
      </c>
      <c r="F1048" s="0" t="n">
        <f aca="false">IF(B1048="PRODUKSI",Pemetaan!$B$5,Pemetaan!$B$6)</f>
        <v>46</v>
      </c>
      <c r="G1048" s="0" t="n">
        <f aca="false">F1048+2+D1048</f>
        <v>53</v>
      </c>
      <c r="H1048" s="0" t="n">
        <f aca="false">Pemetaan!$B$2+E1048</f>
        <v>26</v>
      </c>
      <c r="I1048" s="0" t="str">
        <f aca="false">INDEX(Laporan!$A$1:$AZ$300,G1048,1)</f>
        <v>Water Treatment</v>
      </c>
      <c r="J1048" s="0" t="str">
        <f aca="false">INDEX(Laporan!$A$1:$AZ$300,G1048,2)</f>
        <v>330 ml</v>
      </c>
      <c r="K1048" s="0" t="str">
        <f aca="false">INDEX(Laporan!$A$1:$AZ$300,G1048,3)</f>
        <v>Shift 2</v>
      </c>
      <c r="L1048" s="0" t="n">
        <f aca="false">INDEX(Laporan!$A$1:$AZ$300,G1048,4)</f>
        <v>3</v>
      </c>
      <c r="M1048" s="1" t="n">
        <f aca="false">DATE(Pemetaan!$B$1,VALUE(RIGHT(INDEX(Laporan!$A$1:$AZ$300,F1048+1,H1048),2)),VALUE(LEFT(INDEX(Laporan!$A$1:$AZ$300,F1048+1,H1048),2)))</f>
        <v>46112</v>
      </c>
      <c r="N1048" s="0" t="n">
        <f aca="false">INDEX(Laporan!$A$1:$AZ$300,G1048,H1048)</f>
        <v>14</v>
      </c>
      <c r="O1048" s="0" t="n">
        <f aca="false">IF(N1048="","",IFERROR(VALUE(SUBSTITUTE(SUBSTITUTE(N1048," btl",""),".","")),""))</f>
        <v>14</v>
      </c>
      <c r="P1048" s="0" t="str">
        <f aca="false">IF(B1048="PRODUKSI","produced","reject")</f>
        <v>reject</v>
      </c>
    </row>
    <row r="1049" customFormat="false" ht="15" hidden="false" customHeight="false" outlineLevel="0" collapsed="false">
      <c r="A1049" s="0" t="n">
        <v>1048</v>
      </c>
      <c r="B1049" s="0" t="str">
        <f aca="false">IF(A1049&lt;=36*25,"PRODUKSI","REJECT")</f>
        <v>REJECT</v>
      </c>
      <c r="C1049" s="0" t="n">
        <f aca="false">MOD(A1049-1,Pemetaan!$B$3*Pemetaan!$B$4)</f>
        <v>147</v>
      </c>
      <c r="D1049" s="0" t="n">
        <f aca="false">INT(C1049/Pemetaan!$B$4)</f>
        <v>5</v>
      </c>
      <c r="E1049" s="0" t="n">
        <f aca="false">MOD(C1049,Pemetaan!$B$4)</f>
        <v>22</v>
      </c>
      <c r="F1049" s="0" t="n">
        <f aca="false">IF(B1049="PRODUKSI",Pemetaan!$B$5,Pemetaan!$B$6)</f>
        <v>46</v>
      </c>
      <c r="G1049" s="0" t="n">
        <f aca="false">F1049+2+D1049</f>
        <v>53</v>
      </c>
      <c r="H1049" s="0" t="n">
        <f aca="false">Pemetaan!$B$2+E1049</f>
        <v>27</v>
      </c>
      <c r="I1049" s="0" t="str">
        <f aca="false">INDEX(Laporan!$A$1:$AZ$300,G1049,1)</f>
        <v>Water Treatment</v>
      </c>
      <c r="J1049" s="0" t="str">
        <f aca="false">INDEX(Laporan!$A$1:$AZ$300,G1049,2)</f>
        <v>330 ml</v>
      </c>
      <c r="K1049" s="0" t="str">
        <f aca="false">INDEX(Laporan!$A$1:$AZ$300,G1049,3)</f>
        <v>Shift 2</v>
      </c>
      <c r="L1049" s="0" t="n">
        <f aca="false">INDEX(Laporan!$A$1:$AZ$300,G1049,4)</f>
        <v>3</v>
      </c>
      <c r="M1049" s="1" t="n">
        <f aca="false">DATE(Pemetaan!$B$1,VALUE(RIGHT(INDEX(Laporan!$A$1:$AZ$300,F1049+1,H1049),2)),VALUE(LEFT(INDEX(Laporan!$A$1:$AZ$300,F1049+1,H1049),2)))</f>
        <v>46113</v>
      </c>
      <c r="N1049" s="0" t="n">
        <f aca="false">INDEX(Laporan!$A$1:$AZ$300,G1049,H1049)</f>
        <v>15</v>
      </c>
      <c r="O1049" s="0" t="n">
        <f aca="false">IF(N1049="","",IFERROR(VALUE(SUBSTITUTE(SUBSTITUTE(N1049," btl",""),".","")),""))</f>
        <v>15</v>
      </c>
      <c r="P1049" s="0" t="str">
        <f aca="false">IF(B1049="PRODUKSI","produced","reject")</f>
        <v>reject</v>
      </c>
    </row>
    <row r="1050" customFormat="false" ht="15" hidden="false" customHeight="false" outlineLevel="0" collapsed="false">
      <c r="A1050" s="0" t="n">
        <v>1049</v>
      </c>
      <c r="B1050" s="0" t="str">
        <f aca="false">IF(A1050&lt;=36*25,"PRODUKSI","REJECT")</f>
        <v>REJECT</v>
      </c>
      <c r="C1050" s="0" t="n">
        <f aca="false">MOD(A1050-1,Pemetaan!$B$3*Pemetaan!$B$4)</f>
        <v>148</v>
      </c>
      <c r="D1050" s="0" t="n">
        <f aca="false">INT(C1050/Pemetaan!$B$4)</f>
        <v>5</v>
      </c>
      <c r="E1050" s="0" t="n">
        <f aca="false">MOD(C1050,Pemetaan!$B$4)</f>
        <v>23</v>
      </c>
      <c r="F1050" s="0" t="n">
        <f aca="false">IF(B1050="PRODUKSI",Pemetaan!$B$5,Pemetaan!$B$6)</f>
        <v>46</v>
      </c>
      <c r="G1050" s="0" t="n">
        <f aca="false">F1050+2+D1050</f>
        <v>53</v>
      </c>
      <c r="H1050" s="0" t="n">
        <f aca="false">Pemetaan!$B$2+E1050</f>
        <v>28</v>
      </c>
      <c r="I1050" s="0" t="str">
        <f aca="false">INDEX(Laporan!$A$1:$AZ$300,G1050,1)</f>
        <v>Water Treatment</v>
      </c>
      <c r="J1050" s="0" t="str">
        <f aca="false">INDEX(Laporan!$A$1:$AZ$300,G1050,2)</f>
        <v>330 ml</v>
      </c>
      <c r="K1050" s="0" t="str">
        <f aca="false">INDEX(Laporan!$A$1:$AZ$300,G1050,3)</f>
        <v>Shift 2</v>
      </c>
      <c r="L1050" s="0" t="n">
        <f aca="false">INDEX(Laporan!$A$1:$AZ$300,G1050,4)</f>
        <v>3</v>
      </c>
      <c r="M1050" s="1" t="n">
        <f aca="false">DATE(Pemetaan!$B$1,VALUE(RIGHT(INDEX(Laporan!$A$1:$AZ$300,F1050+1,H1050),2)),VALUE(LEFT(INDEX(Laporan!$A$1:$AZ$300,F1050+1,H1050),2)))</f>
        <v>46114</v>
      </c>
      <c r="N1050" s="0" t="n">
        <f aca="false">INDEX(Laporan!$A$1:$AZ$300,G1050,H1050)</f>
        <v>14</v>
      </c>
      <c r="O1050" s="0" t="n">
        <f aca="false">IF(N1050="","",IFERROR(VALUE(SUBSTITUTE(SUBSTITUTE(N1050," btl",""),".","")),""))</f>
        <v>14</v>
      </c>
      <c r="P1050" s="0" t="str">
        <f aca="false">IF(B1050="PRODUKSI","produced","reject")</f>
        <v>reject</v>
      </c>
    </row>
    <row r="1051" customFormat="false" ht="15" hidden="false" customHeight="false" outlineLevel="0" collapsed="false">
      <c r="A1051" s="0" t="n">
        <v>1050</v>
      </c>
      <c r="B1051" s="0" t="str">
        <f aca="false">IF(A1051&lt;=36*25,"PRODUKSI","REJECT")</f>
        <v>REJECT</v>
      </c>
      <c r="C1051" s="0" t="n">
        <f aca="false">MOD(A1051-1,Pemetaan!$B$3*Pemetaan!$B$4)</f>
        <v>149</v>
      </c>
      <c r="D1051" s="0" t="n">
        <f aca="false">INT(C1051/Pemetaan!$B$4)</f>
        <v>5</v>
      </c>
      <c r="E1051" s="0" t="n">
        <f aca="false">MOD(C1051,Pemetaan!$B$4)</f>
        <v>24</v>
      </c>
      <c r="F1051" s="0" t="n">
        <f aca="false">IF(B1051="PRODUKSI",Pemetaan!$B$5,Pemetaan!$B$6)</f>
        <v>46</v>
      </c>
      <c r="G1051" s="0" t="n">
        <f aca="false">F1051+2+D1051</f>
        <v>53</v>
      </c>
      <c r="H1051" s="0" t="n">
        <f aca="false">Pemetaan!$B$2+E1051</f>
        <v>29</v>
      </c>
      <c r="I1051" s="0" t="str">
        <f aca="false">INDEX(Laporan!$A$1:$AZ$300,G1051,1)</f>
        <v>Water Treatment</v>
      </c>
      <c r="J1051" s="0" t="str">
        <f aca="false">INDEX(Laporan!$A$1:$AZ$300,G1051,2)</f>
        <v>330 ml</v>
      </c>
      <c r="K1051" s="0" t="str">
        <f aca="false">INDEX(Laporan!$A$1:$AZ$300,G1051,3)</f>
        <v>Shift 2</v>
      </c>
      <c r="L1051" s="0" t="n">
        <f aca="false">INDEX(Laporan!$A$1:$AZ$300,G1051,4)</f>
        <v>3</v>
      </c>
      <c r="M1051" s="1" t="n">
        <f aca="false">DATE(Pemetaan!$B$1,VALUE(RIGHT(INDEX(Laporan!$A$1:$AZ$300,F1051+1,H1051),2)),VALUE(LEFT(INDEX(Laporan!$A$1:$AZ$300,F1051+1,H1051),2)))</f>
        <v>46115</v>
      </c>
      <c r="N1051" s="0" t="n">
        <f aca="false">INDEX(Laporan!$A$1:$AZ$300,G1051,H1051)</f>
        <v>8</v>
      </c>
      <c r="O1051" s="0" t="n">
        <f aca="false">IF(N1051="","",IFERROR(VALUE(SUBSTITUTE(SUBSTITUTE(N1051," btl",""),".","")),""))</f>
        <v>8</v>
      </c>
      <c r="P1051" s="0" t="str">
        <f aca="false">IF(B1051="PRODUKSI","produced","reject")</f>
        <v>reject</v>
      </c>
    </row>
    <row r="1052" customFormat="false" ht="15" hidden="false" customHeight="false" outlineLevel="0" collapsed="false">
      <c r="A1052" s="0" t="n">
        <v>1051</v>
      </c>
      <c r="B1052" s="0" t="str">
        <f aca="false">IF(A1052&lt;=36*25,"PRODUKSI","REJECT")</f>
        <v>REJECT</v>
      </c>
      <c r="C1052" s="0" t="n">
        <f aca="false">MOD(A1052-1,Pemetaan!$B$3*Pemetaan!$B$4)</f>
        <v>150</v>
      </c>
      <c r="D1052" s="0" t="n">
        <f aca="false">INT(C1052/Pemetaan!$B$4)</f>
        <v>6</v>
      </c>
      <c r="E1052" s="0" t="n">
        <f aca="false">MOD(C1052,Pemetaan!$B$4)</f>
        <v>0</v>
      </c>
      <c r="F1052" s="0" t="n">
        <f aca="false">IF(B1052="PRODUKSI",Pemetaan!$B$5,Pemetaan!$B$6)</f>
        <v>46</v>
      </c>
      <c r="G1052" s="0" t="n">
        <f aca="false">F1052+2+D1052</f>
        <v>54</v>
      </c>
      <c r="H1052" s="0" t="n">
        <f aca="false">Pemetaan!$B$2+E1052</f>
        <v>5</v>
      </c>
      <c r="I1052" s="0" t="str">
        <f aca="false">INDEX(Laporan!$A$1:$AZ$300,G1052,1)</f>
        <v>Water Treatment</v>
      </c>
      <c r="J1052" s="0" t="str">
        <f aca="false">INDEX(Laporan!$A$1:$AZ$300,G1052,2)</f>
        <v>600 ml</v>
      </c>
      <c r="K1052" s="0" t="str">
        <f aca="false">INDEX(Laporan!$A$1:$AZ$300,G1052,3)</f>
        <v>Shift 1</v>
      </c>
      <c r="L1052" s="0" t="n">
        <f aca="false">INDEX(Laporan!$A$1:$AZ$300,G1052,4)</f>
        <v>1</v>
      </c>
      <c r="M1052" s="1" t="n">
        <f aca="false">DATE(Pemetaan!$B$1,VALUE(RIGHT(INDEX(Laporan!$A$1:$AZ$300,F1052+1,H1052),2)),VALUE(LEFT(INDEX(Laporan!$A$1:$AZ$300,F1052+1,H1052),2)))</f>
        <v>46083</v>
      </c>
      <c r="N1052" s="0" t="n">
        <f aca="false">INDEX(Laporan!$A$1:$AZ$300,G1052,H1052)</f>
        <v>10</v>
      </c>
      <c r="O1052" s="0" t="n">
        <f aca="false">IF(N1052="","",IFERROR(VALUE(SUBSTITUTE(SUBSTITUTE(N1052," btl",""),".","")),""))</f>
        <v>10</v>
      </c>
      <c r="P1052" s="0" t="str">
        <f aca="false">IF(B1052="PRODUKSI","produced","reject")</f>
        <v>reject</v>
      </c>
    </row>
    <row r="1053" customFormat="false" ht="15" hidden="false" customHeight="false" outlineLevel="0" collapsed="false">
      <c r="A1053" s="0" t="n">
        <v>1052</v>
      </c>
      <c r="B1053" s="0" t="str">
        <f aca="false">IF(A1053&lt;=36*25,"PRODUKSI","REJECT")</f>
        <v>REJECT</v>
      </c>
      <c r="C1053" s="0" t="n">
        <f aca="false">MOD(A1053-1,Pemetaan!$B$3*Pemetaan!$B$4)</f>
        <v>151</v>
      </c>
      <c r="D1053" s="0" t="n">
        <f aca="false">INT(C1053/Pemetaan!$B$4)</f>
        <v>6</v>
      </c>
      <c r="E1053" s="0" t="n">
        <f aca="false">MOD(C1053,Pemetaan!$B$4)</f>
        <v>1</v>
      </c>
      <c r="F1053" s="0" t="n">
        <f aca="false">IF(B1053="PRODUKSI",Pemetaan!$B$5,Pemetaan!$B$6)</f>
        <v>46</v>
      </c>
      <c r="G1053" s="0" t="n">
        <f aca="false">F1053+2+D1053</f>
        <v>54</v>
      </c>
      <c r="H1053" s="0" t="n">
        <f aca="false">Pemetaan!$B$2+E1053</f>
        <v>6</v>
      </c>
      <c r="I1053" s="0" t="str">
        <f aca="false">INDEX(Laporan!$A$1:$AZ$300,G1053,1)</f>
        <v>Water Treatment</v>
      </c>
      <c r="J1053" s="0" t="str">
        <f aca="false">INDEX(Laporan!$A$1:$AZ$300,G1053,2)</f>
        <v>600 ml</v>
      </c>
      <c r="K1053" s="0" t="str">
        <f aca="false">INDEX(Laporan!$A$1:$AZ$300,G1053,3)</f>
        <v>Shift 1</v>
      </c>
      <c r="L1053" s="0" t="n">
        <f aca="false">INDEX(Laporan!$A$1:$AZ$300,G1053,4)</f>
        <v>1</v>
      </c>
      <c r="M1053" s="1" t="n">
        <f aca="false">DATE(Pemetaan!$B$1,VALUE(RIGHT(INDEX(Laporan!$A$1:$AZ$300,F1053+1,H1053),2)),VALUE(LEFT(INDEX(Laporan!$A$1:$AZ$300,F1053+1,H1053),2)))</f>
        <v>46084</v>
      </c>
      <c r="N1053" s="0" t="n">
        <f aca="false">INDEX(Laporan!$A$1:$AZ$300,G1053,H1053)</f>
        <v>10</v>
      </c>
      <c r="O1053" s="0" t="n">
        <f aca="false">IF(N1053="","",IFERROR(VALUE(SUBSTITUTE(SUBSTITUTE(N1053," btl",""),".","")),""))</f>
        <v>10</v>
      </c>
      <c r="P1053" s="0" t="str">
        <f aca="false">IF(B1053="PRODUKSI","produced","reject")</f>
        <v>reject</v>
      </c>
    </row>
    <row r="1054" customFormat="false" ht="15" hidden="false" customHeight="false" outlineLevel="0" collapsed="false">
      <c r="A1054" s="0" t="n">
        <v>1053</v>
      </c>
      <c r="B1054" s="0" t="str">
        <f aca="false">IF(A1054&lt;=36*25,"PRODUKSI","REJECT")</f>
        <v>REJECT</v>
      </c>
      <c r="C1054" s="0" t="n">
        <f aca="false">MOD(A1054-1,Pemetaan!$B$3*Pemetaan!$B$4)</f>
        <v>152</v>
      </c>
      <c r="D1054" s="0" t="n">
        <f aca="false">INT(C1054/Pemetaan!$B$4)</f>
        <v>6</v>
      </c>
      <c r="E1054" s="0" t="n">
        <f aca="false">MOD(C1054,Pemetaan!$B$4)</f>
        <v>2</v>
      </c>
      <c r="F1054" s="0" t="n">
        <f aca="false">IF(B1054="PRODUKSI",Pemetaan!$B$5,Pemetaan!$B$6)</f>
        <v>46</v>
      </c>
      <c r="G1054" s="0" t="n">
        <f aca="false">F1054+2+D1054</f>
        <v>54</v>
      </c>
      <c r="H1054" s="0" t="n">
        <f aca="false">Pemetaan!$B$2+E1054</f>
        <v>7</v>
      </c>
      <c r="I1054" s="0" t="str">
        <f aca="false">INDEX(Laporan!$A$1:$AZ$300,G1054,1)</f>
        <v>Water Treatment</v>
      </c>
      <c r="J1054" s="0" t="str">
        <f aca="false">INDEX(Laporan!$A$1:$AZ$300,G1054,2)</f>
        <v>600 ml</v>
      </c>
      <c r="K1054" s="0" t="str">
        <f aca="false">INDEX(Laporan!$A$1:$AZ$300,G1054,3)</f>
        <v>Shift 1</v>
      </c>
      <c r="L1054" s="0" t="n">
        <f aca="false">INDEX(Laporan!$A$1:$AZ$300,G1054,4)</f>
        <v>1</v>
      </c>
      <c r="M1054" s="1" t="n">
        <f aca="false">DATE(Pemetaan!$B$1,VALUE(RIGHT(INDEX(Laporan!$A$1:$AZ$300,F1054+1,H1054),2)),VALUE(LEFT(INDEX(Laporan!$A$1:$AZ$300,F1054+1,H1054),2)))</f>
        <v>46085</v>
      </c>
      <c r="N1054" s="0" t="n">
        <f aca="false">INDEX(Laporan!$A$1:$AZ$300,G1054,H1054)</f>
        <v>9</v>
      </c>
      <c r="O1054" s="0" t="n">
        <f aca="false">IF(N1054="","",IFERROR(VALUE(SUBSTITUTE(SUBSTITUTE(N1054," btl",""),".","")),""))</f>
        <v>9</v>
      </c>
      <c r="P1054" s="0" t="str">
        <f aca="false">IF(B1054="PRODUKSI","produced","reject")</f>
        <v>reject</v>
      </c>
    </row>
    <row r="1055" customFormat="false" ht="15" hidden="false" customHeight="false" outlineLevel="0" collapsed="false">
      <c r="A1055" s="0" t="n">
        <v>1054</v>
      </c>
      <c r="B1055" s="0" t="str">
        <f aca="false">IF(A1055&lt;=36*25,"PRODUKSI","REJECT")</f>
        <v>REJECT</v>
      </c>
      <c r="C1055" s="0" t="n">
        <f aca="false">MOD(A1055-1,Pemetaan!$B$3*Pemetaan!$B$4)</f>
        <v>153</v>
      </c>
      <c r="D1055" s="0" t="n">
        <f aca="false">INT(C1055/Pemetaan!$B$4)</f>
        <v>6</v>
      </c>
      <c r="E1055" s="0" t="n">
        <f aca="false">MOD(C1055,Pemetaan!$B$4)</f>
        <v>3</v>
      </c>
      <c r="F1055" s="0" t="n">
        <f aca="false">IF(B1055="PRODUKSI",Pemetaan!$B$5,Pemetaan!$B$6)</f>
        <v>46</v>
      </c>
      <c r="G1055" s="0" t="n">
        <f aca="false">F1055+2+D1055</f>
        <v>54</v>
      </c>
      <c r="H1055" s="0" t="n">
        <f aca="false">Pemetaan!$B$2+E1055</f>
        <v>8</v>
      </c>
      <c r="I1055" s="0" t="str">
        <f aca="false">INDEX(Laporan!$A$1:$AZ$300,G1055,1)</f>
        <v>Water Treatment</v>
      </c>
      <c r="J1055" s="0" t="str">
        <f aca="false">INDEX(Laporan!$A$1:$AZ$300,G1055,2)</f>
        <v>600 ml</v>
      </c>
      <c r="K1055" s="0" t="str">
        <f aca="false">INDEX(Laporan!$A$1:$AZ$300,G1055,3)</f>
        <v>Shift 1</v>
      </c>
      <c r="L1055" s="0" t="n">
        <f aca="false">INDEX(Laporan!$A$1:$AZ$300,G1055,4)</f>
        <v>1</v>
      </c>
      <c r="M1055" s="1" t="n">
        <f aca="false">DATE(Pemetaan!$B$1,VALUE(RIGHT(INDEX(Laporan!$A$1:$AZ$300,F1055+1,H1055),2)),VALUE(LEFT(INDEX(Laporan!$A$1:$AZ$300,F1055+1,H1055),2)))</f>
        <v>46086</v>
      </c>
      <c r="N1055" s="0" t="n">
        <f aca="false">INDEX(Laporan!$A$1:$AZ$300,G1055,H1055)</f>
        <v>14</v>
      </c>
      <c r="O1055" s="0" t="n">
        <f aca="false">IF(N1055="","",IFERROR(VALUE(SUBSTITUTE(SUBSTITUTE(N1055," btl",""),".","")),""))</f>
        <v>14</v>
      </c>
      <c r="P1055" s="0" t="str">
        <f aca="false">IF(B1055="PRODUKSI","produced","reject")</f>
        <v>reject</v>
      </c>
    </row>
    <row r="1056" customFormat="false" ht="15" hidden="false" customHeight="false" outlineLevel="0" collapsed="false">
      <c r="A1056" s="0" t="n">
        <v>1055</v>
      </c>
      <c r="B1056" s="0" t="str">
        <f aca="false">IF(A1056&lt;=36*25,"PRODUKSI","REJECT")</f>
        <v>REJECT</v>
      </c>
      <c r="C1056" s="0" t="n">
        <f aca="false">MOD(A1056-1,Pemetaan!$B$3*Pemetaan!$B$4)</f>
        <v>154</v>
      </c>
      <c r="D1056" s="0" t="n">
        <f aca="false">INT(C1056/Pemetaan!$B$4)</f>
        <v>6</v>
      </c>
      <c r="E1056" s="0" t="n">
        <f aca="false">MOD(C1056,Pemetaan!$B$4)</f>
        <v>4</v>
      </c>
      <c r="F1056" s="0" t="n">
        <f aca="false">IF(B1056="PRODUKSI",Pemetaan!$B$5,Pemetaan!$B$6)</f>
        <v>46</v>
      </c>
      <c r="G1056" s="0" t="n">
        <f aca="false">F1056+2+D1056</f>
        <v>54</v>
      </c>
      <c r="H1056" s="0" t="n">
        <f aca="false">Pemetaan!$B$2+E1056</f>
        <v>9</v>
      </c>
      <c r="I1056" s="0" t="str">
        <f aca="false">INDEX(Laporan!$A$1:$AZ$300,G1056,1)</f>
        <v>Water Treatment</v>
      </c>
      <c r="J1056" s="0" t="str">
        <f aca="false">INDEX(Laporan!$A$1:$AZ$300,G1056,2)</f>
        <v>600 ml</v>
      </c>
      <c r="K1056" s="0" t="str">
        <f aca="false">INDEX(Laporan!$A$1:$AZ$300,G1056,3)</f>
        <v>Shift 1</v>
      </c>
      <c r="L1056" s="0" t="n">
        <f aca="false">INDEX(Laporan!$A$1:$AZ$300,G1056,4)</f>
        <v>1</v>
      </c>
      <c r="M1056" s="1" t="n">
        <f aca="false">DATE(Pemetaan!$B$1,VALUE(RIGHT(INDEX(Laporan!$A$1:$AZ$300,F1056+1,H1056),2)),VALUE(LEFT(INDEX(Laporan!$A$1:$AZ$300,F1056+1,H1056),2)))</f>
        <v>46087</v>
      </c>
      <c r="N1056" s="0" t="n">
        <f aca="false">INDEX(Laporan!$A$1:$AZ$300,G1056,H1056)</f>
        <v>9</v>
      </c>
      <c r="O1056" s="0" t="n">
        <f aca="false">IF(N1056="","",IFERROR(VALUE(SUBSTITUTE(SUBSTITUTE(N1056," btl",""),".","")),""))</f>
        <v>9</v>
      </c>
      <c r="P1056" s="0" t="str">
        <f aca="false">IF(B1056="PRODUKSI","produced","reject")</f>
        <v>reject</v>
      </c>
    </row>
    <row r="1057" customFormat="false" ht="15" hidden="false" customHeight="false" outlineLevel="0" collapsed="false">
      <c r="A1057" s="0" t="n">
        <v>1056</v>
      </c>
      <c r="B1057" s="0" t="str">
        <f aca="false">IF(A1057&lt;=36*25,"PRODUKSI","REJECT")</f>
        <v>REJECT</v>
      </c>
      <c r="C1057" s="0" t="n">
        <f aca="false">MOD(A1057-1,Pemetaan!$B$3*Pemetaan!$B$4)</f>
        <v>155</v>
      </c>
      <c r="D1057" s="0" t="n">
        <f aca="false">INT(C1057/Pemetaan!$B$4)</f>
        <v>6</v>
      </c>
      <c r="E1057" s="0" t="n">
        <f aca="false">MOD(C1057,Pemetaan!$B$4)</f>
        <v>5</v>
      </c>
      <c r="F1057" s="0" t="n">
        <f aca="false">IF(B1057="PRODUKSI",Pemetaan!$B$5,Pemetaan!$B$6)</f>
        <v>46</v>
      </c>
      <c r="G1057" s="0" t="n">
        <f aca="false">F1057+2+D1057</f>
        <v>54</v>
      </c>
      <c r="H1057" s="0" t="n">
        <f aca="false">Pemetaan!$B$2+E1057</f>
        <v>10</v>
      </c>
      <c r="I1057" s="0" t="str">
        <f aca="false">INDEX(Laporan!$A$1:$AZ$300,G1057,1)</f>
        <v>Water Treatment</v>
      </c>
      <c r="J1057" s="0" t="str">
        <f aca="false">INDEX(Laporan!$A$1:$AZ$300,G1057,2)</f>
        <v>600 ml</v>
      </c>
      <c r="K1057" s="0" t="str">
        <f aca="false">INDEX(Laporan!$A$1:$AZ$300,G1057,3)</f>
        <v>Shift 1</v>
      </c>
      <c r="L1057" s="0" t="n">
        <f aca="false">INDEX(Laporan!$A$1:$AZ$300,G1057,4)</f>
        <v>1</v>
      </c>
      <c r="M1057" s="1" t="n">
        <f aca="false">DATE(Pemetaan!$B$1,VALUE(RIGHT(INDEX(Laporan!$A$1:$AZ$300,F1057+1,H1057),2)),VALUE(LEFT(INDEX(Laporan!$A$1:$AZ$300,F1057+1,H1057),2)))</f>
        <v>46090</v>
      </c>
      <c r="N1057" s="0" t="n">
        <f aca="false">INDEX(Laporan!$A$1:$AZ$300,G1057,H1057)</f>
        <v>17</v>
      </c>
      <c r="O1057" s="0" t="n">
        <f aca="false">IF(N1057="","",IFERROR(VALUE(SUBSTITUTE(SUBSTITUTE(N1057," btl",""),".","")),""))</f>
        <v>17</v>
      </c>
      <c r="P1057" s="0" t="str">
        <f aca="false">IF(B1057="PRODUKSI","produced","reject")</f>
        <v>reject</v>
      </c>
    </row>
    <row r="1058" customFormat="false" ht="15" hidden="false" customHeight="false" outlineLevel="0" collapsed="false">
      <c r="A1058" s="0" t="n">
        <v>1057</v>
      </c>
      <c r="B1058" s="0" t="str">
        <f aca="false">IF(A1058&lt;=36*25,"PRODUKSI","REJECT")</f>
        <v>REJECT</v>
      </c>
      <c r="C1058" s="0" t="n">
        <f aca="false">MOD(A1058-1,Pemetaan!$B$3*Pemetaan!$B$4)</f>
        <v>156</v>
      </c>
      <c r="D1058" s="0" t="n">
        <f aca="false">INT(C1058/Pemetaan!$B$4)</f>
        <v>6</v>
      </c>
      <c r="E1058" s="0" t="n">
        <f aca="false">MOD(C1058,Pemetaan!$B$4)</f>
        <v>6</v>
      </c>
      <c r="F1058" s="0" t="n">
        <f aca="false">IF(B1058="PRODUKSI",Pemetaan!$B$5,Pemetaan!$B$6)</f>
        <v>46</v>
      </c>
      <c r="G1058" s="0" t="n">
        <f aca="false">F1058+2+D1058</f>
        <v>54</v>
      </c>
      <c r="H1058" s="0" t="n">
        <f aca="false">Pemetaan!$B$2+E1058</f>
        <v>11</v>
      </c>
      <c r="I1058" s="0" t="str">
        <f aca="false">INDEX(Laporan!$A$1:$AZ$300,G1058,1)</f>
        <v>Water Treatment</v>
      </c>
      <c r="J1058" s="0" t="str">
        <f aca="false">INDEX(Laporan!$A$1:$AZ$300,G1058,2)</f>
        <v>600 ml</v>
      </c>
      <c r="K1058" s="0" t="str">
        <f aca="false">INDEX(Laporan!$A$1:$AZ$300,G1058,3)</f>
        <v>Shift 1</v>
      </c>
      <c r="L1058" s="0" t="n">
        <f aca="false">INDEX(Laporan!$A$1:$AZ$300,G1058,4)</f>
        <v>1</v>
      </c>
      <c r="M1058" s="1" t="n">
        <f aca="false">DATE(Pemetaan!$B$1,VALUE(RIGHT(INDEX(Laporan!$A$1:$AZ$300,F1058+1,H1058),2)),VALUE(LEFT(INDEX(Laporan!$A$1:$AZ$300,F1058+1,H1058),2)))</f>
        <v>46091</v>
      </c>
      <c r="N1058" s="0" t="n">
        <f aca="false">INDEX(Laporan!$A$1:$AZ$300,G1058,H1058)</f>
        <v>9</v>
      </c>
      <c r="O1058" s="0" t="n">
        <f aca="false">IF(N1058="","",IFERROR(VALUE(SUBSTITUTE(SUBSTITUTE(N1058," btl",""),".","")),""))</f>
        <v>9</v>
      </c>
      <c r="P1058" s="0" t="str">
        <f aca="false">IF(B1058="PRODUKSI","produced","reject")</f>
        <v>reject</v>
      </c>
    </row>
    <row r="1059" customFormat="false" ht="15" hidden="false" customHeight="false" outlineLevel="0" collapsed="false">
      <c r="A1059" s="0" t="n">
        <v>1058</v>
      </c>
      <c r="B1059" s="0" t="str">
        <f aca="false">IF(A1059&lt;=36*25,"PRODUKSI","REJECT")</f>
        <v>REJECT</v>
      </c>
      <c r="C1059" s="0" t="n">
        <f aca="false">MOD(A1059-1,Pemetaan!$B$3*Pemetaan!$B$4)</f>
        <v>157</v>
      </c>
      <c r="D1059" s="0" t="n">
        <f aca="false">INT(C1059/Pemetaan!$B$4)</f>
        <v>6</v>
      </c>
      <c r="E1059" s="0" t="n">
        <f aca="false">MOD(C1059,Pemetaan!$B$4)</f>
        <v>7</v>
      </c>
      <c r="F1059" s="0" t="n">
        <f aca="false">IF(B1059="PRODUKSI",Pemetaan!$B$5,Pemetaan!$B$6)</f>
        <v>46</v>
      </c>
      <c r="G1059" s="0" t="n">
        <f aca="false">F1059+2+D1059</f>
        <v>54</v>
      </c>
      <c r="H1059" s="0" t="n">
        <f aca="false">Pemetaan!$B$2+E1059</f>
        <v>12</v>
      </c>
      <c r="I1059" s="0" t="str">
        <f aca="false">INDEX(Laporan!$A$1:$AZ$300,G1059,1)</f>
        <v>Water Treatment</v>
      </c>
      <c r="J1059" s="0" t="str">
        <f aca="false">INDEX(Laporan!$A$1:$AZ$300,G1059,2)</f>
        <v>600 ml</v>
      </c>
      <c r="K1059" s="0" t="str">
        <f aca="false">INDEX(Laporan!$A$1:$AZ$300,G1059,3)</f>
        <v>Shift 1</v>
      </c>
      <c r="L1059" s="0" t="n">
        <f aca="false">INDEX(Laporan!$A$1:$AZ$300,G1059,4)</f>
        <v>1</v>
      </c>
      <c r="M1059" s="1" t="n">
        <f aca="false">DATE(Pemetaan!$B$1,VALUE(RIGHT(INDEX(Laporan!$A$1:$AZ$300,F1059+1,H1059),2)),VALUE(LEFT(INDEX(Laporan!$A$1:$AZ$300,F1059+1,H1059),2)))</f>
        <v>46092</v>
      </c>
      <c r="N1059" s="0" t="n">
        <f aca="false">INDEX(Laporan!$A$1:$AZ$300,G1059,H1059)</f>
        <v>13</v>
      </c>
      <c r="O1059" s="0" t="n">
        <f aca="false">IF(N1059="","",IFERROR(VALUE(SUBSTITUTE(SUBSTITUTE(N1059," btl",""),".","")),""))</f>
        <v>13</v>
      </c>
      <c r="P1059" s="0" t="str">
        <f aca="false">IF(B1059="PRODUKSI","produced","reject")</f>
        <v>reject</v>
      </c>
    </row>
    <row r="1060" customFormat="false" ht="15" hidden="false" customHeight="false" outlineLevel="0" collapsed="false">
      <c r="A1060" s="0" t="n">
        <v>1059</v>
      </c>
      <c r="B1060" s="0" t="str">
        <f aca="false">IF(A1060&lt;=36*25,"PRODUKSI","REJECT")</f>
        <v>REJECT</v>
      </c>
      <c r="C1060" s="0" t="n">
        <f aca="false">MOD(A1060-1,Pemetaan!$B$3*Pemetaan!$B$4)</f>
        <v>158</v>
      </c>
      <c r="D1060" s="0" t="n">
        <f aca="false">INT(C1060/Pemetaan!$B$4)</f>
        <v>6</v>
      </c>
      <c r="E1060" s="0" t="n">
        <f aca="false">MOD(C1060,Pemetaan!$B$4)</f>
        <v>8</v>
      </c>
      <c r="F1060" s="0" t="n">
        <f aca="false">IF(B1060="PRODUKSI",Pemetaan!$B$5,Pemetaan!$B$6)</f>
        <v>46</v>
      </c>
      <c r="G1060" s="0" t="n">
        <f aca="false">F1060+2+D1060</f>
        <v>54</v>
      </c>
      <c r="H1060" s="0" t="n">
        <f aca="false">Pemetaan!$B$2+E1060</f>
        <v>13</v>
      </c>
      <c r="I1060" s="0" t="str">
        <f aca="false">INDEX(Laporan!$A$1:$AZ$300,G1060,1)</f>
        <v>Water Treatment</v>
      </c>
      <c r="J1060" s="0" t="str">
        <f aca="false">INDEX(Laporan!$A$1:$AZ$300,G1060,2)</f>
        <v>600 ml</v>
      </c>
      <c r="K1060" s="0" t="str">
        <f aca="false">INDEX(Laporan!$A$1:$AZ$300,G1060,3)</f>
        <v>Shift 1</v>
      </c>
      <c r="L1060" s="0" t="n">
        <f aca="false">INDEX(Laporan!$A$1:$AZ$300,G1060,4)</f>
        <v>1</v>
      </c>
      <c r="M1060" s="1" t="n">
        <f aca="false">DATE(Pemetaan!$B$1,VALUE(RIGHT(INDEX(Laporan!$A$1:$AZ$300,F1060+1,H1060),2)),VALUE(LEFT(INDEX(Laporan!$A$1:$AZ$300,F1060+1,H1060),2)))</f>
        <v>46093</v>
      </c>
      <c r="N1060" s="0" t="n">
        <f aca="false">INDEX(Laporan!$A$1:$AZ$300,G1060,H1060)</f>
        <v>9</v>
      </c>
      <c r="O1060" s="0" t="n">
        <f aca="false">IF(N1060="","",IFERROR(VALUE(SUBSTITUTE(SUBSTITUTE(N1060," btl",""),".","")),""))</f>
        <v>9</v>
      </c>
      <c r="P1060" s="0" t="str">
        <f aca="false">IF(B1060="PRODUKSI","produced","reject")</f>
        <v>reject</v>
      </c>
    </row>
    <row r="1061" customFormat="false" ht="15" hidden="false" customHeight="false" outlineLevel="0" collapsed="false">
      <c r="A1061" s="0" t="n">
        <v>1060</v>
      </c>
      <c r="B1061" s="0" t="str">
        <f aca="false">IF(A1061&lt;=36*25,"PRODUKSI","REJECT")</f>
        <v>REJECT</v>
      </c>
      <c r="C1061" s="0" t="n">
        <f aca="false">MOD(A1061-1,Pemetaan!$B$3*Pemetaan!$B$4)</f>
        <v>159</v>
      </c>
      <c r="D1061" s="0" t="n">
        <f aca="false">INT(C1061/Pemetaan!$B$4)</f>
        <v>6</v>
      </c>
      <c r="E1061" s="0" t="n">
        <f aca="false">MOD(C1061,Pemetaan!$B$4)</f>
        <v>9</v>
      </c>
      <c r="F1061" s="0" t="n">
        <f aca="false">IF(B1061="PRODUKSI",Pemetaan!$B$5,Pemetaan!$B$6)</f>
        <v>46</v>
      </c>
      <c r="G1061" s="0" t="n">
        <f aca="false">F1061+2+D1061</f>
        <v>54</v>
      </c>
      <c r="H1061" s="0" t="n">
        <f aca="false">Pemetaan!$B$2+E1061</f>
        <v>14</v>
      </c>
      <c r="I1061" s="0" t="str">
        <f aca="false">INDEX(Laporan!$A$1:$AZ$300,G1061,1)</f>
        <v>Water Treatment</v>
      </c>
      <c r="J1061" s="0" t="str">
        <f aca="false">INDEX(Laporan!$A$1:$AZ$300,G1061,2)</f>
        <v>600 ml</v>
      </c>
      <c r="K1061" s="0" t="str">
        <f aca="false">INDEX(Laporan!$A$1:$AZ$300,G1061,3)</f>
        <v>Shift 1</v>
      </c>
      <c r="L1061" s="0" t="n">
        <f aca="false">INDEX(Laporan!$A$1:$AZ$300,G1061,4)</f>
        <v>1</v>
      </c>
      <c r="M1061" s="1" t="n">
        <f aca="false">DATE(Pemetaan!$B$1,VALUE(RIGHT(INDEX(Laporan!$A$1:$AZ$300,F1061+1,H1061),2)),VALUE(LEFT(INDEX(Laporan!$A$1:$AZ$300,F1061+1,H1061),2)))</f>
        <v>46094</v>
      </c>
      <c r="N1061" s="0" t="n">
        <f aca="false">INDEX(Laporan!$A$1:$AZ$300,G1061,H1061)</f>
        <v>7</v>
      </c>
      <c r="O1061" s="0" t="n">
        <f aca="false">IF(N1061="","",IFERROR(VALUE(SUBSTITUTE(SUBSTITUTE(N1061," btl",""),".","")),""))</f>
        <v>7</v>
      </c>
      <c r="P1061" s="0" t="str">
        <f aca="false">IF(B1061="PRODUKSI","produced","reject")</f>
        <v>reject</v>
      </c>
    </row>
    <row r="1062" customFormat="false" ht="15" hidden="false" customHeight="false" outlineLevel="0" collapsed="false">
      <c r="A1062" s="0" t="n">
        <v>1061</v>
      </c>
      <c r="B1062" s="0" t="str">
        <f aca="false">IF(A1062&lt;=36*25,"PRODUKSI","REJECT")</f>
        <v>REJECT</v>
      </c>
      <c r="C1062" s="0" t="n">
        <f aca="false">MOD(A1062-1,Pemetaan!$B$3*Pemetaan!$B$4)</f>
        <v>160</v>
      </c>
      <c r="D1062" s="0" t="n">
        <f aca="false">INT(C1062/Pemetaan!$B$4)</f>
        <v>6</v>
      </c>
      <c r="E1062" s="0" t="n">
        <f aca="false">MOD(C1062,Pemetaan!$B$4)</f>
        <v>10</v>
      </c>
      <c r="F1062" s="0" t="n">
        <f aca="false">IF(B1062="PRODUKSI",Pemetaan!$B$5,Pemetaan!$B$6)</f>
        <v>46</v>
      </c>
      <c r="G1062" s="0" t="n">
        <f aca="false">F1062+2+D1062</f>
        <v>54</v>
      </c>
      <c r="H1062" s="0" t="n">
        <f aca="false">Pemetaan!$B$2+E1062</f>
        <v>15</v>
      </c>
      <c r="I1062" s="0" t="str">
        <f aca="false">INDEX(Laporan!$A$1:$AZ$300,G1062,1)</f>
        <v>Water Treatment</v>
      </c>
      <c r="J1062" s="0" t="str">
        <f aca="false">INDEX(Laporan!$A$1:$AZ$300,G1062,2)</f>
        <v>600 ml</v>
      </c>
      <c r="K1062" s="0" t="str">
        <f aca="false">INDEX(Laporan!$A$1:$AZ$300,G1062,3)</f>
        <v>Shift 1</v>
      </c>
      <c r="L1062" s="0" t="n">
        <f aca="false">INDEX(Laporan!$A$1:$AZ$300,G1062,4)</f>
        <v>1</v>
      </c>
      <c r="M1062" s="1" t="n">
        <f aca="false">DATE(Pemetaan!$B$1,VALUE(RIGHT(INDEX(Laporan!$A$1:$AZ$300,F1062+1,H1062),2)),VALUE(LEFT(INDEX(Laporan!$A$1:$AZ$300,F1062+1,H1062),2)))</f>
        <v>46097</v>
      </c>
      <c r="N1062" s="0" t="n">
        <f aca="false">INDEX(Laporan!$A$1:$AZ$300,G1062,H1062)</f>
        <v>9</v>
      </c>
      <c r="O1062" s="0" t="n">
        <f aca="false">IF(N1062="","",IFERROR(VALUE(SUBSTITUTE(SUBSTITUTE(N1062," btl",""),".","")),""))</f>
        <v>9</v>
      </c>
      <c r="P1062" s="0" t="str">
        <f aca="false">IF(B1062="PRODUKSI","produced","reject")</f>
        <v>reject</v>
      </c>
    </row>
    <row r="1063" customFormat="false" ht="15" hidden="false" customHeight="false" outlineLevel="0" collapsed="false">
      <c r="A1063" s="0" t="n">
        <v>1062</v>
      </c>
      <c r="B1063" s="0" t="str">
        <f aca="false">IF(A1063&lt;=36*25,"PRODUKSI","REJECT")</f>
        <v>REJECT</v>
      </c>
      <c r="C1063" s="0" t="n">
        <f aca="false">MOD(A1063-1,Pemetaan!$B$3*Pemetaan!$B$4)</f>
        <v>161</v>
      </c>
      <c r="D1063" s="0" t="n">
        <f aca="false">INT(C1063/Pemetaan!$B$4)</f>
        <v>6</v>
      </c>
      <c r="E1063" s="0" t="n">
        <f aca="false">MOD(C1063,Pemetaan!$B$4)</f>
        <v>11</v>
      </c>
      <c r="F1063" s="0" t="n">
        <f aca="false">IF(B1063="PRODUKSI",Pemetaan!$B$5,Pemetaan!$B$6)</f>
        <v>46</v>
      </c>
      <c r="G1063" s="0" t="n">
        <f aca="false">F1063+2+D1063</f>
        <v>54</v>
      </c>
      <c r="H1063" s="0" t="n">
        <f aca="false">Pemetaan!$B$2+E1063</f>
        <v>16</v>
      </c>
      <c r="I1063" s="0" t="str">
        <f aca="false">INDEX(Laporan!$A$1:$AZ$300,G1063,1)</f>
        <v>Water Treatment</v>
      </c>
      <c r="J1063" s="0" t="str">
        <f aca="false">INDEX(Laporan!$A$1:$AZ$300,G1063,2)</f>
        <v>600 ml</v>
      </c>
      <c r="K1063" s="0" t="str">
        <f aca="false">INDEX(Laporan!$A$1:$AZ$300,G1063,3)</f>
        <v>Shift 1</v>
      </c>
      <c r="L1063" s="0" t="n">
        <f aca="false">INDEX(Laporan!$A$1:$AZ$300,G1063,4)</f>
        <v>1</v>
      </c>
      <c r="M1063" s="1" t="n">
        <f aca="false">DATE(Pemetaan!$B$1,VALUE(RIGHT(INDEX(Laporan!$A$1:$AZ$300,F1063+1,H1063),2)),VALUE(LEFT(INDEX(Laporan!$A$1:$AZ$300,F1063+1,H1063),2)))</f>
        <v>46098</v>
      </c>
      <c r="N1063" s="0" t="n">
        <f aca="false">INDEX(Laporan!$A$1:$AZ$300,G1063,H1063)</f>
        <v>12</v>
      </c>
      <c r="O1063" s="0" t="n">
        <f aca="false">IF(N1063="","",IFERROR(VALUE(SUBSTITUTE(SUBSTITUTE(N1063," btl",""),".","")),""))</f>
        <v>12</v>
      </c>
      <c r="P1063" s="0" t="str">
        <f aca="false">IF(B1063="PRODUKSI","produced","reject")</f>
        <v>reject</v>
      </c>
    </row>
    <row r="1064" customFormat="false" ht="15" hidden="false" customHeight="false" outlineLevel="0" collapsed="false">
      <c r="A1064" s="0" t="n">
        <v>1063</v>
      </c>
      <c r="B1064" s="0" t="str">
        <f aca="false">IF(A1064&lt;=36*25,"PRODUKSI","REJECT")</f>
        <v>REJECT</v>
      </c>
      <c r="C1064" s="0" t="n">
        <f aca="false">MOD(A1064-1,Pemetaan!$B$3*Pemetaan!$B$4)</f>
        <v>162</v>
      </c>
      <c r="D1064" s="0" t="n">
        <f aca="false">INT(C1064/Pemetaan!$B$4)</f>
        <v>6</v>
      </c>
      <c r="E1064" s="0" t="n">
        <f aca="false">MOD(C1064,Pemetaan!$B$4)</f>
        <v>12</v>
      </c>
      <c r="F1064" s="0" t="n">
        <f aca="false">IF(B1064="PRODUKSI",Pemetaan!$B$5,Pemetaan!$B$6)</f>
        <v>46</v>
      </c>
      <c r="G1064" s="0" t="n">
        <f aca="false">F1064+2+D1064</f>
        <v>54</v>
      </c>
      <c r="H1064" s="0" t="n">
        <f aca="false">Pemetaan!$B$2+E1064</f>
        <v>17</v>
      </c>
      <c r="I1064" s="0" t="str">
        <f aca="false">INDEX(Laporan!$A$1:$AZ$300,G1064,1)</f>
        <v>Water Treatment</v>
      </c>
      <c r="J1064" s="0" t="str">
        <f aca="false">INDEX(Laporan!$A$1:$AZ$300,G1064,2)</f>
        <v>600 ml</v>
      </c>
      <c r="K1064" s="0" t="str">
        <f aca="false">INDEX(Laporan!$A$1:$AZ$300,G1064,3)</f>
        <v>Shift 1</v>
      </c>
      <c r="L1064" s="0" t="n">
        <f aca="false">INDEX(Laporan!$A$1:$AZ$300,G1064,4)</f>
        <v>1</v>
      </c>
      <c r="M1064" s="1" t="n">
        <f aca="false">DATE(Pemetaan!$B$1,VALUE(RIGHT(INDEX(Laporan!$A$1:$AZ$300,F1064+1,H1064),2)),VALUE(LEFT(INDEX(Laporan!$A$1:$AZ$300,F1064+1,H1064),2)))</f>
        <v>46099</v>
      </c>
      <c r="N1064" s="0" t="n">
        <f aca="false">INDEX(Laporan!$A$1:$AZ$300,G1064,H1064)</f>
        <v>9</v>
      </c>
      <c r="O1064" s="0" t="n">
        <f aca="false">IF(N1064="","",IFERROR(VALUE(SUBSTITUTE(SUBSTITUTE(N1064," btl",""),".","")),""))</f>
        <v>9</v>
      </c>
      <c r="P1064" s="0" t="str">
        <f aca="false">IF(B1064="PRODUKSI","produced","reject")</f>
        <v>reject</v>
      </c>
    </row>
    <row r="1065" customFormat="false" ht="15" hidden="false" customHeight="false" outlineLevel="0" collapsed="false">
      <c r="A1065" s="0" t="n">
        <v>1064</v>
      </c>
      <c r="B1065" s="0" t="str">
        <f aca="false">IF(A1065&lt;=36*25,"PRODUKSI","REJECT")</f>
        <v>REJECT</v>
      </c>
      <c r="C1065" s="0" t="n">
        <f aca="false">MOD(A1065-1,Pemetaan!$B$3*Pemetaan!$B$4)</f>
        <v>163</v>
      </c>
      <c r="D1065" s="0" t="n">
        <f aca="false">INT(C1065/Pemetaan!$B$4)</f>
        <v>6</v>
      </c>
      <c r="E1065" s="0" t="n">
        <f aca="false">MOD(C1065,Pemetaan!$B$4)</f>
        <v>13</v>
      </c>
      <c r="F1065" s="0" t="n">
        <f aca="false">IF(B1065="PRODUKSI",Pemetaan!$B$5,Pemetaan!$B$6)</f>
        <v>46</v>
      </c>
      <c r="G1065" s="0" t="n">
        <f aca="false">F1065+2+D1065</f>
        <v>54</v>
      </c>
      <c r="H1065" s="0" t="n">
        <f aca="false">Pemetaan!$B$2+E1065</f>
        <v>18</v>
      </c>
      <c r="I1065" s="0" t="str">
        <f aca="false">INDEX(Laporan!$A$1:$AZ$300,G1065,1)</f>
        <v>Water Treatment</v>
      </c>
      <c r="J1065" s="0" t="str">
        <f aca="false">INDEX(Laporan!$A$1:$AZ$300,G1065,2)</f>
        <v>600 ml</v>
      </c>
      <c r="K1065" s="0" t="str">
        <f aca="false">INDEX(Laporan!$A$1:$AZ$300,G1065,3)</f>
        <v>Shift 1</v>
      </c>
      <c r="L1065" s="0" t="n">
        <f aca="false">INDEX(Laporan!$A$1:$AZ$300,G1065,4)</f>
        <v>1</v>
      </c>
      <c r="M1065" s="1" t="n">
        <f aca="false">DATE(Pemetaan!$B$1,VALUE(RIGHT(INDEX(Laporan!$A$1:$AZ$300,F1065+1,H1065),2)),VALUE(LEFT(INDEX(Laporan!$A$1:$AZ$300,F1065+1,H1065),2)))</f>
        <v>46100</v>
      </c>
      <c r="N1065" s="0" t="n">
        <f aca="false">INDEX(Laporan!$A$1:$AZ$300,G1065,H1065)</f>
        <v>13</v>
      </c>
      <c r="O1065" s="0" t="n">
        <f aca="false">IF(N1065="","",IFERROR(VALUE(SUBSTITUTE(SUBSTITUTE(N1065," btl",""),".","")),""))</f>
        <v>13</v>
      </c>
      <c r="P1065" s="0" t="str">
        <f aca="false">IF(B1065="PRODUKSI","produced","reject")</f>
        <v>reject</v>
      </c>
    </row>
    <row r="1066" customFormat="false" ht="15" hidden="false" customHeight="false" outlineLevel="0" collapsed="false">
      <c r="A1066" s="0" t="n">
        <v>1065</v>
      </c>
      <c r="B1066" s="0" t="str">
        <f aca="false">IF(A1066&lt;=36*25,"PRODUKSI","REJECT")</f>
        <v>REJECT</v>
      </c>
      <c r="C1066" s="0" t="n">
        <f aca="false">MOD(A1066-1,Pemetaan!$B$3*Pemetaan!$B$4)</f>
        <v>164</v>
      </c>
      <c r="D1066" s="0" t="n">
        <f aca="false">INT(C1066/Pemetaan!$B$4)</f>
        <v>6</v>
      </c>
      <c r="E1066" s="0" t="n">
        <f aca="false">MOD(C1066,Pemetaan!$B$4)</f>
        <v>14</v>
      </c>
      <c r="F1066" s="0" t="n">
        <f aca="false">IF(B1066="PRODUKSI",Pemetaan!$B$5,Pemetaan!$B$6)</f>
        <v>46</v>
      </c>
      <c r="G1066" s="0" t="n">
        <f aca="false">F1066+2+D1066</f>
        <v>54</v>
      </c>
      <c r="H1066" s="0" t="n">
        <f aca="false">Pemetaan!$B$2+E1066</f>
        <v>19</v>
      </c>
      <c r="I1066" s="0" t="str">
        <f aca="false">INDEX(Laporan!$A$1:$AZ$300,G1066,1)</f>
        <v>Water Treatment</v>
      </c>
      <c r="J1066" s="0" t="str">
        <f aca="false">INDEX(Laporan!$A$1:$AZ$300,G1066,2)</f>
        <v>600 ml</v>
      </c>
      <c r="K1066" s="0" t="str">
        <f aca="false">INDEX(Laporan!$A$1:$AZ$300,G1066,3)</f>
        <v>Shift 1</v>
      </c>
      <c r="L1066" s="0" t="n">
        <f aca="false">INDEX(Laporan!$A$1:$AZ$300,G1066,4)</f>
        <v>1</v>
      </c>
      <c r="M1066" s="1" t="n">
        <f aca="false">DATE(Pemetaan!$B$1,VALUE(RIGHT(INDEX(Laporan!$A$1:$AZ$300,F1066+1,H1066),2)),VALUE(LEFT(INDEX(Laporan!$A$1:$AZ$300,F1066+1,H1066),2)))</f>
        <v>46101</v>
      </c>
      <c r="N1066" s="0" t="n">
        <f aca="false">INDEX(Laporan!$A$1:$AZ$300,G1066,H1066)</f>
        <v>11</v>
      </c>
      <c r="O1066" s="0" t="n">
        <f aca="false">IF(N1066="","",IFERROR(VALUE(SUBSTITUTE(SUBSTITUTE(N1066," btl",""),".","")),""))</f>
        <v>11</v>
      </c>
      <c r="P1066" s="0" t="str">
        <f aca="false">IF(B1066="PRODUKSI","produced","reject")</f>
        <v>reject</v>
      </c>
    </row>
    <row r="1067" customFormat="false" ht="15" hidden="false" customHeight="false" outlineLevel="0" collapsed="false">
      <c r="A1067" s="0" t="n">
        <v>1066</v>
      </c>
      <c r="B1067" s="0" t="str">
        <f aca="false">IF(A1067&lt;=36*25,"PRODUKSI","REJECT")</f>
        <v>REJECT</v>
      </c>
      <c r="C1067" s="0" t="n">
        <f aca="false">MOD(A1067-1,Pemetaan!$B$3*Pemetaan!$B$4)</f>
        <v>165</v>
      </c>
      <c r="D1067" s="0" t="n">
        <f aca="false">INT(C1067/Pemetaan!$B$4)</f>
        <v>6</v>
      </c>
      <c r="E1067" s="0" t="n">
        <f aca="false">MOD(C1067,Pemetaan!$B$4)</f>
        <v>15</v>
      </c>
      <c r="F1067" s="0" t="n">
        <f aca="false">IF(B1067="PRODUKSI",Pemetaan!$B$5,Pemetaan!$B$6)</f>
        <v>46</v>
      </c>
      <c r="G1067" s="0" t="n">
        <f aca="false">F1067+2+D1067</f>
        <v>54</v>
      </c>
      <c r="H1067" s="0" t="n">
        <f aca="false">Pemetaan!$B$2+E1067</f>
        <v>20</v>
      </c>
      <c r="I1067" s="0" t="str">
        <f aca="false">INDEX(Laporan!$A$1:$AZ$300,G1067,1)</f>
        <v>Water Treatment</v>
      </c>
      <c r="J1067" s="0" t="str">
        <f aca="false">INDEX(Laporan!$A$1:$AZ$300,G1067,2)</f>
        <v>600 ml</v>
      </c>
      <c r="K1067" s="0" t="str">
        <f aca="false">INDEX(Laporan!$A$1:$AZ$300,G1067,3)</f>
        <v>Shift 1</v>
      </c>
      <c r="L1067" s="0" t="n">
        <f aca="false">INDEX(Laporan!$A$1:$AZ$300,G1067,4)</f>
        <v>1</v>
      </c>
      <c r="M1067" s="1" t="n">
        <f aca="false">DATE(Pemetaan!$B$1,VALUE(RIGHT(INDEX(Laporan!$A$1:$AZ$300,F1067+1,H1067),2)),VALUE(LEFT(INDEX(Laporan!$A$1:$AZ$300,F1067+1,H1067),2)))</f>
        <v>46104</v>
      </c>
      <c r="N1067" s="0" t="n">
        <f aca="false">INDEX(Laporan!$A$1:$AZ$300,G1067,H1067)</f>
        <v>15</v>
      </c>
      <c r="O1067" s="0" t="n">
        <f aca="false">IF(N1067="","",IFERROR(VALUE(SUBSTITUTE(SUBSTITUTE(N1067," btl",""),".","")),""))</f>
        <v>15</v>
      </c>
      <c r="P1067" s="0" t="str">
        <f aca="false">IF(B1067="PRODUKSI","produced","reject")</f>
        <v>reject</v>
      </c>
    </row>
    <row r="1068" customFormat="false" ht="15" hidden="false" customHeight="false" outlineLevel="0" collapsed="false">
      <c r="A1068" s="0" t="n">
        <v>1067</v>
      </c>
      <c r="B1068" s="0" t="str">
        <f aca="false">IF(A1068&lt;=36*25,"PRODUKSI","REJECT")</f>
        <v>REJECT</v>
      </c>
      <c r="C1068" s="0" t="n">
        <f aca="false">MOD(A1068-1,Pemetaan!$B$3*Pemetaan!$B$4)</f>
        <v>166</v>
      </c>
      <c r="D1068" s="0" t="n">
        <f aca="false">INT(C1068/Pemetaan!$B$4)</f>
        <v>6</v>
      </c>
      <c r="E1068" s="0" t="n">
        <f aca="false">MOD(C1068,Pemetaan!$B$4)</f>
        <v>16</v>
      </c>
      <c r="F1068" s="0" t="n">
        <f aca="false">IF(B1068="PRODUKSI",Pemetaan!$B$5,Pemetaan!$B$6)</f>
        <v>46</v>
      </c>
      <c r="G1068" s="0" t="n">
        <f aca="false">F1068+2+D1068</f>
        <v>54</v>
      </c>
      <c r="H1068" s="0" t="n">
        <f aca="false">Pemetaan!$B$2+E1068</f>
        <v>21</v>
      </c>
      <c r="I1068" s="0" t="str">
        <f aca="false">INDEX(Laporan!$A$1:$AZ$300,G1068,1)</f>
        <v>Water Treatment</v>
      </c>
      <c r="J1068" s="0" t="str">
        <f aca="false">INDEX(Laporan!$A$1:$AZ$300,G1068,2)</f>
        <v>600 ml</v>
      </c>
      <c r="K1068" s="0" t="str">
        <f aca="false">INDEX(Laporan!$A$1:$AZ$300,G1068,3)</f>
        <v>Shift 1</v>
      </c>
      <c r="L1068" s="0" t="n">
        <f aca="false">INDEX(Laporan!$A$1:$AZ$300,G1068,4)</f>
        <v>1</v>
      </c>
      <c r="M1068" s="1" t="n">
        <f aca="false">DATE(Pemetaan!$B$1,VALUE(RIGHT(INDEX(Laporan!$A$1:$AZ$300,F1068+1,H1068),2)),VALUE(LEFT(INDEX(Laporan!$A$1:$AZ$300,F1068+1,H1068),2)))</f>
        <v>46105</v>
      </c>
      <c r="N1068" s="0" t="n">
        <f aca="false">INDEX(Laporan!$A$1:$AZ$300,G1068,H1068)</f>
        <v>7</v>
      </c>
      <c r="O1068" s="0" t="n">
        <f aca="false">IF(N1068="","",IFERROR(VALUE(SUBSTITUTE(SUBSTITUTE(N1068," btl",""),".","")),""))</f>
        <v>7</v>
      </c>
      <c r="P1068" s="0" t="str">
        <f aca="false">IF(B1068="PRODUKSI","produced","reject")</f>
        <v>reject</v>
      </c>
    </row>
    <row r="1069" customFormat="false" ht="15" hidden="false" customHeight="false" outlineLevel="0" collapsed="false">
      <c r="A1069" s="0" t="n">
        <v>1068</v>
      </c>
      <c r="B1069" s="0" t="str">
        <f aca="false">IF(A1069&lt;=36*25,"PRODUKSI","REJECT")</f>
        <v>REJECT</v>
      </c>
      <c r="C1069" s="0" t="n">
        <f aca="false">MOD(A1069-1,Pemetaan!$B$3*Pemetaan!$B$4)</f>
        <v>167</v>
      </c>
      <c r="D1069" s="0" t="n">
        <f aca="false">INT(C1069/Pemetaan!$B$4)</f>
        <v>6</v>
      </c>
      <c r="E1069" s="0" t="n">
        <f aca="false">MOD(C1069,Pemetaan!$B$4)</f>
        <v>17</v>
      </c>
      <c r="F1069" s="0" t="n">
        <f aca="false">IF(B1069="PRODUKSI",Pemetaan!$B$5,Pemetaan!$B$6)</f>
        <v>46</v>
      </c>
      <c r="G1069" s="0" t="n">
        <f aca="false">F1069+2+D1069</f>
        <v>54</v>
      </c>
      <c r="H1069" s="0" t="n">
        <f aca="false">Pemetaan!$B$2+E1069</f>
        <v>22</v>
      </c>
      <c r="I1069" s="0" t="str">
        <f aca="false">INDEX(Laporan!$A$1:$AZ$300,G1069,1)</f>
        <v>Water Treatment</v>
      </c>
      <c r="J1069" s="0" t="str">
        <f aca="false">INDEX(Laporan!$A$1:$AZ$300,G1069,2)</f>
        <v>600 ml</v>
      </c>
      <c r="K1069" s="0" t="str">
        <f aca="false">INDEX(Laporan!$A$1:$AZ$300,G1069,3)</f>
        <v>Shift 1</v>
      </c>
      <c r="L1069" s="0" t="n">
        <f aca="false">INDEX(Laporan!$A$1:$AZ$300,G1069,4)</f>
        <v>1</v>
      </c>
      <c r="M1069" s="1" t="n">
        <f aca="false">DATE(Pemetaan!$B$1,VALUE(RIGHT(INDEX(Laporan!$A$1:$AZ$300,F1069+1,H1069),2)),VALUE(LEFT(INDEX(Laporan!$A$1:$AZ$300,F1069+1,H1069),2)))</f>
        <v>46106</v>
      </c>
      <c r="N1069" s="0" t="n">
        <f aca="false">INDEX(Laporan!$A$1:$AZ$300,G1069,H1069)</f>
        <v>17</v>
      </c>
      <c r="O1069" s="0" t="n">
        <f aca="false">IF(N1069="","",IFERROR(VALUE(SUBSTITUTE(SUBSTITUTE(N1069," btl",""),".","")),""))</f>
        <v>17</v>
      </c>
      <c r="P1069" s="0" t="str">
        <f aca="false">IF(B1069="PRODUKSI","produced","reject")</f>
        <v>reject</v>
      </c>
    </row>
    <row r="1070" customFormat="false" ht="15" hidden="false" customHeight="false" outlineLevel="0" collapsed="false">
      <c r="A1070" s="0" t="n">
        <v>1069</v>
      </c>
      <c r="B1070" s="0" t="str">
        <f aca="false">IF(A1070&lt;=36*25,"PRODUKSI","REJECT")</f>
        <v>REJECT</v>
      </c>
      <c r="C1070" s="0" t="n">
        <f aca="false">MOD(A1070-1,Pemetaan!$B$3*Pemetaan!$B$4)</f>
        <v>168</v>
      </c>
      <c r="D1070" s="0" t="n">
        <f aca="false">INT(C1070/Pemetaan!$B$4)</f>
        <v>6</v>
      </c>
      <c r="E1070" s="0" t="n">
        <f aca="false">MOD(C1070,Pemetaan!$B$4)</f>
        <v>18</v>
      </c>
      <c r="F1070" s="0" t="n">
        <f aca="false">IF(B1070="PRODUKSI",Pemetaan!$B$5,Pemetaan!$B$6)</f>
        <v>46</v>
      </c>
      <c r="G1070" s="0" t="n">
        <f aca="false">F1070+2+D1070</f>
        <v>54</v>
      </c>
      <c r="H1070" s="0" t="n">
        <f aca="false">Pemetaan!$B$2+E1070</f>
        <v>23</v>
      </c>
      <c r="I1070" s="0" t="str">
        <f aca="false">INDEX(Laporan!$A$1:$AZ$300,G1070,1)</f>
        <v>Water Treatment</v>
      </c>
      <c r="J1070" s="0" t="str">
        <f aca="false">INDEX(Laporan!$A$1:$AZ$300,G1070,2)</f>
        <v>600 ml</v>
      </c>
      <c r="K1070" s="0" t="str">
        <f aca="false">INDEX(Laporan!$A$1:$AZ$300,G1070,3)</f>
        <v>Shift 1</v>
      </c>
      <c r="L1070" s="0" t="n">
        <f aca="false">INDEX(Laporan!$A$1:$AZ$300,G1070,4)</f>
        <v>1</v>
      </c>
      <c r="M1070" s="1" t="n">
        <f aca="false">DATE(Pemetaan!$B$1,VALUE(RIGHT(INDEX(Laporan!$A$1:$AZ$300,F1070+1,H1070),2)),VALUE(LEFT(INDEX(Laporan!$A$1:$AZ$300,F1070+1,H1070),2)))</f>
        <v>46107</v>
      </c>
      <c r="N1070" s="0" t="n">
        <f aca="false">INDEX(Laporan!$A$1:$AZ$300,G1070,H1070)</f>
        <v>11</v>
      </c>
      <c r="O1070" s="0" t="n">
        <f aca="false">IF(N1070="","",IFERROR(VALUE(SUBSTITUTE(SUBSTITUTE(N1070," btl",""),".","")),""))</f>
        <v>11</v>
      </c>
      <c r="P1070" s="0" t="str">
        <f aca="false">IF(B1070="PRODUKSI","produced","reject")</f>
        <v>reject</v>
      </c>
    </row>
    <row r="1071" customFormat="false" ht="15" hidden="false" customHeight="false" outlineLevel="0" collapsed="false">
      <c r="A1071" s="0" t="n">
        <v>1070</v>
      </c>
      <c r="B1071" s="0" t="str">
        <f aca="false">IF(A1071&lt;=36*25,"PRODUKSI","REJECT")</f>
        <v>REJECT</v>
      </c>
      <c r="C1071" s="0" t="n">
        <f aca="false">MOD(A1071-1,Pemetaan!$B$3*Pemetaan!$B$4)</f>
        <v>169</v>
      </c>
      <c r="D1071" s="0" t="n">
        <f aca="false">INT(C1071/Pemetaan!$B$4)</f>
        <v>6</v>
      </c>
      <c r="E1071" s="0" t="n">
        <f aca="false">MOD(C1071,Pemetaan!$B$4)</f>
        <v>19</v>
      </c>
      <c r="F1071" s="0" t="n">
        <f aca="false">IF(B1071="PRODUKSI",Pemetaan!$B$5,Pemetaan!$B$6)</f>
        <v>46</v>
      </c>
      <c r="G1071" s="0" t="n">
        <f aca="false">F1071+2+D1071</f>
        <v>54</v>
      </c>
      <c r="H1071" s="0" t="n">
        <f aca="false">Pemetaan!$B$2+E1071</f>
        <v>24</v>
      </c>
      <c r="I1071" s="0" t="str">
        <f aca="false">INDEX(Laporan!$A$1:$AZ$300,G1071,1)</f>
        <v>Water Treatment</v>
      </c>
      <c r="J1071" s="0" t="str">
        <f aca="false">INDEX(Laporan!$A$1:$AZ$300,G1071,2)</f>
        <v>600 ml</v>
      </c>
      <c r="K1071" s="0" t="str">
        <f aca="false">INDEX(Laporan!$A$1:$AZ$300,G1071,3)</f>
        <v>Shift 1</v>
      </c>
      <c r="L1071" s="0" t="n">
        <f aca="false">INDEX(Laporan!$A$1:$AZ$300,G1071,4)</f>
        <v>1</v>
      </c>
      <c r="M1071" s="1" t="n">
        <f aca="false">DATE(Pemetaan!$B$1,VALUE(RIGHT(INDEX(Laporan!$A$1:$AZ$300,F1071+1,H1071),2)),VALUE(LEFT(INDEX(Laporan!$A$1:$AZ$300,F1071+1,H1071),2)))</f>
        <v>46108</v>
      </c>
      <c r="N1071" s="0" t="n">
        <f aca="false">INDEX(Laporan!$A$1:$AZ$300,G1071,H1071)</f>
        <v>9</v>
      </c>
      <c r="O1071" s="0" t="n">
        <f aca="false">IF(N1071="","",IFERROR(VALUE(SUBSTITUTE(SUBSTITUTE(N1071," btl",""),".","")),""))</f>
        <v>9</v>
      </c>
      <c r="P1071" s="0" t="str">
        <f aca="false">IF(B1071="PRODUKSI","produced","reject")</f>
        <v>reject</v>
      </c>
    </row>
    <row r="1072" customFormat="false" ht="15" hidden="false" customHeight="false" outlineLevel="0" collapsed="false">
      <c r="A1072" s="0" t="n">
        <v>1071</v>
      </c>
      <c r="B1072" s="0" t="str">
        <f aca="false">IF(A1072&lt;=36*25,"PRODUKSI","REJECT")</f>
        <v>REJECT</v>
      </c>
      <c r="C1072" s="0" t="n">
        <f aca="false">MOD(A1072-1,Pemetaan!$B$3*Pemetaan!$B$4)</f>
        <v>170</v>
      </c>
      <c r="D1072" s="0" t="n">
        <f aca="false">INT(C1072/Pemetaan!$B$4)</f>
        <v>6</v>
      </c>
      <c r="E1072" s="0" t="n">
        <f aca="false">MOD(C1072,Pemetaan!$B$4)</f>
        <v>20</v>
      </c>
      <c r="F1072" s="0" t="n">
        <f aca="false">IF(B1072="PRODUKSI",Pemetaan!$B$5,Pemetaan!$B$6)</f>
        <v>46</v>
      </c>
      <c r="G1072" s="0" t="n">
        <f aca="false">F1072+2+D1072</f>
        <v>54</v>
      </c>
      <c r="H1072" s="0" t="n">
        <f aca="false">Pemetaan!$B$2+E1072</f>
        <v>25</v>
      </c>
      <c r="I1072" s="0" t="str">
        <f aca="false">INDEX(Laporan!$A$1:$AZ$300,G1072,1)</f>
        <v>Water Treatment</v>
      </c>
      <c r="J1072" s="0" t="str">
        <f aca="false">INDEX(Laporan!$A$1:$AZ$300,G1072,2)</f>
        <v>600 ml</v>
      </c>
      <c r="K1072" s="0" t="str">
        <f aca="false">INDEX(Laporan!$A$1:$AZ$300,G1072,3)</f>
        <v>Shift 1</v>
      </c>
      <c r="L1072" s="0" t="n">
        <f aca="false">INDEX(Laporan!$A$1:$AZ$300,G1072,4)</f>
        <v>1</v>
      </c>
      <c r="M1072" s="1" t="n">
        <f aca="false">DATE(Pemetaan!$B$1,VALUE(RIGHT(INDEX(Laporan!$A$1:$AZ$300,F1072+1,H1072),2)),VALUE(LEFT(INDEX(Laporan!$A$1:$AZ$300,F1072+1,H1072),2)))</f>
        <v>46111</v>
      </c>
      <c r="N1072" s="0" t="n">
        <f aca="false">INDEX(Laporan!$A$1:$AZ$300,G1072,H1072)</f>
        <v>8</v>
      </c>
      <c r="O1072" s="0" t="n">
        <f aca="false">IF(N1072="","",IFERROR(VALUE(SUBSTITUTE(SUBSTITUTE(N1072," btl",""),".","")),""))</f>
        <v>8</v>
      </c>
      <c r="P1072" s="0" t="str">
        <f aca="false">IF(B1072="PRODUKSI","produced","reject")</f>
        <v>reject</v>
      </c>
    </row>
    <row r="1073" customFormat="false" ht="15" hidden="false" customHeight="false" outlineLevel="0" collapsed="false">
      <c r="A1073" s="0" t="n">
        <v>1072</v>
      </c>
      <c r="B1073" s="0" t="str">
        <f aca="false">IF(A1073&lt;=36*25,"PRODUKSI","REJECT")</f>
        <v>REJECT</v>
      </c>
      <c r="C1073" s="0" t="n">
        <f aca="false">MOD(A1073-1,Pemetaan!$B$3*Pemetaan!$B$4)</f>
        <v>171</v>
      </c>
      <c r="D1073" s="0" t="n">
        <f aca="false">INT(C1073/Pemetaan!$B$4)</f>
        <v>6</v>
      </c>
      <c r="E1073" s="0" t="n">
        <f aca="false">MOD(C1073,Pemetaan!$B$4)</f>
        <v>21</v>
      </c>
      <c r="F1073" s="0" t="n">
        <f aca="false">IF(B1073="PRODUKSI",Pemetaan!$B$5,Pemetaan!$B$6)</f>
        <v>46</v>
      </c>
      <c r="G1073" s="0" t="n">
        <f aca="false">F1073+2+D1073</f>
        <v>54</v>
      </c>
      <c r="H1073" s="0" t="n">
        <f aca="false">Pemetaan!$B$2+E1073</f>
        <v>26</v>
      </c>
      <c r="I1073" s="0" t="str">
        <f aca="false">INDEX(Laporan!$A$1:$AZ$300,G1073,1)</f>
        <v>Water Treatment</v>
      </c>
      <c r="J1073" s="0" t="str">
        <f aca="false">INDEX(Laporan!$A$1:$AZ$300,G1073,2)</f>
        <v>600 ml</v>
      </c>
      <c r="K1073" s="0" t="str">
        <f aca="false">INDEX(Laporan!$A$1:$AZ$300,G1073,3)</f>
        <v>Shift 1</v>
      </c>
      <c r="L1073" s="0" t="n">
        <f aca="false">INDEX(Laporan!$A$1:$AZ$300,G1073,4)</f>
        <v>1</v>
      </c>
      <c r="M1073" s="1" t="n">
        <f aca="false">DATE(Pemetaan!$B$1,VALUE(RIGHT(INDEX(Laporan!$A$1:$AZ$300,F1073+1,H1073),2)),VALUE(LEFT(INDEX(Laporan!$A$1:$AZ$300,F1073+1,H1073),2)))</f>
        <v>46112</v>
      </c>
      <c r="N1073" s="0" t="n">
        <f aca="false">INDEX(Laporan!$A$1:$AZ$300,G1073,H1073)</f>
        <v>8</v>
      </c>
      <c r="O1073" s="0" t="n">
        <f aca="false">IF(N1073="","",IFERROR(VALUE(SUBSTITUTE(SUBSTITUTE(N1073," btl",""),".","")),""))</f>
        <v>8</v>
      </c>
      <c r="P1073" s="0" t="str">
        <f aca="false">IF(B1073="PRODUKSI","produced","reject")</f>
        <v>reject</v>
      </c>
    </row>
    <row r="1074" customFormat="false" ht="15" hidden="false" customHeight="false" outlineLevel="0" collapsed="false">
      <c r="A1074" s="0" t="n">
        <v>1073</v>
      </c>
      <c r="B1074" s="0" t="str">
        <f aca="false">IF(A1074&lt;=36*25,"PRODUKSI","REJECT")</f>
        <v>REJECT</v>
      </c>
      <c r="C1074" s="0" t="n">
        <f aca="false">MOD(A1074-1,Pemetaan!$B$3*Pemetaan!$B$4)</f>
        <v>172</v>
      </c>
      <c r="D1074" s="0" t="n">
        <f aca="false">INT(C1074/Pemetaan!$B$4)</f>
        <v>6</v>
      </c>
      <c r="E1074" s="0" t="n">
        <f aca="false">MOD(C1074,Pemetaan!$B$4)</f>
        <v>22</v>
      </c>
      <c r="F1074" s="0" t="n">
        <f aca="false">IF(B1074="PRODUKSI",Pemetaan!$B$5,Pemetaan!$B$6)</f>
        <v>46</v>
      </c>
      <c r="G1074" s="0" t="n">
        <f aca="false">F1074+2+D1074</f>
        <v>54</v>
      </c>
      <c r="H1074" s="0" t="n">
        <f aca="false">Pemetaan!$B$2+E1074</f>
        <v>27</v>
      </c>
      <c r="I1074" s="0" t="str">
        <f aca="false">INDEX(Laporan!$A$1:$AZ$300,G1074,1)</f>
        <v>Water Treatment</v>
      </c>
      <c r="J1074" s="0" t="str">
        <f aca="false">INDEX(Laporan!$A$1:$AZ$300,G1074,2)</f>
        <v>600 ml</v>
      </c>
      <c r="K1074" s="0" t="str">
        <f aca="false">INDEX(Laporan!$A$1:$AZ$300,G1074,3)</f>
        <v>Shift 1</v>
      </c>
      <c r="L1074" s="0" t="n">
        <f aca="false">INDEX(Laporan!$A$1:$AZ$300,G1074,4)</f>
        <v>1</v>
      </c>
      <c r="M1074" s="1" t="n">
        <f aca="false">DATE(Pemetaan!$B$1,VALUE(RIGHT(INDEX(Laporan!$A$1:$AZ$300,F1074+1,H1074),2)),VALUE(LEFT(INDEX(Laporan!$A$1:$AZ$300,F1074+1,H1074),2)))</f>
        <v>46113</v>
      </c>
      <c r="N1074" s="0" t="n">
        <f aca="false">INDEX(Laporan!$A$1:$AZ$300,G1074,H1074)</f>
        <v>12</v>
      </c>
      <c r="O1074" s="0" t="n">
        <f aca="false">IF(N1074="","",IFERROR(VALUE(SUBSTITUTE(SUBSTITUTE(N1074," btl",""),".","")),""))</f>
        <v>12</v>
      </c>
      <c r="P1074" s="0" t="str">
        <f aca="false">IF(B1074="PRODUKSI","produced","reject")</f>
        <v>reject</v>
      </c>
    </row>
    <row r="1075" customFormat="false" ht="15" hidden="false" customHeight="false" outlineLevel="0" collapsed="false">
      <c r="A1075" s="0" t="n">
        <v>1074</v>
      </c>
      <c r="B1075" s="0" t="str">
        <f aca="false">IF(A1075&lt;=36*25,"PRODUKSI","REJECT")</f>
        <v>REJECT</v>
      </c>
      <c r="C1075" s="0" t="n">
        <f aca="false">MOD(A1075-1,Pemetaan!$B$3*Pemetaan!$B$4)</f>
        <v>173</v>
      </c>
      <c r="D1075" s="0" t="n">
        <f aca="false">INT(C1075/Pemetaan!$B$4)</f>
        <v>6</v>
      </c>
      <c r="E1075" s="0" t="n">
        <f aca="false">MOD(C1075,Pemetaan!$B$4)</f>
        <v>23</v>
      </c>
      <c r="F1075" s="0" t="n">
        <f aca="false">IF(B1075="PRODUKSI",Pemetaan!$B$5,Pemetaan!$B$6)</f>
        <v>46</v>
      </c>
      <c r="G1075" s="0" t="n">
        <f aca="false">F1075+2+D1075</f>
        <v>54</v>
      </c>
      <c r="H1075" s="0" t="n">
        <f aca="false">Pemetaan!$B$2+E1075</f>
        <v>28</v>
      </c>
      <c r="I1075" s="0" t="str">
        <f aca="false">INDEX(Laporan!$A$1:$AZ$300,G1075,1)</f>
        <v>Water Treatment</v>
      </c>
      <c r="J1075" s="0" t="str">
        <f aca="false">INDEX(Laporan!$A$1:$AZ$300,G1075,2)</f>
        <v>600 ml</v>
      </c>
      <c r="K1075" s="0" t="str">
        <f aca="false">INDEX(Laporan!$A$1:$AZ$300,G1075,3)</f>
        <v>Shift 1</v>
      </c>
      <c r="L1075" s="0" t="n">
        <f aca="false">INDEX(Laporan!$A$1:$AZ$300,G1075,4)</f>
        <v>1</v>
      </c>
      <c r="M1075" s="1" t="n">
        <f aca="false">DATE(Pemetaan!$B$1,VALUE(RIGHT(INDEX(Laporan!$A$1:$AZ$300,F1075+1,H1075),2)),VALUE(LEFT(INDEX(Laporan!$A$1:$AZ$300,F1075+1,H1075),2)))</f>
        <v>46114</v>
      </c>
      <c r="N1075" s="0" t="n">
        <f aca="false">INDEX(Laporan!$A$1:$AZ$300,G1075,H1075)</f>
        <v>7</v>
      </c>
      <c r="O1075" s="0" t="n">
        <f aca="false">IF(N1075="","",IFERROR(VALUE(SUBSTITUTE(SUBSTITUTE(N1075," btl",""),".","")),""))</f>
        <v>7</v>
      </c>
      <c r="P1075" s="0" t="str">
        <f aca="false">IF(B1075="PRODUKSI","produced","reject")</f>
        <v>reject</v>
      </c>
    </row>
    <row r="1076" customFormat="false" ht="15" hidden="false" customHeight="false" outlineLevel="0" collapsed="false">
      <c r="A1076" s="0" t="n">
        <v>1075</v>
      </c>
      <c r="B1076" s="0" t="str">
        <f aca="false">IF(A1076&lt;=36*25,"PRODUKSI","REJECT")</f>
        <v>REJECT</v>
      </c>
      <c r="C1076" s="0" t="n">
        <f aca="false">MOD(A1076-1,Pemetaan!$B$3*Pemetaan!$B$4)</f>
        <v>174</v>
      </c>
      <c r="D1076" s="0" t="n">
        <f aca="false">INT(C1076/Pemetaan!$B$4)</f>
        <v>6</v>
      </c>
      <c r="E1076" s="0" t="n">
        <f aca="false">MOD(C1076,Pemetaan!$B$4)</f>
        <v>24</v>
      </c>
      <c r="F1076" s="0" t="n">
        <f aca="false">IF(B1076="PRODUKSI",Pemetaan!$B$5,Pemetaan!$B$6)</f>
        <v>46</v>
      </c>
      <c r="G1076" s="0" t="n">
        <f aca="false">F1076+2+D1076</f>
        <v>54</v>
      </c>
      <c r="H1076" s="0" t="n">
        <f aca="false">Pemetaan!$B$2+E1076</f>
        <v>29</v>
      </c>
      <c r="I1076" s="0" t="str">
        <f aca="false">INDEX(Laporan!$A$1:$AZ$300,G1076,1)</f>
        <v>Water Treatment</v>
      </c>
      <c r="J1076" s="0" t="str">
        <f aca="false">INDEX(Laporan!$A$1:$AZ$300,G1076,2)</f>
        <v>600 ml</v>
      </c>
      <c r="K1076" s="0" t="str">
        <f aca="false">INDEX(Laporan!$A$1:$AZ$300,G1076,3)</f>
        <v>Shift 1</v>
      </c>
      <c r="L1076" s="0" t="n">
        <f aca="false">INDEX(Laporan!$A$1:$AZ$300,G1076,4)</f>
        <v>1</v>
      </c>
      <c r="M1076" s="1" t="n">
        <f aca="false">DATE(Pemetaan!$B$1,VALUE(RIGHT(INDEX(Laporan!$A$1:$AZ$300,F1076+1,H1076),2)),VALUE(LEFT(INDEX(Laporan!$A$1:$AZ$300,F1076+1,H1076),2)))</f>
        <v>46115</v>
      </c>
      <c r="N1076" s="0" t="n">
        <f aca="false">INDEX(Laporan!$A$1:$AZ$300,G1076,H1076)</f>
        <v>7</v>
      </c>
      <c r="O1076" s="0" t="n">
        <f aca="false">IF(N1076="","",IFERROR(VALUE(SUBSTITUTE(SUBSTITUTE(N1076," btl",""),".","")),""))</f>
        <v>7</v>
      </c>
      <c r="P1076" s="0" t="str">
        <f aca="false">IF(B1076="PRODUKSI","produced","reject")</f>
        <v>reject</v>
      </c>
    </row>
    <row r="1077" customFormat="false" ht="15" hidden="false" customHeight="false" outlineLevel="0" collapsed="false">
      <c r="A1077" s="0" t="n">
        <v>1076</v>
      </c>
      <c r="B1077" s="0" t="str">
        <f aca="false">IF(A1077&lt;=36*25,"PRODUKSI","REJECT")</f>
        <v>REJECT</v>
      </c>
      <c r="C1077" s="0" t="n">
        <f aca="false">MOD(A1077-1,Pemetaan!$B$3*Pemetaan!$B$4)</f>
        <v>175</v>
      </c>
      <c r="D1077" s="0" t="n">
        <f aca="false">INT(C1077/Pemetaan!$B$4)</f>
        <v>7</v>
      </c>
      <c r="E1077" s="0" t="n">
        <f aca="false">MOD(C1077,Pemetaan!$B$4)</f>
        <v>0</v>
      </c>
      <c r="F1077" s="0" t="n">
        <f aca="false">IF(B1077="PRODUKSI",Pemetaan!$B$5,Pemetaan!$B$6)</f>
        <v>46</v>
      </c>
      <c r="G1077" s="0" t="n">
        <f aca="false">F1077+2+D1077</f>
        <v>55</v>
      </c>
      <c r="H1077" s="0" t="n">
        <f aca="false">Pemetaan!$B$2+E1077</f>
        <v>5</v>
      </c>
      <c r="I1077" s="0" t="str">
        <f aca="false">INDEX(Laporan!$A$1:$AZ$300,G1077,1)</f>
        <v>Water Treatment</v>
      </c>
      <c r="J1077" s="0" t="str">
        <f aca="false">INDEX(Laporan!$A$1:$AZ$300,G1077,2)</f>
        <v>600 ml</v>
      </c>
      <c r="K1077" s="0" t="str">
        <f aca="false">INDEX(Laporan!$A$1:$AZ$300,G1077,3)</f>
        <v>Shift 1</v>
      </c>
      <c r="L1077" s="0" t="n">
        <f aca="false">INDEX(Laporan!$A$1:$AZ$300,G1077,4)</f>
        <v>2</v>
      </c>
      <c r="M1077" s="1" t="n">
        <f aca="false">DATE(Pemetaan!$B$1,VALUE(RIGHT(INDEX(Laporan!$A$1:$AZ$300,F1077+1,H1077),2)),VALUE(LEFT(INDEX(Laporan!$A$1:$AZ$300,F1077+1,H1077),2)))</f>
        <v>46083</v>
      </c>
      <c r="N1077" s="0" t="n">
        <f aca="false">INDEX(Laporan!$A$1:$AZ$300,G1077,H1077)</f>
        <v>11</v>
      </c>
      <c r="O1077" s="0" t="n">
        <f aca="false">IF(N1077="","",IFERROR(VALUE(SUBSTITUTE(SUBSTITUTE(N1077," btl",""),".","")),""))</f>
        <v>11</v>
      </c>
      <c r="P1077" s="0" t="str">
        <f aca="false">IF(B1077="PRODUKSI","produced","reject")</f>
        <v>reject</v>
      </c>
    </row>
    <row r="1078" customFormat="false" ht="15" hidden="false" customHeight="false" outlineLevel="0" collapsed="false">
      <c r="A1078" s="0" t="n">
        <v>1077</v>
      </c>
      <c r="B1078" s="0" t="str">
        <f aca="false">IF(A1078&lt;=36*25,"PRODUKSI","REJECT")</f>
        <v>REJECT</v>
      </c>
      <c r="C1078" s="0" t="n">
        <f aca="false">MOD(A1078-1,Pemetaan!$B$3*Pemetaan!$B$4)</f>
        <v>176</v>
      </c>
      <c r="D1078" s="0" t="n">
        <f aca="false">INT(C1078/Pemetaan!$B$4)</f>
        <v>7</v>
      </c>
      <c r="E1078" s="0" t="n">
        <f aca="false">MOD(C1078,Pemetaan!$B$4)</f>
        <v>1</v>
      </c>
      <c r="F1078" s="0" t="n">
        <f aca="false">IF(B1078="PRODUKSI",Pemetaan!$B$5,Pemetaan!$B$6)</f>
        <v>46</v>
      </c>
      <c r="G1078" s="0" t="n">
        <f aca="false">F1078+2+D1078</f>
        <v>55</v>
      </c>
      <c r="H1078" s="0" t="n">
        <f aca="false">Pemetaan!$B$2+E1078</f>
        <v>6</v>
      </c>
      <c r="I1078" s="0" t="str">
        <f aca="false">INDEX(Laporan!$A$1:$AZ$300,G1078,1)</f>
        <v>Water Treatment</v>
      </c>
      <c r="J1078" s="0" t="str">
        <f aca="false">INDEX(Laporan!$A$1:$AZ$300,G1078,2)</f>
        <v>600 ml</v>
      </c>
      <c r="K1078" s="0" t="str">
        <f aca="false">INDEX(Laporan!$A$1:$AZ$300,G1078,3)</f>
        <v>Shift 1</v>
      </c>
      <c r="L1078" s="0" t="n">
        <f aca="false">INDEX(Laporan!$A$1:$AZ$300,G1078,4)</f>
        <v>2</v>
      </c>
      <c r="M1078" s="1" t="n">
        <f aca="false">DATE(Pemetaan!$B$1,VALUE(RIGHT(INDEX(Laporan!$A$1:$AZ$300,F1078+1,H1078),2)),VALUE(LEFT(INDEX(Laporan!$A$1:$AZ$300,F1078+1,H1078),2)))</f>
        <v>46084</v>
      </c>
      <c r="N1078" s="0" t="n">
        <f aca="false">INDEX(Laporan!$A$1:$AZ$300,G1078,H1078)</f>
        <v>14</v>
      </c>
      <c r="O1078" s="0" t="n">
        <f aca="false">IF(N1078="","",IFERROR(VALUE(SUBSTITUTE(SUBSTITUTE(N1078," btl",""),".","")),""))</f>
        <v>14</v>
      </c>
      <c r="P1078" s="0" t="str">
        <f aca="false">IF(B1078="PRODUKSI","produced","reject")</f>
        <v>reject</v>
      </c>
    </row>
    <row r="1079" customFormat="false" ht="15" hidden="false" customHeight="false" outlineLevel="0" collapsed="false">
      <c r="A1079" s="0" t="n">
        <v>1078</v>
      </c>
      <c r="B1079" s="0" t="str">
        <f aca="false">IF(A1079&lt;=36*25,"PRODUKSI","REJECT")</f>
        <v>REJECT</v>
      </c>
      <c r="C1079" s="0" t="n">
        <f aca="false">MOD(A1079-1,Pemetaan!$B$3*Pemetaan!$B$4)</f>
        <v>177</v>
      </c>
      <c r="D1079" s="0" t="n">
        <f aca="false">INT(C1079/Pemetaan!$B$4)</f>
        <v>7</v>
      </c>
      <c r="E1079" s="0" t="n">
        <f aca="false">MOD(C1079,Pemetaan!$B$4)</f>
        <v>2</v>
      </c>
      <c r="F1079" s="0" t="n">
        <f aca="false">IF(B1079="PRODUKSI",Pemetaan!$B$5,Pemetaan!$B$6)</f>
        <v>46</v>
      </c>
      <c r="G1079" s="0" t="n">
        <f aca="false">F1079+2+D1079</f>
        <v>55</v>
      </c>
      <c r="H1079" s="0" t="n">
        <f aca="false">Pemetaan!$B$2+E1079</f>
        <v>7</v>
      </c>
      <c r="I1079" s="0" t="str">
        <f aca="false">INDEX(Laporan!$A$1:$AZ$300,G1079,1)</f>
        <v>Water Treatment</v>
      </c>
      <c r="J1079" s="0" t="str">
        <f aca="false">INDEX(Laporan!$A$1:$AZ$300,G1079,2)</f>
        <v>600 ml</v>
      </c>
      <c r="K1079" s="0" t="str">
        <f aca="false">INDEX(Laporan!$A$1:$AZ$300,G1079,3)</f>
        <v>Shift 1</v>
      </c>
      <c r="L1079" s="0" t="n">
        <f aca="false">INDEX(Laporan!$A$1:$AZ$300,G1079,4)</f>
        <v>2</v>
      </c>
      <c r="M1079" s="1" t="n">
        <f aca="false">DATE(Pemetaan!$B$1,VALUE(RIGHT(INDEX(Laporan!$A$1:$AZ$300,F1079+1,H1079),2)),VALUE(LEFT(INDEX(Laporan!$A$1:$AZ$300,F1079+1,H1079),2)))</f>
        <v>46085</v>
      </c>
      <c r="N1079" s="0" t="n">
        <f aca="false">INDEX(Laporan!$A$1:$AZ$300,G1079,H1079)</f>
        <v>80</v>
      </c>
      <c r="O1079" s="0" t="n">
        <f aca="false">IF(N1079="","",IFERROR(VALUE(SUBSTITUTE(SUBSTITUTE(N1079," btl",""),".","")),""))</f>
        <v>80</v>
      </c>
      <c r="P1079" s="0" t="str">
        <f aca="false">IF(B1079="PRODUKSI","produced","reject")</f>
        <v>reject</v>
      </c>
    </row>
    <row r="1080" customFormat="false" ht="15" hidden="false" customHeight="false" outlineLevel="0" collapsed="false">
      <c r="A1080" s="0" t="n">
        <v>1079</v>
      </c>
      <c r="B1080" s="0" t="str">
        <f aca="false">IF(A1080&lt;=36*25,"PRODUKSI","REJECT")</f>
        <v>REJECT</v>
      </c>
      <c r="C1080" s="0" t="n">
        <f aca="false">MOD(A1080-1,Pemetaan!$B$3*Pemetaan!$B$4)</f>
        <v>178</v>
      </c>
      <c r="D1080" s="0" t="n">
        <f aca="false">INT(C1080/Pemetaan!$B$4)</f>
        <v>7</v>
      </c>
      <c r="E1080" s="0" t="n">
        <f aca="false">MOD(C1080,Pemetaan!$B$4)</f>
        <v>3</v>
      </c>
      <c r="F1080" s="0" t="n">
        <f aca="false">IF(B1080="PRODUKSI",Pemetaan!$B$5,Pemetaan!$B$6)</f>
        <v>46</v>
      </c>
      <c r="G1080" s="0" t="n">
        <f aca="false">F1080+2+D1080</f>
        <v>55</v>
      </c>
      <c r="H1080" s="0" t="n">
        <f aca="false">Pemetaan!$B$2+E1080</f>
        <v>8</v>
      </c>
      <c r="I1080" s="0" t="str">
        <f aca="false">INDEX(Laporan!$A$1:$AZ$300,G1080,1)</f>
        <v>Water Treatment</v>
      </c>
      <c r="J1080" s="0" t="str">
        <f aca="false">INDEX(Laporan!$A$1:$AZ$300,G1080,2)</f>
        <v>600 ml</v>
      </c>
      <c r="K1080" s="0" t="str">
        <f aca="false">INDEX(Laporan!$A$1:$AZ$300,G1080,3)</f>
        <v>Shift 1</v>
      </c>
      <c r="L1080" s="0" t="n">
        <f aca="false">INDEX(Laporan!$A$1:$AZ$300,G1080,4)</f>
        <v>2</v>
      </c>
      <c r="M1080" s="1" t="n">
        <f aca="false">DATE(Pemetaan!$B$1,VALUE(RIGHT(INDEX(Laporan!$A$1:$AZ$300,F1080+1,H1080),2)),VALUE(LEFT(INDEX(Laporan!$A$1:$AZ$300,F1080+1,H1080),2)))</f>
        <v>46086</v>
      </c>
      <c r="N1080" s="0" t="n">
        <f aca="false">INDEX(Laporan!$A$1:$AZ$300,G1080,H1080)</f>
        <v>13</v>
      </c>
      <c r="O1080" s="0" t="n">
        <f aca="false">IF(N1080="","",IFERROR(VALUE(SUBSTITUTE(SUBSTITUTE(N1080," btl",""),".","")),""))</f>
        <v>13</v>
      </c>
      <c r="P1080" s="0" t="str">
        <f aca="false">IF(B1080="PRODUKSI","produced","reject")</f>
        <v>reject</v>
      </c>
    </row>
    <row r="1081" customFormat="false" ht="15" hidden="false" customHeight="false" outlineLevel="0" collapsed="false">
      <c r="A1081" s="0" t="n">
        <v>1080</v>
      </c>
      <c r="B1081" s="0" t="str">
        <f aca="false">IF(A1081&lt;=36*25,"PRODUKSI","REJECT")</f>
        <v>REJECT</v>
      </c>
      <c r="C1081" s="0" t="n">
        <f aca="false">MOD(A1081-1,Pemetaan!$B$3*Pemetaan!$B$4)</f>
        <v>179</v>
      </c>
      <c r="D1081" s="0" t="n">
        <f aca="false">INT(C1081/Pemetaan!$B$4)</f>
        <v>7</v>
      </c>
      <c r="E1081" s="0" t="n">
        <f aca="false">MOD(C1081,Pemetaan!$B$4)</f>
        <v>4</v>
      </c>
      <c r="F1081" s="0" t="n">
        <f aca="false">IF(B1081="PRODUKSI",Pemetaan!$B$5,Pemetaan!$B$6)</f>
        <v>46</v>
      </c>
      <c r="G1081" s="0" t="n">
        <f aca="false">F1081+2+D1081</f>
        <v>55</v>
      </c>
      <c r="H1081" s="0" t="n">
        <f aca="false">Pemetaan!$B$2+E1081</f>
        <v>9</v>
      </c>
      <c r="I1081" s="0" t="str">
        <f aca="false">INDEX(Laporan!$A$1:$AZ$300,G1081,1)</f>
        <v>Water Treatment</v>
      </c>
      <c r="J1081" s="0" t="str">
        <f aca="false">INDEX(Laporan!$A$1:$AZ$300,G1081,2)</f>
        <v>600 ml</v>
      </c>
      <c r="K1081" s="0" t="str">
        <f aca="false">INDEX(Laporan!$A$1:$AZ$300,G1081,3)</f>
        <v>Shift 1</v>
      </c>
      <c r="L1081" s="0" t="n">
        <f aca="false">INDEX(Laporan!$A$1:$AZ$300,G1081,4)</f>
        <v>2</v>
      </c>
      <c r="M1081" s="1" t="n">
        <f aca="false">DATE(Pemetaan!$B$1,VALUE(RIGHT(INDEX(Laporan!$A$1:$AZ$300,F1081+1,H1081),2)),VALUE(LEFT(INDEX(Laporan!$A$1:$AZ$300,F1081+1,H1081),2)))</f>
        <v>46087</v>
      </c>
      <c r="N1081" s="0" t="n">
        <f aca="false">INDEX(Laporan!$A$1:$AZ$300,G1081,H1081)</f>
        <v>11</v>
      </c>
      <c r="O1081" s="0" t="n">
        <f aca="false">IF(N1081="","",IFERROR(VALUE(SUBSTITUTE(SUBSTITUTE(N1081," btl",""),".","")),""))</f>
        <v>11</v>
      </c>
      <c r="P1081" s="0" t="str">
        <f aca="false">IF(B1081="PRODUKSI","produced","reject")</f>
        <v>reject</v>
      </c>
    </row>
    <row r="1082" customFormat="false" ht="15" hidden="false" customHeight="false" outlineLevel="0" collapsed="false">
      <c r="A1082" s="0" t="n">
        <v>1081</v>
      </c>
      <c r="B1082" s="0" t="str">
        <f aca="false">IF(A1082&lt;=36*25,"PRODUKSI","REJECT")</f>
        <v>REJECT</v>
      </c>
      <c r="C1082" s="0" t="n">
        <f aca="false">MOD(A1082-1,Pemetaan!$B$3*Pemetaan!$B$4)</f>
        <v>180</v>
      </c>
      <c r="D1082" s="0" t="n">
        <f aca="false">INT(C1082/Pemetaan!$B$4)</f>
        <v>7</v>
      </c>
      <c r="E1082" s="0" t="n">
        <f aca="false">MOD(C1082,Pemetaan!$B$4)</f>
        <v>5</v>
      </c>
      <c r="F1082" s="0" t="n">
        <f aca="false">IF(B1082="PRODUKSI",Pemetaan!$B$5,Pemetaan!$B$6)</f>
        <v>46</v>
      </c>
      <c r="G1082" s="0" t="n">
        <f aca="false">F1082+2+D1082</f>
        <v>55</v>
      </c>
      <c r="H1082" s="0" t="n">
        <f aca="false">Pemetaan!$B$2+E1082</f>
        <v>10</v>
      </c>
      <c r="I1082" s="0" t="str">
        <f aca="false">INDEX(Laporan!$A$1:$AZ$300,G1082,1)</f>
        <v>Water Treatment</v>
      </c>
      <c r="J1082" s="0" t="str">
        <f aca="false">INDEX(Laporan!$A$1:$AZ$300,G1082,2)</f>
        <v>600 ml</v>
      </c>
      <c r="K1082" s="0" t="str">
        <f aca="false">INDEX(Laporan!$A$1:$AZ$300,G1082,3)</f>
        <v>Shift 1</v>
      </c>
      <c r="L1082" s="0" t="n">
        <f aca="false">INDEX(Laporan!$A$1:$AZ$300,G1082,4)</f>
        <v>2</v>
      </c>
      <c r="M1082" s="1" t="n">
        <f aca="false">DATE(Pemetaan!$B$1,VALUE(RIGHT(INDEX(Laporan!$A$1:$AZ$300,F1082+1,H1082),2)),VALUE(LEFT(INDEX(Laporan!$A$1:$AZ$300,F1082+1,H1082),2)))</f>
        <v>46090</v>
      </c>
      <c r="N1082" s="0" t="n">
        <f aca="false">INDEX(Laporan!$A$1:$AZ$300,G1082,H1082)</f>
        <v>14</v>
      </c>
      <c r="O1082" s="0" t="n">
        <f aca="false">IF(N1082="","",IFERROR(VALUE(SUBSTITUTE(SUBSTITUTE(N1082," btl",""),".","")),""))</f>
        <v>14</v>
      </c>
      <c r="P1082" s="0" t="str">
        <f aca="false">IF(B1082="PRODUKSI","produced","reject")</f>
        <v>reject</v>
      </c>
    </row>
    <row r="1083" customFormat="false" ht="15" hidden="false" customHeight="false" outlineLevel="0" collapsed="false">
      <c r="A1083" s="0" t="n">
        <v>1082</v>
      </c>
      <c r="B1083" s="0" t="str">
        <f aca="false">IF(A1083&lt;=36*25,"PRODUKSI","REJECT")</f>
        <v>REJECT</v>
      </c>
      <c r="C1083" s="0" t="n">
        <f aca="false">MOD(A1083-1,Pemetaan!$B$3*Pemetaan!$B$4)</f>
        <v>181</v>
      </c>
      <c r="D1083" s="0" t="n">
        <f aca="false">INT(C1083/Pemetaan!$B$4)</f>
        <v>7</v>
      </c>
      <c r="E1083" s="0" t="n">
        <f aca="false">MOD(C1083,Pemetaan!$B$4)</f>
        <v>6</v>
      </c>
      <c r="F1083" s="0" t="n">
        <f aca="false">IF(B1083="PRODUKSI",Pemetaan!$B$5,Pemetaan!$B$6)</f>
        <v>46</v>
      </c>
      <c r="G1083" s="0" t="n">
        <f aca="false">F1083+2+D1083</f>
        <v>55</v>
      </c>
      <c r="H1083" s="0" t="n">
        <f aca="false">Pemetaan!$B$2+E1083</f>
        <v>11</v>
      </c>
      <c r="I1083" s="0" t="str">
        <f aca="false">INDEX(Laporan!$A$1:$AZ$300,G1083,1)</f>
        <v>Water Treatment</v>
      </c>
      <c r="J1083" s="0" t="str">
        <f aca="false">INDEX(Laporan!$A$1:$AZ$300,G1083,2)</f>
        <v>600 ml</v>
      </c>
      <c r="K1083" s="0" t="str">
        <f aca="false">INDEX(Laporan!$A$1:$AZ$300,G1083,3)</f>
        <v>Shift 1</v>
      </c>
      <c r="L1083" s="0" t="n">
        <f aca="false">INDEX(Laporan!$A$1:$AZ$300,G1083,4)</f>
        <v>2</v>
      </c>
      <c r="M1083" s="1" t="n">
        <f aca="false">DATE(Pemetaan!$B$1,VALUE(RIGHT(INDEX(Laporan!$A$1:$AZ$300,F1083+1,H1083),2)),VALUE(LEFT(INDEX(Laporan!$A$1:$AZ$300,F1083+1,H1083),2)))</f>
        <v>46091</v>
      </c>
      <c r="N1083" s="0" t="n">
        <f aca="false">INDEX(Laporan!$A$1:$AZ$300,G1083,H1083)</f>
        <v>13</v>
      </c>
      <c r="O1083" s="0" t="n">
        <f aca="false">IF(N1083="","",IFERROR(VALUE(SUBSTITUTE(SUBSTITUTE(N1083," btl",""),".","")),""))</f>
        <v>13</v>
      </c>
      <c r="P1083" s="0" t="str">
        <f aca="false">IF(B1083="PRODUKSI","produced","reject")</f>
        <v>reject</v>
      </c>
    </row>
    <row r="1084" customFormat="false" ht="15" hidden="false" customHeight="false" outlineLevel="0" collapsed="false">
      <c r="A1084" s="0" t="n">
        <v>1083</v>
      </c>
      <c r="B1084" s="0" t="str">
        <f aca="false">IF(A1084&lt;=36*25,"PRODUKSI","REJECT")</f>
        <v>REJECT</v>
      </c>
      <c r="C1084" s="0" t="n">
        <f aca="false">MOD(A1084-1,Pemetaan!$B$3*Pemetaan!$B$4)</f>
        <v>182</v>
      </c>
      <c r="D1084" s="0" t="n">
        <f aca="false">INT(C1084/Pemetaan!$B$4)</f>
        <v>7</v>
      </c>
      <c r="E1084" s="0" t="n">
        <f aca="false">MOD(C1084,Pemetaan!$B$4)</f>
        <v>7</v>
      </c>
      <c r="F1084" s="0" t="n">
        <f aca="false">IF(B1084="PRODUKSI",Pemetaan!$B$5,Pemetaan!$B$6)</f>
        <v>46</v>
      </c>
      <c r="G1084" s="0" t="n">
        <f aca="false">F1084+2+D1084</f>
        <v>55</v>
      </c>
      <c r="H1084" s="0" t="n">
        <f aca="false">Pemetaan!$B$2+E1084</f>
        <v>12</v>
      </c>
      <c r="I1084" s="0" t="str">
        <f aca="false">INDEX(Laporan!$A$1:$AZ$300,G1084,1)</f>
        <v>Water Treatment</v>
      </c>
      <c r="J1084" s="0" t="str">
        <f aca="false">INDEX(Laporan!$A$1:$AZ$300,G1084,2)</f>
        <v>600 ml</v>
      </c>
      <c r="K1084" s="0" t="str">
        <f aca="false">INDEX(Laporan!$A$1:$AZ$300,G1084,3)</f>
        <v>Shift 1</v>
      </c>
      <c r="L1084" s="0" t="n">
        <f aca="false">INDEX(Laporan!$A$1:$AZ$300,G1084,4)</f>
        <v>2</v>
      </c>
      <c r="M1084" s="1" t="n">
        <f aca="false">DATE(Pemetaan!$B$1,VALUE(RIGHT(INDEX(Laporan!$A$1:$AZ$300,F1084+1,H1084),2)),VALUE(LEFT(INDEX(Laporan!$A$1:$AZ$300,F1084+1,H1084),2)))</f>
        <v>46092</v>
      </c>
      <c r="N1084" s="0" t="n">
        <f aca="false">INDEX(Laporan!$A$1:$AZ$300,G1084,H1084)</f>
        <v>11</v>
      </c>
      <c r="O1084" s="0" t="n">
        <f aca="false">IF(N1084="","",IFERROR(VALUE(SUBSTITUTE(SUBSTITUTE(N1084," btl",""),".","")),""))</f>
        <v>11</v>
      </c>
      <c r="P1084" s="0" t="str">
        <f aca="false">IF(B1084="PRODUKSI","produced","reject")</f>
        <v>reject</v>
      </c>
    </row>
    <row r="1085" customFormat="false" ht="15" hidden="false" customHeight="false" outlineLevel="0" collapsed="false">
      <c r="A1085" s="0" t="n">
        <v>1084</v>
      </c>
      <c r="B1085" s="0" t="str">
        <f aca="false">IF(A1085&lt;=36*25,"PRODUKSI","REJECT")</f>
        <v>REJECT</v>
      </c>
      <c r="C1085" s="0" t="n">
        <f aca="false">MOD(A1085-1,Pemetaan!$B$3*Pemetaan!$B$4)</f>
        <v>183</v>
      </c>
      <c r="D1085" s="0" t="n">
        <f aca="false">INT(C1085/Pemetaan!$B$4)</f>
        <v>7</v>
      </c>
      <c r="E1085" s="0" t="n">
        <f aca="false">MOD(C1085,Pemetaan!$B$4)</f>
        <v>8</v>
      </c>
      <c r="F1085" s="0" t="n">
        <f aca="false">IF(B1085="PRODUKSI",Pemetaan!$B$5,Pemetaan!$B$6)</f>
        <v>46</v>
      </c>
      <c r="G1085" s="0" t="n">
        <f aca="false">F1085+2+D1085</f>
        <v>55</v>
      </c>
      <c r="H1085" s="0" t="n">
        <f aca="false">Pemetaan!$B$2+E1085</f>
        <v>13</v>
      </c>
      <c r="I1085" s="0" t="str">
        <f aca="false">INDEX(Laporan!$A$1:$AZ$300,G1085,1)</f>
        <v>Water Treatment</v>
      </c>
      <c r="J1085" s="0" t="str">
        <f aca="false">INDEX(Laporan!$A$1:$AZ$300,G1085,2)</f>
        <v>600 ml</v>
      </c>
      <c r="K1085" s="0" t="str">
        <f aca="false">INDEX(Laporan!$A$1:$AZ$300,G1085,3)</f>
        <v>Shift 1</v>
      </c>
      <c r="L1085" s="0" t="n">
        <f aca="false">INDEX(Laporan!$A$1:$AZ$300,G1085,4)</f>
        <v>2</v>
      </c>
      <c r="M1085" s="1" t="n">
        <f aca="false">DATE(Pemetaan!$B$1,VALUE(RIGHT(INDEX(Laporan!$A$1:$AZ$300,F1085+1,H1085),2)),VALUE(LEFT(INDEX(Laporan!$A$1:$AZ$300,F1085+1,H1085),2)))</f>
        <v>46093</v>
      </c>
      <c r="N1085" s="0" t="n">
        <f aca="false">INDEX(Laporan!$A$1:$AZ$300,G1085,H1085)</f>
        <v>16</v>
      </c>
      <c r="O1085" s="0" t="n">
        <f aca="false">IF(N1085="","",IFERROR(VALUE(SUBSTITUTE(SUBSTITUTE(N1085," btl",""),".","")),""))</f>
        <v>16</v>
      </c>
      <c r="P1085" s="0" t="str">
        <f aca="false">IF(B1085="PRODUKSI","produced","reject")</f>
        <v>reject</v>
      </c>
    </row>
    <row r="1086" customFormat="false" ht="15" hidden="false" customHeight="false" outlineLevel="0" collapsed="false">
      <c r="A1086" s="0" t="n">
        <v>1085</v>
      </c>
      <c r="B1086" s="0" t="str">
        <f aca="false">IF(A1086&lt;=36*25,"PRODUKSI","REJECT")</f>
        <v>REJECT</v>
      </c>
      <c r="C1086" s="0" t="n">
        <f aca="false">MOD(A1086-1,Pemetaan!$B$3*Pemetaan!$B$4)</f>
        <v>184</v>
      </c>
      <c r="D1086" s="0" t="n">
        <f aca="false">INT(C1086/Pemetaan!$B$4)</f>
        <v>7</v>
      </c>
      <c r="E1086" s="0" t="n">
        <f aca="false">MOD(C1086,Pemetaan!$B$4)</f>
        <v>9</v>
      </c>
      <c r="F1086" s="0" t="n">
        <f aca="false">IF(B1086="PRODUKSI",Pemetaan!$B$5,Pemetaan!$B$6)</f>
        <v>46</v>
      </c>
      <c r="G1086" s="0" t="n">
        <f aca="false">F1086+2+D1086</f>
        <v>55</v>
      </c>
      <c r="H1086" s="0" t="n">
        <f aca="false">Pemetaan!$B$2+E1086</f>
        <v>14</v>
      </c>
      <c r="I1086" s="0" t="str">
        <f aca="false">INDEX(Laporan!$A$1:$AZ$300,G1086,1)</f>
        <v>Water Treatment</v>
      </c>
      <c r="J1086" s="0" t="str">
        <f aca="false">INDEX(Laporan!$A$1:$AZ$300,G1086,2)</f>
        <v>600 ml</v>
      </c>
      <c r="K1086" s="0" t="str">
        <f aca="false">INDEX(Laporan!$A$1:$AZ$300,G1086,3)</f>
        <v>Shift 1</v>
      </c>
      <c r="L1086" s="0" t="n">
        <f aca="false">INDEX(Laporan!$A$1:$AZ$300,G1086,4)</f>
        <v>2</v>
      </c>
      <c r="M1086" s="1" t="n">
        <f aca="false">DATE(Pemetaan!$B$1,VALUE(RIGHT(INDEX(Laporan!$A$1:$AZ$300,F1086+1,H1086),2)),VALUE(LEFT(INDEX(Laporan!$A$1:$AZ$300,F1086+1,H1086),2)))</f>
        <v>46094</v>
      </c>
      <c r="N1086" s="0" t="n">
        <f aca="false">INDEX(Laporan!$A$1:$AZ$300,G1086,H1086)</f>
        <v>12</v>
      </c>
      <c r="O1086" s="0" t="n">
        <f aca="false">IF(N1086="","",IFERROR(VALUE(SUBSTITUTE(SUBSTITUTE(N1086," btl",""),".","")),""))</f>
        <v>12</v>
      </c>
      <c r="P1086" s="0" t="str">
        <f aca="false">IF(B1086="PRODUKSI","produced","reject")</f>
        <v>reject</v>
      </c>
    </row>
    <row r="1087" customFormat="false" ht="15" hidden="false" customHeight="false" outlineLevel="0" collapsed="false">
      <c r="A1087" s="0" t="n">
        <v>1086</v>
      </c>
      <c r="B1087" s="0" t="str">
        <f aca="false">IF(A1087&lt;=36*25,"PRODUKSI","REJECT")</f>
        <v>REJECT</v>
      </c>
      <c r="C1087" s="0" t="n">
        <f aca="false">MOD(A1087-1,Pemetaan!$B$3*Pemetaan!$B$4)</f>
        <v>185</v>
      </c>
      <c r="D1087" s="0" t="n">
        <f aca="false">INT(C1087/Pemetaan!$B$4)</f>
        <v>7</v>
      </c>
      <c r="E1087" s="0" t="n">
        <f aca="false">MOD(C1087,Pemetaan!$B$4)</f>
        <v>10</v>
      </c>
      <c r="F1087" s="0" t="n">
        <f aca="false">IF(B1087="PRODUKSI",Pemetaan!$B$5,Pemetaan!$B$6)</f>
        <v>46</v>
      </c>
      <c r="G1087" s="0" t="n">
        <f aca="false">F1087+2+D1087</f>
        <v>55</v>
      </c>
      <c r="H1087" s="0" t="n">
        <f aca="false">Pemetaan!$B$2+E1087</f>
        <v>15</v>
      </c>
      <c r="I1087" s="0" t="str">
        <f aca="false">INDEX(Laporan!$A$1:$AZ$300,G1087,1)</f>
        <v>Water Treatment</v>
      </c>
      <c r="J1087" s="0" t="str">
        <f aca="false">INDEX(Laporan!$A$1:$AZ$300,G1087,2)</f>
        <v>600 ml</v>
      </c>
      <c r="K1087" s="0" t="str">
        <f aca="false">INDEX(Laporan!$A$1:$AZ$300,G1087,3)</f>
        <v>Shift 1</v>
      </c>
      <c r="L1087" s="0" t="n">
        <f aca="false">INDEX(Laporan!$A$1:$AZ$300,G1087,4)</f>
        <v>2</v>
      </c>
      <c r="M1087" s="1" t="n">
        <f aca="false">DATE(Pemetaan!$B$1,VALUE(RIGHT(INDEX(Laporan!$A$1:$AZ$300,F1087+1,H1087),2)),VALUE(LEFT(INDEX(Laporan!$A$1:$AZ$300,F1087+1,H1087),2)))</f>
        <v>46097</v>
      </c>
      <c r="N1087" s="0" t="n">
        <f aca="false">INDEX(Laporan!$A$1:$AZ$300,G1087,H1087)</f>
        <v>6</v>
      </c>
      <c r="O1087" s="0" t="n">
        <f aca="false">IF(N1087="","",IFERROR(VALUE(SUBSTITUTE(SUBSTITUTE(N1087," btl",""),".","")),""))</f>
        <v>6</v>
      </c>
      <c r="P1087" s="0" t="str">
        <f aca="false">IF(B1087="PRODUKSI","produced","reject")</f>
        <v>reject</v>
      </c>
    </row>
    <row r="1088" customFormat="false" ht="15" hidden="false" customHeight="false" outlineLevel="0" collapsed="false">
      <c r="A1088" s="0" t="n">
        <v>1087</v>
      </c>
      <c r="B1088" s="0" t="str">
        <f aca="false">IF(A1088&lt;=36*25,"PRODUKSI","REJECT")</f>
        <v>REJECT</v>
      </c>
      <c r="C1088" s="0" t="n">
        <f aca="false">MOD(A1088-1,Pemetaan!$B$3*Pemetaan!$B$4)</f>
        <v>186</v>
      </c>
      <c r="D1088" s="0" t="n">
        <f aca="false">INT(C1088/Pemetaan!$B$4)</f>
        <v>7</v>
      </c>
      <c r="E1088" s="0" t="n">
        <f aca="false">MOD(C1088,Pemetaan!$B$4)</f>
        <v>11</v>
      </c>
      <c r="F1088" s="0" t="n">
        <f aca="false">IF(B1088="PRODUKSI",Pemetaan!$B$5,Pemetaan!$B$6)</f>
        <v>46</v>
      </c>
      <c r="G1088" s="0" t="n">
        <f aca="false">F1088+2+D1088</f>
        <v>55</v>
      </c>
      <c r="H1088" s="0" t="n">
        <f aca="false">Pemetaan!$B$2+E1088</f>
        <v>16</v>
      </c>
      <c r="I1088" s="0" t="str">
        <f aca="false">INDEX(Laporan!$A$1:$AZ$300,G1088,1)</f>
        <v>Water Treatment</v>
      </c>
      <c r="J1088" s="0" t="str">
        <f aca="false">INDEX(Laporan!$A$1:$AZ$300,G1088,2)</f>
        <v>600 ml</v>
      </c>
      <c r="K1088" s="0" t="str">
        <f aca="false">INDEX(Laporan!$A$1:$AZ$300,G1088,3)</f>
        <v>Shift 1</v>
      </c>
      <c r="L1088" s="0" t="n">
        <f aca="false">INDEX(Laporan!$A$1:$AZ$300,G1088,4)</f>
        <v>2</v>
      </c>
      <c r="M1088" s="1" t="n">
        <f aca="false">DATE(Pemetaan!$B$1,VALUE(RIGHT(INDEX(Laporan!$A$1:$AZ$300,F1088+1,H1088),2)),VALUE(LEFT(INDEX(Laporan!$A$1:$AZ$300,F1088+1,H1088),2)))</f>
        <v>46098</v>
      </c>
      <c r="N1088" s="0" t="n">
        <f aca="false">INDEX(Laporan!$A$1:$AZ$300,G1088,H1088)</f>
        <v>12</v>
      </c>
      <c r="O1088" s="0" t="n">
        <f aca="false">IF(N1088="","",IFERROR(VALUE(SUBSTITUTE(SUBSTITUTE(N1088," btl",""),".","")),""))</f>
        <v>12</v>
      </c>
      <c r="P1088" s="0" t="str">
        <f aca="false">IF(B1088="PRODUKSI","produced","reject")</f>
        <v>reject</v>
      </c>
    </row>
    <row r="1089" customFormat="false" ht="15" hidden="false" customHeight="false" outlineLevel="0" collapsed="false">
      <c r="A1089" s="0" t="n">
        <v>1088</v>
      </c>
      <c r="B1089" s="0" t="str">
        <f aca="false">IF(A1089&lt;=36*25,"PRODUKSI","REJECT")</f>
        <v>REJECT</v>
      </c>
      <c r="C1089" s="0" t="n">
        <f aca="false">MOD(A1089-1,Pemetaan!$B$3*Pemetaan!$B$4)</f>
        <v>187</v>
      </c>
      <c r="D1089" s="0" t="n">
        <f aca="false">INT(C1089/Pemetaan!$B$4)</f>
        <v>7</v>
      </c>
      <c r="E1089" s="0" t="n">
        <f aca="false">MOD(C1089,Pemetaan!$B$4)</f>
        <v>12</v>
      </c>
      <c r="F1089" s="0" t="n">
        <f aca="false">IF(B1089="PRODUKSI",Pemetaan!$B$5,Pemetaan!$B$6)</f>
        <v>46</v>
      </c>
      <c r="G1089" s="0" t="n">
        <f aca="false">F1089+2+D1089</f>
        <v>55</v>
      </c>
      <c r="H1089" s="0" t="n">
        <f aca="false">Pemetaan!$B$2+E1089</f>
        <v>17</v>
      </c>
      <c r="I1089" s="0" t="str">
        <f aca="false">INDEX(Laporan!$A$1:$AZ$300,G1089,1)</f>
        <v>Water Treatment</v>
      </c>
      <c r="J1089" s="0" t="str">
        <f aca="false">INDEX(Laporan!$A$1:$AZ$300,G1089,2)</f>
        <v>600 ml</v>
      </c>
      <c r="K1089" s="0" t="str">
        <f aca="false">INDEX(Laporan!$A$1:$AZ$300,G1089,3)</f>
        <v>Shift 1</v>
      </c>
      <c r="L1089" s="0" t="n">
        <f aca="false">INDEX(Laporan!$A$1:$AZ$300,G1089,4)</f>
        <v>2</v>
      </c>
      <c r="M1089" s="1" t="n">
        <f aca="false">DATE(Pemetaan!$B$1,VALUE(RIGHT(INDEX(Laporan!$A$1:$AZ$300,F1089+1,H1089),2)),VALUE(LEFT(INDEX(Laporan!$A$1:$AZ$300,F1089+1,H1089),2)))</f>
        <v>46099</v>
      </c>
      <c r="N1089" s="0" t="n">
        <f aca="false">INDEX(Laporan!$A$1:$AZ$300,G1089,H1089)</f>
        <v>11</v>
      </c>
      <c r="O1089" s="0" t="n">
        <f aca="false">IF(N1089="","",IFERROR(VALUE(SUBSTITUTE(SUBSTITUTE(N1089," btl",""),".","")),""))</f>
        <v>11</v>
      </c>
      <c r="P1089" s="0" t="str">
        <f aca="false">IF(B1089="PRODUKSI","produced","reject")</f>
        <v>reject</v>
      </c>
    </row>
    <row r="1090" customFormat="false" ht="15" hidden="false" customHeight="false" outlineLevel="0" collapsed="false">
      <c r="A1090" s="0" t="n">
        <v>1089</v>
      </c>
      <c r="B1090" s="0" t="str">
        <f aca="false">IF(A1090&lt;=36*25,"PRODUKSI","REJECT")</f>
        <v>REJECT</v>
      </c>
      <c r="C1090" s="0" t="n">
        <f aca="false">MOD(A1090-1,Pemetaan!$B$3*Pemetaan!$B$4)</f>
        <v>188</v>
      </c>
      <c r="D1090" s="0" t="n">
        <f aca="false">INT(C1090/Pemetaan!$B$4)</f>
        <v>7</v>
      </c>
      <c r="E1090" s="0" t="n">
        <f aca="false">MOD(C1090,Pemetaan!$B$4)</f>
        <v>13</v>
      </c>
      <c r="F1090" s="0" t="n">
        <f aca="false">IF(B1090="PRODUKSI",Pemetaan!$B$5,Pemetaan!$B$6)</f>
        <v>46</v>
      </c>
      <c r="G1090" s="0" t="n">
        <f aca="false">F1090+2+D1090</f>
        <v>55</v>
      </c>
      <c r="H1090" s="0" t="n">
        <f aca="false">Pemetaan!$B$2+E1090</f>
        <v>18</v>
      </c>
      <c r="I1090" s="0" t="str">
        <f aca="false">INDEX(Laporan!$A$1:$AZ$300,G1090,1)</f>
        <v>Water Treatment</v>
      </c>
      <c r="J1090" s="0" t="str">
        <f aca="false">INDEX(Laporan!$A$1:$AZ$300,G1090,2)</f>
        <v>600 ml</v>
      </c>
      <c r="K1090" s="0" t="str">
        <f aca="false">INDEX(Laporan!$A$1:$AZ$300,G1090,3)</f>
        <v>Shift 1</v>
      </c>
      <c r="L1090" s="0" t="n">
        <f aca="false">INDEX(Laporan!$A$1:$AZ$300,G1090,4)</f>
        <v>2</v>
      </c>
      <c r="M1090" s="1" t="n">
        <f aca="false">DATE(Pemetaan!$B$1,VALUE(RIGHT(INDEX(Laporan!$A$1:$AZ$300,F1090+1,H1090),2)),VALUE(LEFT(INDEX(Laporan!$A$1:$AZ$300,F1090+1,H1090),2)))</f>
        <v>46100</v>
      </c>
      <c r="N1090" s="0" t="n">
        <f aca="false">INDEX(Laporan!$A$1:$AZ$300,G1090,H1090)</f>
        <v>18</v>
      </c>
      <c r="O1090" s="0" t="n">
        <f aca="false">IF(N1090="","",IFERROR(VALUE(SUBSTITUTE(SUBSTITUTE(N1090," btl",""),".","")),""))</f>
        <v>18</v>
      </c>
      <c r="P1090" s="0" t="str">
        <f aca="false">IF(B1090="PRODUKSI","produced","reject")</f>
        <v>reject</v>
      </c>
    </row>
    <row r="1091" customFormat="false" ht="15" hidden="false" customHeight="false" outlineLevel="0" collapsed="false">
      <c r="A1091" s="0" t="n">
        <v>1090</v>
      </c>
      <c r="B1091" s="0" t="str">
        <f aca="false">IF(A1091&lt;=36*25,"PRODUKSI","REJECT")</f>
        <v>REJECT</v>
      </c>
      <c r="C1091" s="0" t="n">
        <f aca="false">MOD(A1091-1,Pemetaan!$B$3*Pemetaan!$B$4)</f>
        <v>189</v>
      </c>
      <c r="D1091" s="0" t="n">
        <f aca="false">INT(C1091/Pemetaan!$B$4)</f>
        <v>7</v>
      </c>
      <c r="E1091" s="0" t="n">
        <f aca="false">MOD(C1091,Pemetaan!$B$4)</f>
        <v>14</v>
      </c>
      <c r="F1091" s="0" t="n">
        <f aca="false">IF(B1091="PRODUKSI",Pemetaan!$B$5,Pemetaan!$B$6)</f>
        <v>46</v>
      </c>
      <c r="G1091" s="0" t="n">
        <f aca="false">F1091+2+D1091</f>
        <v>55</v>
      </c>
      <c r="H1091" s="0" t="n">
        <f aca="false">Pemetaan!$B$2+E1091</f>
        <v>19</v>
      </c>
      <c r="I1091" s="0" t="str">
        <f aca="false">INDEX(Laporan!$A$1:$AZ$300,G1091,1)</f>
        <v>Water Treatment</v>
      </c>
      <c r="J1091" s="0" t="str">
        <f aca="false">INDEX(Laporan!$A$1:$AZ$300,G1091,2)</f>
        <v>600 ml</v>
      </c>
      <c r="K1091" s="0" t="str">
        <f aca="false">INDEX(Laporan!$A$1:$AZ$300,G1091,3)</f>
        <v>Shift 1</v>
      </c>
      <c r="L1091" s="0" t="n">
        <f aca="false">INDEX(Laporan!$A$1:$AZ$300,G1091,4)</f>
        <v>2</v>
      </c>
      <c r="M1091" s="1" t="n">
        <f aca="false">DATE(Pemetaan!$B$1,VALUE(RIGHT(INDEX(Laporan!$A$1:$AZ$300,F1091+1,H1091),2)),VALUE(LEFT(INDEX(Laporan!$A$1:$AZ$300,F1091+1,H1091),2)))</f>
        <v>46101</v>
      </c>
      <c r="N1091" s="0" t="n">
        <f aca="false">INDEX(Laporan!$A$1:$AZ$300,G1091,H1091)</f>
        <v>12</v>
      </c>
      <c r="O1091" s="0" t="n">
        <f aca="false">IF(N1091="","",IFERROR(VALUE(SUBSTITUTE(SUBSTITUTE(N1091," btl",""),".","")),""))</f>
        <v>12</v>
      </c>
      <c r="P1091" s="0" t="str">
        <f aca="false">IF(B1091="PRODUKSI","produced","reject")</f>
        <v>reject</v>
      </c>
    </row>
    <row r="1092" customFormat="false" ht="15" hidden="false" customHeight="false" outlineLevel="0" collapsed="false">
      <c r="A1092" s="0" t="n">
        <v>1091</v>
      </c>
      <c r="B1092" s="0" t="str">
        <f aca="false">IF(A1092&lt;=36*25,"PRODUKSI","REJECT")</f>
        <v>REJECT</v>
      </c>
      <c r="C1092" s="0" t="n">
        <f aca="false">MOD(A1092-1,Pemetaan!$B$3*Pemetaan!$B$4)</f>
        <v>190</v>
      </c>
      <c r="D1092" s="0" t="n">
        <f aca="false">INT(C1092/Pemetaan!$B$4)</f>
        <v>7</v>
      </c>
      <c r="E1092" s="0" t="n">
        <f aca="false">MOD(C1092,Pemetaan!$B$4)</f>
        <v>15</v>
      </c>
      <c r="F1092" s="0" t="n">
        <f aca="false">IF(B1092="PRODUKSI",Pemetaan!$B$5,Pemetaan!$B$6)</f>
        <v>46</v>
      </c>
      <c r="G1092" s="0" t="n">
        <f aca="false">F1092+2+D1092</f>
        <v>55</v>
      </c>
      <c r="H1092" s="0" t="n">
        <f aca="false">Pemetaan!$B$2+E1092</f>
        <v>20</v>
      </c>
      <c r="I1092" s="0" t="str">
        <f aca="false">INDEX(Laporan!$A$1:$AZ$300,G1092,1)</f>
        <v>Water Treatment</v>
      </c>
      <c r="J1092" s="0" t="str">
        <f aca="false">INDEX(Laporan!$A$1:$AZ$300,G1092,2)</f>
        <v>600 ml</v>
      </c>
      <c r="K1092" s="0" t="str">
        <f aca="false">INDEX(Laporan!$A$1:$AZ$300,G1092,3)</f>
        <v>Shift 1</v>
      </c>
      <c r="L1092" s="0" t="n">
        <f aca="false">INDEX(Laporan!$A$1:$AZ$300,G1092,4)</f>
        <v>2</v>
      </c>
      <c r="M1092" s="1" t="n">
        <f aca="false">DATE(Pemetaan!$B$1,VALUE(RIGHT(INDEX(Laporan!$A$1:$AZ$300,F1092+1,H1092),2)),VALUE(LEFT(INDEX(Laporan!$A$1:$AZ$300,F1092+1,H1092),2)))</f>
        <v>46104</v>
      </c>
      <c r="N1092" s="0" t="n">
        <f aca="false">INDEX(Laporan!$A$1:$AZ$300,G1092,H1092)</f>
        <v>14</v>
      </c>
      <c r="O1092" s="0" t="n">
        <f aca="false">IF(N1092="","",IFERROR(VALUE(SUBSTITUTE(SUBSTITUTE(N1092," btl",""),".","")),""))</f>
        <v>14</v>
      </c>
      <c r="P1092" s="0" t="str">
        <f aca="false">IF(B1092="PRODUKSI","produced","reject")</f>
        <v>reject</v>
      </c>
    </row>
    <row r="1093" customFormat="false" ht="15" hidden="false" customHeight="false" outlineLevel="0" collapsed="false">
      <c r="A1093" s="0" t="n">
        <v>1092</v>
      </c>
      <c r="B1093" s="0" t="str">
        <f aca="false">IF(A1093&lt;=36*25,"PRODUKSI","REJECT")</f>
        <v>REJECT</v>
      </c>
      <c r="C1093" s="0" t="n">
        <f aca="false">MOD(A1093-1,Pemetaan!$B$3*Pemetaan!$B$4)</f>
        <v>191</v>
      </c>
      <c r="D1093" s="0" t="n">
        <f aca="false">INT(C1093/Pemetaan!$B$4)</f>
        <v>7</v>
      </c>
      <c r="E1093" s="0" t="n">
        <f aca="false">MOD(C1093,Pemetaan!$B$4)</f>
        <v>16</v>
      </c>
      <c r="F1093" s="0" t="n">
        <f aca="false">IF(B1093="PRODUKSI",Pemetaan!$B$5,Pemetaan!$B$6)</f>
        <v>46</v>
      </c>
      <c r="G1093" s="0" t="n">
        <f aca="false">F1093+2+D1093</f>
        <v>55</v>
      </c>
      <c r="H1093" s="0" t="n">
        <f aca="false">Pemetaan!$B$2+E1093</f>
        <v>21</v>
      </c>
      <c r="I1093" s="0" t="str">
        <f aca="false">INDEX(Laporan!$A$1:$AZ$300,G1093,1)</f>
        <v>Water Treatment</v>
      </c>
      <c r="J1093" s="0" t="str">
        <f aca="false">INDEX(Laporan!$A$1:$AZ$300,G1093,2)</f>
        <v>600 ml</v>
      </c>
      <c r="K1093" s="0" t="str">
        <f aca="false">INDEX(Laporan!$A$1:$AZ$300,G1093,3)</f>
        <v>Shift 1</v>
      </c>
      <c r="L1093" s="0" t="n">
        <f aca="false">INDEX(Laporan!$A$1:$AZ$300,G1093,4)</f>
        <v>2</v>
      </c>
      <c r="M1093" s="1" t="n">
        <f aca="false">DATE(Pemetaan!$B$1,VALUE(RIGHT(INDEX(Laporan!$A$1:$AZ$300,F1093+1,H1093),2)),VALUE(LEFT(INDEX(Laporan!$A$1:$AZ$300,F1093+1,H1093),2)))</f>
        <v>46105</v>
      </c>
      <c r="N1093" s="0" t="n">
        <f aca="false">INDEX(Laporan!$A$1:$AZ$300,G1093,H1093)</f>
        <v>11</v>
      </c>
      <c r="O1093" s="0" t="n">
        <f aca="false">IF(N1093="","",IFERROR(VALUE(SUBSTITUTE(SUBSTITUTE(N1093," btl",""),".","")),""))</f>
        <v>11</v>
      </c>
      <c r="P1093" s="0" t="str">
        <f aca="false">IF(B1093="PRODUKSI","produced","reject")</f>
        <v>reject</v>
      </c>
    </row>
    <row r="1094" customFormat="false" ht="15" hidden="false" customHeight="false" outlineLevel="0" collapsed="false">
      <c r="A1094" s="0" t="n">
        <v>1093</v>
      </c>
      <c r="B1094" s="0" t="str">
        <f aca="false">IF(A1094&lt;=36*25,"PRODUKSI","REJECT")</f>
        <v>REJECT</v>
      </c>
      <c r="C1094" s="0" t="n">
        <f aca="false">MOD(A1094-1,Pemetaan!$B$3*Pemetaan!$B$4)</f>
        <v>192</v>
      </c>
      <c r="D1094" s="0" t="n">
        <f aca="false">INT(C1094/Pemetaan!$B$4)</f>
        <v>7</v>
      </c>
      <c r="E1094" s="0" t="n">
        <f aca="false">MOD(C1094,Pemetaan!$B$4)</f>
        <v>17</v>
      </c>
      <c r="F1094" s="0" t="n">
        <f aca="false">IF(B1094="PRODUKSI",Pemetaan!$B$5,Pemetaan!$B$6)</f>
        <v>46</v>
      </c>
      <c r="G1094" s="0" t="n">
        <f aca="false">F1094+2+D1094</f>
        <v>55</v>
      </c>
      <c r="H1094" s="0" t="n">
        <f aca="false">Pemetaan!$B$2+E1094</f>
        <v>22</v>
      </c>
      <c r="I1094" s="0" t="str">
        <f aca="false">INDEX(Laporan!$A$1:$AZ$300,G1094,1)</f>
        <v>Water Treatment</v>
      </c>
      <c r="J1094" s="0" t="str">
        <f aca="false">INDEX(Laporan!$A$1:$AZ$300,G1094,2)</f>
        <v>600 ml</v>
      </c>
      <c r="K1094" s="0" t="str">
        <f aca="false">INDEX(Laporan!$A$1:$AZ$300,G1094,3)</f>
        <v>Shift 1</v>
      </c>
      <c r="L1094" s="0" t="n">
        <f aca="false">INDEX(Laporan!$A$1:$AZ$300,G1094,4)</f>
        <v>2</v>
      </c>
      <c r="M1094" s="1" t="n">
        <f aca="false">DATE(Pemetaan!$B$1,VALUE(RIGHT(INDEX(Laporan!$A$1:$AZ$300,F1094+1,H1094),2)),VALUE(LEFT(INDEX(Laporan!$A$1:$AZ$300,F1094+1,H1094),2)))</f>
        <v>46106</v>
      </c>
      <c r="N1094" s="0" t="n">
        <f aca="false">INDEX(Laporan!$A$1:$AZ$300,G1094,H1094)</f>
        <v>16</v>
      </c>
      <c r="O1094" s="0" t="n">
        <f aca="false">IF(N1094="","",IFERROR(VALUE(SUBSTITUTE(SUBSTITUTE(N1094," btl",""),".","")),""))</f>
        <v>16</v>
      </c>
      <c r="P1094" s="0" t="str">
        <f aca="false">IF(B1094="PRODUKSI","produced","reject")</f>
        <v>reject</v>
      </c>
    </row>
    <row r="1095" customFormat="false" ht="15" hidden="false" customHeight="false" outlineLevel="0" collapsed="false">
      <c r="A1095" s="0" t="n">
        <v>1094</v>
      </c>
      <c r="B1095" s="0" t="str">
        <f aca="false">IF(A1095&lt;=36*25,"PRODUKSI","REJECT")</f>
        <v>REJECT</v>
      </c>
      <c r="C1095" s="0" t="n">
        <f aca="false">MOD(A1095-1,Pemetaan!$B$3*Pemetaan!$B$4)</f>
        <v>193</v>
      </c>
      <c r="D1095" s="0" t="n">
        <f aca="false">INT(C1095/Pemetaan!$B$4)</f>
        <v>7</v>
      </c>
      <c r="E1095" s="0" t="n">
        <f aca="false">MOD(C1095,Pemetaan!$B$4)</f>
        <v>18</v>
      </c>
      <c r="F1095" s="0" t="n">
        <f aca="false">IF(B1095="PRODUKSI",Pemetaan!$B$5,Pemetaan!$B$6)</f>
        <v>46</v>
      </c>
      <c r="G1095" s="0" t="n">
        <f aca="false">F1095+2+D1095</f>
        <v>55</v>
      </c>
      <c r="H1095" s="0" t="n">
        <f aca="false">Pemetaan!$B$2+E1095</f>
        <v>23</v>
      </c>
      <c r="I1095" s="0" t="str">
        <f aca="false">INDEX(Laporan!$A$1:$AZ$300,G1095,1)</f>
        <v>Water Treatment</v>
      </c>
      <c r="J1095" s="0" t="str">
        <f aca="false">INDEX(Laporan!$A$1:$AZ$300,G1095,2)</f>
        <v>600 ml</v>
      </c>
      <c r="K1095" s="0" t="str">
        <f aca="false">INDEX(Laporan!$A$1:$AZ$300,G1095,3)</f>
        <v>Shift 1</v>
      </c>
      <c r="L1095" s="0" t="n">
        <f aca="false">INDEX(Laporan!$A$1:$AZ$300,G1095,4)</f>
        <v>2</v>
      </c>
      <c r="M1095" s="1" t="n">
        <f aca="false">DATE(Pemetaan!$B$1,VALUE(RIGHT(INDEX(Laporan!$A$1:$AZ$300,F1095+1,H1095),2)),VALUE(LEFT(INDEX(Laporan!$A$1:$AZ$300,F1095+1,H1095),2)))</f>
        <v>46107</v>
      </c>
      <c r="N1095" s="0" t="n">
        <f aca="false">INDEX(Laporan!$A$1:$AZ$300,G1095,H1095)</f>
        <v>7</v>
      </c>
      <c r="O1095" s="0" t="n">
        <f aca="false">IF(N1095="","",IFERROR(VALUE(SUBSTITUTE(SUBSTITUTE(N1095," btl",""),".","")),""))</f>
        <v>7</v>
      </c>
      <c r="P1095" s="0" t="str">
        <f aca="false">IF(B1095="PRODUKSI","produced","reject")</f>
        <v>reject</v>
      </c>
    </row>
    <row r="1096" customFormat="false" ht="15" hidden="false" customHeight="false" outlineLevel="0" collapsed="false">
      <c r="A1096" s="0" t="n">
        <v>1095</v>
      </c>
      <c r="B1096" s="0" t="str">
        <f aca="false">IF(A1096&lt;=36*25,"PRODUKSI","REJECT")</f>
        <v>REJECT</v>
      </c>
      <c r="C1096" s="0" t="n">
        <f aca="false">MOD(A1096-1,Pemetaan!$B$3*Pemetaan!$B$4)</f>
        <v>194</v>
      </c>
      <c r="D1096" s="0" t="n">
        <f aca="false">INT(C1096/Pemetaan!$B$4)</f>
        <v>7</v>
      </c>
      <c r="E1096" s="0" t="n">
        <f aca="false">MOD(C1096,Pemetaan!$B$4)</f>
        <v>19</v>
      </c>
      <c r="F1096" s="0" t="n">
        <f aca="false">IF(B1096="PRODUKSI",Pemetaan!$B$5,Pemetaan!$B$6)</f>
        <v>46</v>
      </c>
      <c r="G1096" s="0" t="n">
        <f aca="false">F1096+2+D1096</f>
        <v>55</v>
      </c>
      <c r="H1096" s="0" t="n">
        <f aca="false">Pemetaan!$B$2+E1096</f>
        <v>24</v>
      </c>
      <c r="I1096" s="0" t="str">
        <f aca="false">INDEX(Laporan!$A$1:$AZ$300,G1096,1)</f>
        <v>Water Treatment</v>
      </c>
      <c r="J1096" s="0" t="str">
        <f aca="false">INDEX(Laporan!$A$1:$AZ$300,G1096,2)</f>
        <v>600 ml</v>
      </c>
      <c r="K1096" s="0" t="str">
        <f aca="false">INDEX(Laporan!$A$1:$AZ$300,G1096,3)</f>
        <v>Shift 1</v>
      </c>
      <c r="L1096" s="0" t="n">
        <f aca="false">INDEX(Laporan!$A$1:$AZ$300,G1096,4)</f>
        <v>2</v>
      </c>
      <c r="M1096" s="1" t="n">
        <f aca="false">DATE(Pemetaan!$B$1,VALUE(RIGHT(INDEX(Laporan!$A$1:$AZ$300,F1096+1,H1096),2)),VALUE(LEFT(INDEX(Laporan!$A$1:$AZ$300,F1096+1,H1096),2)))</f>
        <v>46108</v>
      </c>
      <c r="N1096" s="0" t="n">
        <f aca="false">INDEX(Laporan!$A$1:$AZ$300,G1096,H1096)</f>
        <v>4</v>
      </c>
      <c r="O1096" s="0" t="n">
        <f aca="false">IF(N1096="","",IFERROR(VALUE(SUBSTITUTE(SUBSTITUTE(N1096," btl",""),".","")),""))</f>
        <v>4</v>
      </c>
      <c r="P1096" s="0" t="str">
        <f aca="false">IF(B1096="PRODUKSI","produced","reject")</f>
        <v>reject</v>
      </c>
    </row>
    <row r="1097" customFormat="false" ht="15" hidden="false" customHeight="false" outlineLevel="0" collapsed="false">
      <c r="A1097" s="0" t="n">
        <v>1096</v>
      </c>
      <c r="B1097" s="0" t="str">
        <f aca="false">IF(A1097&lt;=36*25,"PRODUKSI","REJECT")</f>
        <v>REJECT</v>
      </c>
      <c r="C1097" s="0" t="n">
        <f aca="false">MOD(A1097-1,Pemetaan!$B$3*Pemetaan!$B$4)</f>
        <v>195</v>
      </c>
      <c r="D1097" s="0" t="n">
        <f aca="false">INT(C1097/Pemetaan!$B$4)</f>
        <v>7</v>
      </c>
      <c r="E1097" s="0" t="n">
        <f aca="false">MOD(C1097,Pemetaan!$B$4)</f>
        <v>20</v>
      </c>
      <c r="F1097" s="0" t="n">
        <f aca="false">IF(B1097="PRODUKSI",Pemetaan!$B$5,Pemetaan!$B$6)</f>
        <v>46</v>
      </c>
      <c r="G1097" s="0" t="n">
        <f aca="false">F1097+2+D1097</f>
        <v>55</v>
      </c>
      <c r="H1097" s="0" t="n">
        <f aca="false">Pemetaan!$B$2+E1097</f>
        <v>25</v>
      </c>
      <c r="I1097" s="0" t="str">
        <f aca="false">INDEX(Laporan!$A$1:$AZ$300,G1097,1)</f>
        <v>Water Treatment</v>
      </c>
      <c r="J1097" s="0" t="str">
        <f aca="false">INDEX(Laporan!$A$1:$AZ$300,G1097,2)</f>
        <v>600 ml</v>
      </c>
      <c r="K1097" s="0" t="str">
        <f aca="false">INDEX(Laporan!$A$1:$AZ$300,G1097,3)</f>
        <v>Shift 1</v>
      </c>
      <c r="L1097" s="0" t="n">
        <f aca="false">INDEX(Laporan!$A$1:$AZ$300,G1097,4)</f>
        <v>2</v>
      </c>
      <c r="M1097" s="1" t="n">
        <f aca="false">DATE(Pemetaan!$B$1,VALUE(RIGHT(INDEX(Laporan!$A$1:$AZ$300,F1097+1,H1097),2)),VALUE(LEFT(INDEX(Laporan!$A$1:$AZ$300,F1097+1,H1097),2)))</f>
        <v>46111</v>
      </c>
      <c r="N1097" s="0" t="n">
        <f aca="false">INDEX(Laporan!$A$1:$AZ$300,G1097,H1097)</f>
        <v>14</v>
      </c>
      <c r="O1097" s="0" t="n">
        <f aca="false">IF(N1097="","",IFERROR(VALUE(SUBSTITUTE(SUBSTITUTE(N1097," btl",""),".","")),""))</f>
        <v>14</v>
      </c>
      <c r="P1097" s="0" t="str">
        <f aca="false">IF(B1097="PRODUKSI","produced","reject")</f>
        <v>reject</v>
      </c>
    </row>
    <row r="1098" customFormat="false" ht="15" hidden="false" customHeight="false" outlineLevel="0" collapsed="false">
      <c r="A1098" s="0" t="n">
        <v>1097</v>
      </c>
      <c r="B1098" s="0" t="str">
        <f aca="false">IF(A1098&lt;=36*25,"PRODUKSI","REJECT")</f>
        <v>REJECT</v>
      </c>
      <c r="C1098" s="0" t="n">
        <f aca="false">MOD(A1098-1,Pemetaan!$B$3*Pemetaan!$B$4)</f>
        <v>196</v>
      </c>
      <c r="D1098" s="0" t="n">
        <f aca="false">INT(C1098/Pemetaan!$B$4)</f>
        <v>7</v>
      </c>
      <c r="E1098" s="0" t="n">
        <f aca="false">MOD(C1098,Pemetaan!$B$4)</f>
        <v>21</v>
      </c>
      <c r="F1098" s="0" t="n">
        <f aca="false">IF(B1098="PRODUKSI",Pemetaan!$B$5,Pemetaan!$B$6)</f>
        <v>46</v>
      </c>
      <c r="G1098" s="0" t="n">
        <f aca="false">F1098+2+D1098</f>
        <v>55</v>
      </c>
      <c r="H1098" s="0" t="n">
        <f aca="false">Pemetaan!$B$2+E1098</f>
        <v>26</v>
      </c>
      <c r="I1098" s="0" t="str">
        <f aca="false">INDEX(Laporan!$A$1:$AZ$300,G1098,1)</f>
        <v>Water Treatment</v>
      </c>
      <c r="J1098" s="0" t="str">
        <f aca="false">INDEX(Laporan!$A$1:$AZ$300,G1098,2)</f>
        <v>600 ml</v>
      </c>
      <c r="K1098" s="0" t="str">
        <f aca="false">INDEX(Laporan!$A$1:$AZ$300,G1098,3)</f>
        <v>Shift 1</v>
      </c>
      <c r="L1098" s="0" t="n">
        <f aca="false">INDEX(Laporan!$A$1:$AZ$300,G1098,4)</f>
        <v>2</v>
      </c>
      <c r="M1098" s="1" t="n">
        <f aca="false">DATE(Pemetaan!$B$1,VALUE(RIGHT(INDEX(Laporan!$A$1:$AZ$300,F1098+1,H1098),2)),VALUE(LEFT(INDEX(Laporan!$A$1:$AZ$300,F1098+1,H1098),2)))</f>
        <v>46112</v>
      </c>
      <c r="N1098" s="0" t="n">
        <f aca="false">INDEX(Laporan!$A$1:$AZ$300,G1098,H1098)</f>
        <v>6</v>
      </c>
      <c r="O1098" s="0" t="n">
        <f aca="false">IF(N1098="","",IFERROR(VALUE(SUBSTITUTE(SUBSTITUTE(N1098," btl",""),".","")),""))</f>
        <v>6</v>
      </c>
      <c r="P1098" s="0" t="str">
        <f aca="false">IF(B1098="PRODUKSI","produced","reject")</f>
        <v>reject</v>
      </c>
    </row>
    <row r="1099" customFormat="false" ht="15" hidden="false" customHeight="false" outlineLevel="0" collapsed="false">
      <c r="A1099" s="0" t="n">
        <v>1098</v>
      </c>
      <c r="B1099" s="0" t="str">
        <f aca="false">IF(A1099&lt;=36*25,"PRODUKSI","REJECT")</f>
        <v>REJECT</v>
      </c>
      <c r="C1099" s="0" t="n">
        <f aca="false">MOD(A1099-1,Pemetaan!$B$3*Pemetaan!$B$4)</f>
        <v>197</v>
      </c>
      <c r="D1099" s="0" t="n">
        <f aca="false">INT(C1099/Pemetaan!$B$4)</f>
        <v>7</v>
      </c>
      <c r="E1099" s="0" t="n">
        <f aca="false">MOD(C1099,Pemetaan!$B$4)</f>
        <v>22</v>
      </c>
      <c r="F1099" s="0" t="n">
        <f aca="false">IF(B1099="PRODUKSI",Pemetaan!$B$5,Pemetaan!$B$6)</f>
        <v>46</v>
      </c>
      <c r="G1099" s="0" t="n">
        <f aca="false">F1099+2+D1099</f>
        <v>55</v>
      </c>
      <c r="H1099" s="0" t="n">
        <f aca="false">Pemetaan!$B$2+E1099</f>
        <v>27</v>
      </c>
      <c r="I1099" s="0" t="str">
        <f aca="false">INDEX(Laporan!$A$1:$AZ$300,G1099,1)</f>
        <v>Water Treatment</v>
      </c>
      <c r="J1099" s="0" t="str">
        <f aca="false">INDEX(Laporan!$A$1:$AZ$300,G1099,2)</f>
        <v>600 ml</v>
      </c>
      <c r="K1099" s="0" t="str">
        <f aca="false">INDEX(Laporan!$A$1:$AZ$300,G1099,3)</f>
        <v>Shift 1</v>
      </c>
      <c r="L1099" s="0" t="n">
        <f aca="false">INDEX(Laporan!$A$1:$AZ$300,G1099,4)</f>
        <v>2</v>
      </c>
      <c r="M1099" s="1" t="n">
        <f aca="false">DATE(Pemetaan!$B$1,VALUE(RIGHT(INDEX(Laporan!$A$1:$AZ$300,F1099+1,H1099),2)),VALUE(LEFT(INDEX(Laporan!$A$1:$AZ$300,F1099+1,H1099),2)))</f>
        <v>46113</v>
      </c>
      <c r="N1099" s="0" t="n">
        <f aca="false">INDEX(Laporan!$A$1:$AZ$300,G1099,H1099)</f>
        <v>14</v>
      </c>
      <c r="O1099" s="0" t="n">
        <f aca="false">IF(N1099="","",IFERROR(VALUE(SUBSTITUTE(SUBSTITUTE(N1099," btl",""),".","")),""))</f>
        <v>14</v>
      </c>
      <c r="P1099" s="0" t="str">
        <f aca="false">IF(B1099="PRODUKSI","produced","reject")</f>
        <v>reject</v>
      </c>
    </row>
    <row r="1100" customFormat="false" ht="15" hidden="false" customHeight="false" outlineLevel="0" collapsed="false">
      <c r="A1100" s="0" t="n">
        <v>1099</v>
      </c>
      <c r="B1100" s="0" t="str">
        <f aca="false">IF(A1100&lt;=36*25,"PRODUKSI","REJECT")</f>
        <v>REJECT</v>
      </c>
      <c r="C1100" s="0" t="n">
        <f aca="false">MOD(A1100-1,Pemetaan!$B$3*Pemetaan!$B$4)</f>
        <v>198</v>
      </c>
      <c r="D1100" s="0" t="n">
        <f aca="false">INT(C1100/Pemetaan!$B$4)</f>
        <v>7</v>
      </c>
      <c r="E1100" s="0" t="n">
        <f aca="false">MOD(C1100,Pemetaan!$B$4)</f>
        <v>23</v>
      </c>
      <c r="F1100" s="0" t="n">
        <f aca="false">IF(B1100="PRODUKSI",Pemetaan!$B$5,Pemetaan!$B$6)</f>
        <v>46</v>
      </c>
      <c r="G1100" s="0" t="n">
        <f aca="false">F1100+2+D1100</f>
        <v>55</v>
      </c>
      <c r="H1100" s="0" t="n">
        <f aca="false">Pemetaan!$B$2+E1100</f>
        <v>28</v>
      </c>
      <c r="I1100" s="0" t="str">
        <f aca="false">INDEX(Laporan!$A$1:$AZ$300,G1100,1)</f>
        <v>Water Treatment</v>
      </c>
      <c r="J1100" s="0" t="str">
        <f aca="false">INDEX(Laporan!$A$1:$AZ$300,G1100,2)</f>
        <v>600 ml</v>
      </c>
      <c r="K1100" s="0" t="str">
        <f aca="false">INDEX(Laporan!$A$1:$AZ$300,G1100,3)</f>
        <v>Shift 1</v>
      </c>
      <c r="L1100" s="0" t="n">
        <f aca="false">INDEX(Laporan!$A$1:$AZ$300,G1100,4)</f>
        <v>2</v>
      </c>
      <c r="M1100" s="1" t="n">
        <f aca="false">DATE(Pemetaan!$B$1,VALUE(RIGHT(INDEX(Laporan!$A$1:$AZ$300,F1100+1,H1100),2)),VALUE(LEFT(INDEX(Laporan!$A$1:$AZ$300,F1100+1,H1100),2)))</f>
        <v>46114</v>
      </c>
      <c r="N1100" s="0" t="n">
        <f aca="false">INDEX(Laporan!$A$1:$AZ$300,G1100,H1100)</f>
        <v>15</v>
      </c>
      <c r="O1100" s="0" t="n">
        <f aca="false">IF(N1100="","",IFERROR(VALUE(SUBSTITUTE(SUBSTITUTE(N1100," btl",""),".","")),""))</f>
        <v>15</v>
      </c>
      <c r="P1100" s="0" t="str">
        <f aca="false">IF(B1100="PRODUKSI","produced","reject")</f>
        <v>reject</v>
      </c>
    </row>
    <row r="1101" customFormat="false" ht="15" hidden="false" customHeight="false" outlineLevel="0" collapsed="false">
      <c r="A1101" s="0" t="n">
        <v>1100</v>
      </c>
      <c r="B1101" s="0" t="str">
        <f aca="false">IF(A1101&lt;=36*25,"PRODUKSI","REJECT")</f>
        <v>REJECT</v>
      </c>
      <c r="C1101" s="0" t="n">
        <f aca="false">MOD(A1101-1,Pemetaan!$B$3*Pemetaan!$B$4)</f>
        <v>199</v>
      </c>
      <c r="D1101" s="0" t="n">
        <f aca="false">INT(C1101/Pemetaan!$B$4)</f>
        <v>7</v>
      </c>
      <c r="E1101" s="0" t="n">
        <f aca="false">MOD(C1101,Pemetaan!$B$4)</f>
        <v>24</v>
      </c>
      <c r="F1101" s="0" t="n">
        <f aca="false">IF(B1101="PRODUKSI",Pemetaan!$B$5,Pemetaan!$B$6)</f>
        <v>46</v>
      </c>
      <c r="G1101" s="0" t="n">
        <f aca="false">F1101+2+D1101</f>
        <v>55</v>
      </c>
      <c r="H1101" s="0" t="n">
        <f aca="false">Pemetaan!$B$2+E1101</f>
        <v>29</v>
      </c>
      <c r="I1101" s="0" t="str">
        <f aca="false">INDEX(Laporan!$A$1:$AZ$300,G1101,1)</f>
        <v>Water Treatment</v>
      </c>
      <c r="J1101" s="0" t="str">
        <f aca="false">INDEX(Laporan!$A$1:$AZ$300,G1101,2)</f>
        <v>600 ml</v>
      </c>
      <c r="K1101" s="0" t="str">
        <f aca="false">INDEX(Laporan!$A$1:$AZ$300,G1101,3)</f>
        <v>Shift 1</v>
      </c>
      <c r="L1101" s="0" t="n">
        <f aca="false">INDEX(Laporan!$A$1:$AZ$300,G1101,4)</f>
        <v>2</v>
      </c>
      <c r="M1101" s="1" t="n">
        <f aca="false">DATE(Pemetaan!$B$1,VALUE(RIGHT(INDEX(Laporan!$A$1:$AZ$300,F1101+1,H1101),2)),VALUE(LEFT(INDEX(Laporan!$A$1:$AZ$300,F1101+1,H1101),2)))</f>
        <v>46115</v>
      </c>
      <c r="N1101" s="0" t="n">
        <f aca="false">INDEX(Laporan!$A$1:$AZ$300,G1101,H1101)</f>
        <v>17</v>
      </c>
      <c r="O1101" s="0" t="n">
        <f aca="false">IF(N1101="","",IFERROR(VALUE(SUBSTITUTE(SUBSTITUTE(N1101," btl",""),".","")),""))</f>
        <v>17</v>
      </c>
      <c r="P1101" s="0" t="str">
        <f aca="false">IF(B1101="PRODUKSI","produced","reject")</f>
        <v>reject</v>
      </c>
    </row>
    <row r="1102" customFormat="false" ht="15" hidden="false" customHeight="false" outlineLevel="0" collapsed="false">
      <c r="A1102" s="0" t="n">
        <v>1101</v>
      </c>
      <c r="B1102" s="0" t="str">
        <f aca="false">IF(A1102&lt;=36*25,"PRODUKSI","REJECT")</f>
        <v>REJECT</v>
      </c>
      <c r="C1102" s="0" t="n">
        <f aca="false">MOD(A1102-1,Pemetaan!$B$3*Pemetaan!$B$4)</f>
        <v>200</v>
      </c>
      <c r="D1102" s="0" t="n">
        <f aca="false">INT(C1102/Pemetaan!$B$4)</f>
        <v>8</v>
      </c>
      <c r="E1102" s="0" t="n">
        <f aca="false">MOD(C1102,Pemetaan!$B$4)</f>
        <v>0</v>
      </c>
      <c r="F1102" s="0" t="n">
        <f aca="false">IF(B1102="PRODUKSI",Pemetaan!$B$5,Pemetaan!$B$6)</f>
        <v>46</v>
      </c>
      <c r="G1102" s="0" t="n">
        <f aca="false">F1102+2+D1102</f>
        <v>56</v>
      </c>
      <c r="H1102" s="0" t="n">
        <f aca="false">Pemetaan!$B$2+E1102</f>
        <v>5</v>
      </c>
      <c r="I1102" s="0" t="str">
        <f aca="false">INDEX(Laporan!$A$1:$AZ$300,G1102,1)</f>
        <v>Water Treatment</v>
      </c>
      <c r="J1102" s="0" t="str">
        <f aca="false">INDEX(Laporan!$A$1:$AZ$300,G1102,2)</f>
        <v>600 ml</v>
      </c>
      <c r="K1102" s="0" t="str">
        <f aca="false">INDEX(Laporan!$A$1:$AZ$300,G1102,3)</f>
        <v>Shift 1</v>
      </c>
      <c r="L1102" s="0" t="n">
        <f aca="false">INDEX(Laporan!$A$1:$AZ$300,G1102,4)</f>
        <v>3</v>
      </c>
      <c r="M1102" s="1" t="n">
        <f aca="false">DATE(Pemetaan!$B$1,VALUE(RIGHT(INDEX(Laporan!$A$1:$AZ$300,F1102+1,H1102),2)),VALUE(LEFT(INDEX(Laporan!$A$1:$AZ$300,F1102+1,H1102),2)))</f>
        <v>46083</v>
      </c>
      <c r="N1102" s="0" t="n">
        <f aca="false">INDEX(Laporan!$A$1:$AZ$300,G1102,H1102)</f>
        <v>17</v>
      </c>
      <c r="O1102" s="0" t="n">
        <f aca="false">IF(N1102="","",IFERROR(VALUE(SUBSTITUTE(SUBSTITUTE(N1102," btl",""),".","")),""))</f>
        <v>17</v>
      </c>
      <c r="P1102" s="0" t="str">
        <f aca="false">IF(B1102="PRODUKSI","produced","reject")</f>
        <v>reject</v>
      </c>
    </row>
    <row r="1103" customFormat="false" ht="15" hidden="false" customHeight="false" outlineLevel="0" collapsed="false">
      <c r="A1103" s="0" t="n">
        <v>1102</v>
      </c>
      <c r="B1103" s="0" t="str">
        <f aca="false">IF(A1103&lt;=36*25,"PRODUKSI","REJECT")</f>
        <v>REJECT</v>
      </c>
      <c r="C1103" s="0" t="n">
        <f aca="false">MOD(A1103-1,Pemetaan!$B$3*Pemetaan!$B$4)</f>
        <v>201</v>
      </c>
      <c r="D1103" s="0" t="n">
        <f aca="false">INT(C1103/Pemetaan!$B$4)</f>
        <v>8</v>
      </c>
      <c r="E1103" s="0" t="n">
        <f aca="false">MOD(C1103,Pemetaan!$B$4)</f>
        <v>1</v>
      </c>
      <c r="F1103" s="0" t="n">
        <f aca="false">IF(B1103="PRODUKSI",Pemetaan!$B$5,Pemetaan!$B$6)</f>
        <v>46</v>
      </c>
      <c r="G1103" s="0" t="n">
        <f aca="false">F1103+2+D1103</f>
        <v>56</v>
      </c>
      <c r="H1103" s="0" t="n">
        <f aca="false">Pemetaan!$B$2+E1103</f>
        <v>6</v>
      </c>
      <c r="I1103" s="0" t="str">
        <f aca="false">INDEX(Laporan!$A$1:$AZ$300,G1103,1)</f>
        <v>Water Treatment</v>
      </c>
      <c r="J1103" s="0" t="str">
        <f aca="false">INDEX(Laporan!$A$1:$AZ$300,G1103,2)</f>
        <v>600 ml</v>
      </c>
      <c r="K1103" s="0" t="str">
        <f aca="false">INDEX(Laporan!$A$1:$AZ$300,G1103,3)</f>
        <v>Shift 1</v>
      </c>
      <c r="L1103" s="0" t="n">
        <f aca="false">INDEX(Laporan!$A$1:$AZ$300,G1103,4)</f>
        <v>3</v>
      </c>
      <c r="M1103" s="1" t="n">
        <f aca="false">DATE(Pemetaan!$B$1,VALUE(RIGHT(INDEX(Laporan!$A$1:$AZ$300,F1103+1,H1103),2)),VALUE(LEFT(INDEX(Laporan!$A$1:$AZ$300,F1103+1,H1103),2)))</f>
        <v>46084</v>
      </c>
      <c r="N1103" s="0" t="n">
        <f aca="false">INDEX(Laporan!$A$1:$AZ$300,G1103,H1103)</f>
        <v>11</v>
      </c>
      <c r="O1103" s="0" t="n">
        <f aca="false">IF(N1103="","",IFERROR(VALUE(SUBSTITUTE(SUBSTITUTE(N1103," btl",""),".","")),""))</f>
        <v>11</v>
      </c>
      <c r="P1103" s="0" t="str">
        <f aca="false">IF(B1103="PRODUKSI","produced","reject")</f>
        <v>reject</v>
      </c>
    </row>
    <row r="1104" customFormat="false" ht="15" hidden="false" customHeight="false" outlineLevel="0" collapsed="false">
      <c r="A1104" s="0" t="n">
        <v>1103</v>
      </c>
      <c r="B1104" s="0" t="str">
        <f aca="false">IF(A1104&lt;=36*25,"PRODUKSI","REJECT")</f>
        <v>REJECT</v>
      </c>
      <c r="C1104" s="0" t="n">
        <f aca="false">MOD(A1104-1,Pemetaan!$B$3*Pemetaan!$B$4)</f>
        <v>202</v>
      </c>
      <c r="D1104" s="0" t="n">
        <f aca="false">INT(C1104/Pemetaan!$B$4)</f>
        <v>8</v>
      </c>
      <c r="E1104" s="0" t="n">
        <f aca="false">MOD(C1104,Pemetaan!$B$4)</f>
        <v>2</v>
      </c>
      <c r="F1104" s="0" t="n">
        <f aca="false">IF(B1104="PRODUKSI",Pemetaan!$B$5,Pemetaan!$B$6)</f>
        <v>46</v>
      </c>
      <c r="G1104" s="0" t="n">
        <f aca="false">F1104+2+D1104</f>
        <v>56</v>
      </c>
      <c r="H1104" s="0" t="n">
        <f aca="false">Pemetaan!$B$2+E1104</f>
        <v>7</v>
      </c>
      <c r="I1104" s="0" t="str">
        <f aca="false">INDEX(Laporan!$A$1:$AZ$300,G1104,1)</f>
        <v>Water Treatment</v>
      </c>
      <c r="J1104" s="0" t="str">
        <f aca="false">INDEX(Laporan!$A$1:$AZ$300,G1104,2)</f>
        <v>600 ml</v>
      </c>
      <c r="K1104" s="0" t="str">
        <f aca="false">INDEX(Laporan!$A$1:$AZ$300,G1104,3)</f>
        <v>Shift 1</v>
      </c>
      <c r="L1104" s="0" t="n">
        <f aca="false">INDEX(Laporan!$A$1:$AZ$300,G1104,4)</f>
        <v>3</v>
      </c>
      <c r="M1104" s="1" t="n">
        <f aca="false">DATE(Pemetaan!$B$1,VALUE(RIGHT(INDEX(Laporan!$A$1:$AZ$300,F1104+1,H1104),2)),VALUE(LEFT(INDEX(Laporan!$A$1:$AZ$300,F1104+1,H1104),2)))</f>
        <v>46085</v>
      </c>
      <c r="N1104" s="0" t="n">
        <f aca="false">INDEX(Laporan!$A$1:$AZ$300,G1104,H1104)</f>
        <v>8</v>
      </c>
      <c r="O1104" s="0" t="n">
        <f aca="false">IF(N1104="","",IFERROR(VALUE(SUBSTITUTE(SUBSTITUTE(N1104," btl",""),".","")),""))</f>
        <v>8</v>
      </c>
      <c r="P1104" s="0" t="str">
        <f aca="false">IF(B1104="PRODUKSI","produced","reject")</f>
        <v>reject</v>
      </c>
    </row>
    <row r="1105" customFormat="false" ht="15" hidden="false" customHeight="false" outlineLevel="0" collapsed="false">
      <c r="A1105" s="0" t="n">
        <v>1104</v>
      </c>
      <c r="B1105" s="0" t="str">
        <f aca="false">IF(A1105&lt;=36*25,"PRODUKSI","REJECT")</f>
        <v>REJECT</v>
      </c>
      <c r="C1105" s="0" t="n">
        <f aca="false">MOD(A1105-1,Pemetaan!$B$3*Pemetaan!$B$4)</f>
        <v>203</v>
      </c>
      <c r="D1105" s="0" t="n">
        <f aca="false">INT(C1105/Pemetaan!$B$4)</f>
        <v>8</v>
      </c>
      <c r="E1105" s="0" t="n">
        <f aca="false">MOD(C1105,Pemetaan!$B$4)</f>
        <v>3</v>
      </c>
      <c r="F1105" s="0" t="n">
        <f aca="false">IF(B1105="PRODUKSI",Pemetaan!$B$5,Pemetaan!$B$6)</f>
        <v>46</v>
      </c>
      <c r="G1105" s="0" t="n">
        <f aca="false">F1105+2+D1105</f>
        <v>56</v>
      </c>
      <c r="H1105" s="0" t="n">
        <f aca="false">Pemetaan!$B$2+E1105</f>
        <v>8</v>
      </c>
      <c r="I1105" s="0" t="str">
        <f aca="false">INDEX(Laporan!$A$1:$AZ$300,G1105,1)</f>
        <v>Water Treatment</v>
      </c>
      <c r="J1105" s="0" t="str">
        <f aca="false">INDEX(Laporan!$A$1:$AZ$300,G1105,2)</f>
        <v>600 ml</v>
      </c>
      <c r="K1105" s="0" t="str">
        <f aca="false">INDEX(Laporan!$A$1:$AZ$300,G1105,3)</f>
        <v>Shift 1</v>
      </c>
      <c r="L1105" s="0" t="n">
        <f aca="false">INDEX(Laporan!$A$1:$AZ$300,G1105,4)</f>
        <v>3</v>
      </c>
      <c r="M1105" s="1" t="n">
        <f aca="false">DATE(Pemetaan!$B$1,VALUE(RIGHT(INDEX(Laporan!$A$1:$AZ$300,F1105+1,H1105),2)),VALUE(LEFT(INDEX(Laporan!$A$1:$AZ$300,F1105+1,H1105),2)))</f>
        <v>46086</v>
      </c>
      <c r="N1105" s="0" t="n">
        <f aca="false">INDEX(Laporan!$A$1:$AZ$300,G1105,H1105)</f>
        <v>11</v>
      </c>
      <c r="O1105" s="0" t="n">
        <f aca="false">IF(N1105="","",IFERROR(VALUE(SUBSTITUTE(SUBSTITUTE(N1105," btl",""),".","")),""))</f>
        <v>11</v>
      </c>
      <c r="P1105" s="0" t="str">
        <f aca="false">IF(B1105="PRODUKSI","produced","reject")</f>
        <v>reject</v>
      </c>
    </row>
    <row r="1106" customFormat="false" ht="15" hidden="false" customHeight="false" outlineLevel="0" collapsed="false">
      <c r="A1106" s="0" t="n">
        <v>1105</v>
      </c>
      <c r="B1106" s="0" t="str">
        <f aca="false">IF(A1106&lt;=36*25,"PRODUKSI","REJECT")</f>
        <v>REJECT</v>
      </c>
      <c r="C1106" s="0" t="n">
        <f aca="false">MOD(A1106-1,Pemetaan!$B$3*Pemetaan!$B$4)</f>
        <v>204</v>
      </c>
      <c r="D1106" s="0" t="n">
        <f aca="false">INT(C1106/Pemetaan!$B$4)</f>
        <v>8</v>
      </c>
      <c r="E1106" s="0" t="n">
        <f aca="false">MOD(C1106,Pemetaan!$B$4)</f>
        <v>4</v>
      </c>
      <c r="F1106" s="0" t="n">
        <f aca="false">IF(B1106="PRODUKSI",Pemetaan!$B$5,Pemetaan!$B$6)</f>
        <v>46</v>
      </c>
      <c r="G1106" s="0" t="n">
        <f aca="false">F1106+2+D1106</f>
        <v>56</v>
      </c>
      <c r="H1106" s="0" t="n">
        <f aca="false">Pemetaan!$B$2+E1106</f>
        <v>9</v>
      </c>
      <c r="I1106" s="0" t="str">
        <f aca="false">INDEX(Laporan!$A$1:$AZ$300,G1106,1)</f>
        <v>Water Treatment</v>
      </c>
      <c r="J1106" s="0" t="str">
        <f aca="false">INDEX(Laporan!$A$1:$AZ$300,G1106,2)</f>
        <v>600 ml</v>
      </c>
      <c r="K1106" s="0" t="str">
        <f aca="false">INDEX(Laporan!$A$1:$AZ$300,G1106,3)</f>
        <v>Shift 1</v>
      </c>
      <c r="L1106" s="0" t="n">
        <f aca="false">INDEX(Laporan!$A$1:$AZ$300,G1106,4)</f>
        <v>3</v>
      </c>
      <c r="M1106" s="1" t="n">
        <f aca="false">DATE(Pemetaan!$B$1,VALUE(RIGHT(INDEX(Laporan!$A$1:$AZ$300,F1106+1,H1106),2)),VALUE(LEFT(INDEX(Laporan!$A$1:$AZ$300,F1106+1,H1106),2)))</f>
        <v>46087</v>
      </c>
      <c r="N1106" s="0" t="n">
        <f aca="false">INDEX(Laporan!$A$1:$AZ$300,G1106,H1106)</f>
        <v>14</v>
      </c>
      <c r="O1106" s="0" t="n">
        <f aca="false">IF(N1106="","",IFERROR(VALUE(SUBSTITUTE(SUBSTITUTE(N1106," btl",""),".","")),""))</f>
        <v>14</v>
      </c>
      <c r="P1106" s="0" t="str">
        <f aca="false">IF(B1106="PRODUKSI","produced","reject")</f>
        <v>reject</v>
      </c>
    </row>
    <row r="1107" customFormat="false" ht="15" hidden="false" customHeight="false" outlineLevel="0" collapsed="false">
      <c r="A1107" s="0" t="n">
        <v>1106</v>
      </c>
      <c r="B1107" s="0" t="str">
        <f aca="false">IF(A1107&lt;=36*25,"PRODUKSI","REJECT")</f>
        <v>REJECT</v>
      </c>
      <c r="C1107" s="0" t="n">
        <f aca="false">MOD(A1107-1,Pemetaan!$B$3*Pemetaan!$B$4)</f>
        <v>205</v>
      </c>
      <c r="D1107" s="0" t="n">
        <f aca="false">INT(C1107/Pemetaan!$B$4)</f>
        <v>8</v>
      </c>
      <c r="E1107" s="0" t="n">
        <f aca="false">MOD(C1107,Pemetaan!$B$4)</f>
        <v>5</v>
      </c>
      <c r="F1107" s="0" t="n">
        <f aca="false">IF(B1107="PRODUKSI",Pemetaan!$B$5,Pemetaan!$B$6)</f>
        <v>46</v>
      </c>
      <c r="G1107" s="0" t="n">
        <f aca="false">F1107+2+D1107</f>
        <v>56</v>
      </c>
      <c r="H1107" s="0" t="n">
        <f aca="false">Pemetaan!$B$2+E1107</f>
        <v>10</v>
      </c>
      <c r="I1107" s="0" t="str">
        <f aca="false">INDEX(Laporan!$A$1:$AZ$300,G1107,1)</f>
        <v>Water Treatment</v>
      </c>
      <c r="J1107" s="0" t="str">
        <f aca="false">INDEX(Laporan!$A$1:$AZ$300,G1107,2)</f>
        <v>600 ml</v>
      </c>
      <c r="K1107" s="0" t="str">
        <f aca="false">INDEX(Laporan!$A$1:$AZ$300,G1107,3)</f>
        <v>Shift 1</v>
      </c>
      <c r="L1107" s="0" t="n">
        <f aca="false">INDEX(Laporan!$A$1:$AZ$300,G1107,4)</f>
        <v>3</v>
      </c>
      <c r="M1107" s="1" t="n">
        <f aca="false">DATE(Pemetaan!$B$1,VALUE(RIGHT(INDEX(Laporan!$A$1:$AZ$300,F1107+1,H1107),2)),VALUE(LEFT(INDEX(Laporan!$A$1:$AZ$300,F1107+1,H1107),2)))</f>
        <v>46090</v>
      </c>
      <c r="N1107" s="0" t="n">
        <f aca="false">INDEX(Laporan!$A$1:$AZ$300,G1107,H1107)</f>
        <v>17</v>
      </c>
      <c r="O1107" s="0" t="n">
        <f aca="false">IF(N1107="","",IFERROR(VALUE(SUBSTITUTE(SUBSTITUTE(N1107," btl",""),".","")),""))</f>
        <v>17</v>
      </c>
      <c r="P1107" s="0" t="str">
        <f aca="false">IF(B1107="PRODUKSI","produced","reject")</f>
        <v>reject</v>
      </c>
    </row>
    <row r="1108" customFormat="false" ht="15" hidden="false" customHeight="false" outlineLevel="0" collapsed="false">
      <c r="A1108" s="0" t="n">
        <v>1107</v>
      </c>
      <c r="B1108" s="0" t="str">
        <f aca="false">IF(A1108&lt;=36*25,"PRODUKSI","REJECT")</f>
        <v>REJECT</v>
      </c>
      <c r="C1108" s="0" t="n">
        <f aca="false">MOD(A1108-1,Pemetaan!$B$3*Pemetaan!$B$4)</f>
        <v>206</v>
      </c>
      <c r="D1108" s="0" t="n">
        <f aca="false">INT(C1108/Pemetaan!$B$4)</f>
        <v>8</v>
      </c>
      <c r="E1108" s="0" t="n">
        <f aca="false">MOD(C1108,Pemetaan!$B$4)</f>
        <v>6</v>
      </c>
      <c r="F1108" s="0" t="n">
        <f aca="false">IF(B1108="PRODUKSI",Pemetaan!$B$5,Pemetaan!$B$6)</f>
        <v>46</v>
      </c>
      <c r="G1108" s="0" t="n">
        <f aca="false">F1108+2+D1108</f>
        <v>56</v>
      </c>
      <c r="H1108" s="0" t="n">
        <f aca="false">Pemetaan!$B$2+E1108</f>
        <v>11</v>
      </c>
      <c r="I1108" s="0" t="str">
        <f aca="false">INDEX(Laporan!$A$1:$AZ$300,G1108,1)</f>
        <v>Water Treatment</v>
      </c>
      <c r="J1108" s="0" t="str">
        <f aca="false">INDEX(Laporan!$A$1:$AZ$300,G1108,2)</f>
        <v>600 ml</v>
      </c>
      <c r="K1108" s="0" t="str">
        <f aca="false">INDEX(Laporan!$A$1:$AZ$300,G1108,3)</f>
        <v>Shift 1</v>
      </c>
      <c r="L1108" s="0" t="n">
        <f aca="false">INDEX(Laporan!$A$1:$AZ$300,G1108,4)</f>
        <v>3</v>
      </c>
      <c r="M1108" s="1" t="n">
        <f aca="false">DATE(Pemetaan!$B$1,VALUE(RIGHT(INDEX(Laporan!$A$1:$AZ$300,F1108+1,H1108),2)),VALUE(LEFT(INDEX(Laporan!$A$1:$AZ$300,F1108+1,H1108),2)))</f>
        <v>46091</v>
      </c>
      <c r="N1108" s="0" t="n">
        <f aca="false">INDEX(Laporan!$A$1:$AZ$300,G1108,H1108)</f>
        <v>8</v>
      </c>
      <c r="O1108" s="0" t="n">
        <f aca="false">IF(N1108="","",IFERROR(VALUE(SUBSTITUTE(SUBSTITUTE(N1108," btl",""),".","")),""))</f>
        <v>8</v>
      </c>
      <c r="P1108" s="0" t="str">
        <f aca="false">IF(B1108="PRODUKSI","produced","reject")</f>
        <v>reject</v>
      </c>
    </row>
    <row r="1109" customFormat="false" ht="15" hidden="false" customHeight="false" outlineLevel="0" collapsed="false">
      <c r="A1109" s="0" t="n">
        <v>1108</v>
      </c>
      <c r="B1109" s="0" t="str">
        <f aca="false">IF(A1109&lt;=36*25,"PRODUKSI","REJECT")</f>
        <v>REJECT</v>
      </c>
      <c r="C1109" s="0" t="n">
        <f aca="false">MOD(A1109-1,Pemetaan!$B$3*Pemetaan!$B$4)</f>
        <v>207</v>
      </c>
      <c r="D1109" s="0" t="n">
        <f aca="false">INT(C1109/Pemetaan!$B$4)</f>
        <v>8</v>
      </c>
      <c r="E1109" s="0" t="n">
        <f aca="false">MOD(C1109,Pemetaan!$B$4)</f>
        <v>7</v>
      </c>
      <c r="F1109" s="0" t="n">
        <f aca="false">IF(B1109="PRODUKSI",Pemetaan!$B$5,Pemetaan!$B$6)</f>
        <v>46</v>
      </c>
      <c r="G1109" s="0" t="n">
        <f aca="false">F1109+2+D1109</f>
        <v>56</v>
      </c>
      <c r="H1109" s="0" t="n">
        <f aca="false">Pemetaan!$B$2+E1109</f>
        <v>12</v>
      </c>
      <c r="I1109" s="0" t="str">
        <f aca="false">INDEX(Laporan!$A$1:$AZ$300,G1109,1)</f>
        <v>Water Treatment</v>
      </c>
      <c r="J1109" s="0" t="str">
        <f aca="false">INDEX(Laporan!$A$1:$AZ$300,G1109,2)</f>
        <v>600 ml</v>
      </c>
      <c r="K1109" s="0" t="str">
        <f aca="false">INDEX(Laporan!$A$1:$AZ$300,G1109,3)</f>
        <v>Shift 1</v>
      </c>
      <c r="L1109" s="0" t="n">
        <f aca="false">INDEX(Laporan!$A$1:$AZ$300,G1109,4)</f>
        <v>3</v>
      </c>
      <c r="M1109" s="1" t="n">
        <f aca="false">DATE(Pemetaan!$B$1,VALUE(RIGHT(INDEX(Laporan!$A$1:$AZ$300,F1109+1,H1109),2)),VALUE(LEFT(INDEX(Laporan!$A$1:$AZ$300,F1109+1,H1109),2)))</f>
        <v>46092</v>
      </c>
      <c r="N1109" s="0" t="n">
        <f aca="false">INDEX(Laporan!$A$1:$AZ$300,G1109,H1109)</f>
        <v>13</v>
      </c>
      <c r="O1109" s="0" t="n">
        <f aca="false">IF(N1109="","",IFERROR(VALUE(SUBSTITUTE(SUBSTITUTE(N1109," btl",""),".","")),""))</f>
        <v>13</v>
      </c>
      <c r="P1109" s="0" t="str">
        <f aca="false">IF(B1109="PRODUKSI","produced","reject")</f>
        <v>reject</v>
      </c>
    </row>
    <row r="1110" customFormat="false" ht="15" hidden="false" customHeight="false" outlineLevel="0" collapsed="false">
      <c r="A1110" s="0" t="n">
        <v>1109</v>
      </c>
      <c r="B1110" s="0" t="str">
        <f aca="false">IF(A1110&lt;=36*25,"PRODUKSI","REJECT")</f>
        <v>REJECT</v>
      </c>
      <c r="C1110" s="0" t="n">
        <f aca="false">MOD(A1110-1,Pemetaan!$B$3*Pemetaan!$B$4)</f>
        <v>208</v>
      </c>
      <c r="D1110" s="0" t="n">
        <f aca="false">INT(C1110/Pemetaan!$B$4)</f>
        <v>8</v>
      </c>
      <c r="E1110" s="0" t="n">
        <f aca="false">MOD(C1110,Pemetaan!$B$4)</f>
        <v>8</v>
      </c>
      <c r="F1110" s="0" t="n">
        <f aca="false">IF(B1110="PRODUKSI",Pemetaan!$B$5,Pemetaan!$B$6)</f>
        <v>46</v>
      </c>
      <c r="G1110" s="0" t="n">
        <f aca="false">F1110+2+D1110</f>
        <v>56</v>
      </c>
      <c r="H1110" s="0" t="n">
        <f aca="false">Pemetaan!$B$2+E1110</f>
        <v>13</v>
      </c>
      <c r="I1110" s="0" t="str">
        <f aca="false">INDEX(Laporan!$A$1:$AZ$300,G1110,1)</f>
        <v>Water Treatment</v>
      </c>
      <c r="J1110" s="0" t="str">
        <f aca="false">INDEX(Laporan!$A$1:$AZ$300,G1110,2)</f>
        <v>600 ml</v>
      </c>
      <c r="K1110" s="0" t="str">
        <f aca="false">INDEX(Laporan!$A$1:$AZ$300,G1110,3)</f>
        <v>Shift 1</v>
      </c>
      <c r="L1110" s="0" t="n">
        <f aca="false">INDEX(Laporan!$A$1:$AZ$300,G1110,4)</f>
        <v>3</v>
      </c>
      <c r="M1110" s="1" t="n">
        <f aca="false">DATE(Pemetaan!$B$1,VALUE(RIGHT(INDEX(Laporan!$A$1:$AZ$300,F1110+1,H1110),2)),VALUE(LEFT(INDEX(Laporan!$A$1:$AZ$300,F1110+1,H1110),2)))</f>
        <v>46093</v>
      </c>
      <c r="N1110" s="0" t="n">
        <f aca="false">INDEX(Laporan!$A$1:$AZ$300,G1110,H1110)</f>
        <v>5</v>
      </c>
      <c r="O1110" s="0" t="n">
        <f aca="false">IF(N1110="","",IFERROR(VALUE(SUBSTITUTE(SUBSTITUTE(N1110," btl",""),".","")),""))</f>
        <v>5</v>
      </c>
      <c r="P1110" s="0" t="str">
        <f aca="false">IF(B1110="PRODUKSI","produced","reject")</f>
        <v>reject</v>
      </c>
    </row>
    <row r="1111" customFormat="false" ht="15" hidden="false" customHeight="false" outlineLevel="0" collapsed="false">
      <c r="A1111" s="0" t="n">
        <v>1110</v>
      </c>
      <c r="B1111" s="0" t="str">
        <f aca="false">IF(A1111&lt;=36*25,"PRODUKSI","REJECT")</f>
        <v>REJECT</v>
      </c>
      <c r="C1111" s="0" t="n">
        <f aca="false">MOD(A1111-1,Pemetaan!$B$3*Pemetaan!$B$4)</f>
        <v>209</v>
      </c>
      <c r="D1111" s="0" t="n">
        <f aca="false">INT(C1111/Pemetaan!$B$4)</f>
        <v>8</v>
      </c>
      <c r="E1111" s="0" t="n">
        <f aca="false">MOD(C1111,Pemetaan!$B$4)</f>
        <v>9</v>
      </c>
      <c r="F1111" s="0" t="n">
        <f aca="false">IF(B1111="PRODUKSI",Pemetaan!$B$5,Pemetaan!$B$6)</f>
        <v>46</v>
      </c>
      <c r="G1111" s="0" t="n">
        <f aca="false">F1111+2+D1111</f>
        <v>56</v>
      </c>
      <c r="H1111" s="0" t="n">
        <f aca="false">Pemetaan!$B$2+E1111</f>
        <v>14</v>
      </c>
      <c r="I1111" s="0" t="str">
        <f aca="false">INDEX(Laporan!$A$1:$AZ$300,G1111,1)</f>
        <v>Water Treatment</v>
      </c>
      <c r="J1111" s="0" t="str">
        <f aca="false">INDEX(Laporan!$A$1:$AZ$300,G1111,2)</f>
        <v>600 ml</v>
      </c>
      <c r="K1111" s="0" t="str">
        <f aca="false">INDEX(Laporan!$A$1:$AZ$300,G1111,3)</f>
        <v>Shift 1</v>
      </c>
      <c r="L1111" s="0" t="n">
        <f aca="false">INDEX(Laporan!$A$1:$AZ$300,G1111,4)</f>
        <v>3</v>
      </c>
      <c r="M1111" s="1" t="n">
        <f aca="false">DATE(Pemetaan!$B$1,VALUE(RIGHT(INDEX(Laporan!$A$1:$AZ$300,F1111+1,H1111),2)),VALUE(LEFT(INDEX(Laporan!$A$1:$AZ$300,F1111+1,H1111),2)))</f>
        <v>46094</v>
      </c>
      <c r="N1111" s="0" t="n">
        <f aca="false">INDEX(Laporan!$A$1:$AZ$300,G1111,H1111)</f>
        <v>12</v>
      </c>
      <c r="O1111" s="0" t="n">
        <f aca="false">IF(N1111="","",IFERROR(VALUE(SUBSTITUTE(SUBSTITUTE(N1111," btl",""),".","")),""))</f>
        <v>12</v>
      </c>
      <c r="P1111" s="0" t="str">
        <f aca="false">IF(B1111="PRODUKSI","produced","reject")</f>
        <v>reject</v>
      </c>
    </row>
    <row r="1112" customFormat="false" ht="15" hidden="false" customHeight="false" outlineLevel="0" collapsed="false">
      <c r="A1112" s="0" t="n">
        <v>1111</v>
      </c>
      <c r="B1112" s="0" t="str">
        <f aca="false">IF(A1112&lt;=36*25,"PRODUKSI","REJECT")</f>
        <v>REJECT</v>
      </c>
      <c r="C1112" s="0" t="n">
        <f aca="false">MOD(A1112-1,Pemetaan!$B$3*Pemetaan!$B$4)</f>
        <v>210</v>
      </c>
      <c r="D1112" s="0" t="n">
        <f aca="false">INT(C1112/Pemetaan!$B$4)</f>
        <v>8</v>
      </c>
      <c r="E1112" s="0" t="n">
        <f aca="false">MOD(C1112,Pemetaan!$B$4)</f>
        <v>10</v>
      </c>
      <c r="F1112" s="0" t="n">
        <f aca="false">IF(B1112="PRODUKSI",Pemetaan!$B$5,Pemetaan!$B$6)</f>
        <v>46</v>
      </c>
      <c r="G1112" s="0" t="n">
        <f aca="false">F1112+2+D1112</f>
        <v>56</v>
      </c>
      <c r="H1112" s="0" t="n">
        <f aca="false">Pemetaan!$B$2+E1112</f>
        <v>15</v>
      </c>
      <c r="I1112" s="0" t="str">
        <f aca="false">INDEX(Laporan!$A$1:$AZ$300,G1112,1)</f>
        <v>Water Treatment</v>
      </c>
      <c r="J1112" s="0" t="str">
        <f aca="false">INDEX(Laporan!$A$1:$AZ$300,G1112,2)</f>
        <v>600 ml</v>
      </c>
      <c r="K1112" s="0" t="str">
        <f aca="false">INDEX(Laporan!$A$1:$AZ$300,G1112,3)</f>
        <v>Shift 1</v>
      </c>
      <c r="L1112" s="0" t="n">
        <f aca="false">INDEX(Laporan!$A$1:$AZ$300,G1112,4)</f>
        <v>3</v>
      </c>
      <c r="M1112" s="1" t="n">
        <f aca="false">DATE(Pemetaan!$B$1,VALUE(RIGHT(INDEX(Laporan!$A$1:$AZ$300,F1112+1,H1112),2)),VALUE(LEFT(INDEX(Laporan!$A$1:$AZ$300,F1112+1,H1112),2)))</f>
        <v>46097</v>
      </c>
      <c r="N1112" s="0" t="n">
        <f aca="false">INDEX(Laporan!$A$1:$AZ$300,G1112,H1112)</f>
        <v>11</v>
      </c>
      <c r="O1112" s="0" t="n">
        <f aca="false">IF(N1112="","",IFERROR(VALUE(SUBSTITUTE(SUBSTITUTE(N1112," btl",""),".","")),""))</f>
        <v>11</v>
      </c>
      <c r="P1112" s="0" t="str">
        <f aca="false">IF(B1112="PRODUKSI","produced","reject")</f>
        <v>reject</v>
      </c>
    </row>
    <row r="1113" customFormat="false" ht="15" hidden="false" customHeight="false" outlineLevel="0" collapsed="false">
      <c r="A1113" s="0" t="n">
        <v>1112</v>
      </c>
      <c r="B1113" s="0" t="str">
        <f aca="false">IF(A1113&lt;=36*25,"PRODUKSI","REJECT")</f>
        <v>REJECT</v>
      </c>
      <c r="C1113" s="0" t="n">
        <f aca="false">MOD(A1113-1,Pemetaan!$B$3*Pemetaan!$B$4)</f>
        <v>211</v>
      </c>
      <c r="D1113" s="0" t="n">
        <f aca="false">INT(C1113/Pemetaan!$B$4)</f>
        <v>8</v>
      </c>
      <c r="E1113" s="0" t="n">
        <f aca="false">MOD(C1113,Pemetaan!$B$4)</f>
        <v>11</v>
      </c>
      <c r="F1113" s="0" t="n">
        <f aca="false">IF(B1113="PRODUKSI",Pemetaan!$B$5,Pemetaan!$B$6)</f>
        <v>46</v>
      </c>
      <c r="G1113" s="0" t="n">
        <f aca="false">F1113+2+D1113</f>
        <v>56</v>
      </c>
      <c r="H1113" s="0" t="n">
        <f aca="false">Pemetaan!$B$2+E1113</f>
        <v>16</v>
      </c>
      <c r="I1113" s="0" t="str">
        <f aca="false">INDEX(Laporan!$A$1:$AZ$300,G1113,1)</f>
        <v>Water Treatment</v>
      </c>
      <c r="J1113" s="0" t="str">
        <f aca="false">INDEX(Laporan!$A$1:$AZ$300,G1113,2)</f>
        <v>600 ml</v>
      </c>
      <c r="K1113" s="0" t="str">
        <f aca="false">INDEX(Laporan!$A$1:$AZ$300,G1113,3)</f>
        <v>Shift 1</v>
      </c>
      <c r="L1113" s="0" t="n">
        <f aca="false">INDEX(Laporan!$A$1:$AZ$300,G1113,4)</f>
        <v>3</v>
      </c>
      <c r="M1113" s="1" t="n">
        <f aca="false">DATE(Pemetaan!$B$1,VALUE(RIGHT(INDEX(Laporan!$A$1:$AZ$300,F1113+1,H1113),2)),VALUE(LEFT(INDEX(Laporan!$A$1:$AZ$300,F1113+1,H1113),2)))</f>
        <v>46098</v>
      </c>
      <c r="N1113" s="0" t="str">
        <f aca="false">INDEX(Laporan!$A$1:$AZ$300,G1113,H1113)</f>
        <v>-</v>
      </c>
      <c r="O1113" s="0" t="str">
        <f aca="false">IF(N1113="","",IFERROR(VALUE(SUBSTITUTE(SUBSTITUTE(N1113," btl",""),".","")),""))</f>
        <v/>
      </c>
      <c r="P1113" s="0" t="str">
        <f aca="false">IF(B1113="PRODUKSI","produced","reject")</f>
        <v>reject</v>
      </c>
    </row>
    <row r="1114" customFormat="false" ht="15" hidden="false" customHeight="false" outlineLevel="0" collapsed="false">
      <c r="A1114" s="0" t="n">
        <v>1113</v>
      </c>
      <c r="B1114" s="0" t="str">
        <f aca="false">IF(A1114&lt;=36*25,"PRODUKSI","REJECT")</f>
        <v>REJECT</v>
      </c>
      <c r="C1114" s="0" t="n">
        <f aca="false">MOD(A1114-1,Pemetaan!$B$3*Pemetaan!$B$4)</f>
        <v>212</v>
      </c>
      <c r="D1114" s="0" t="n">
        <f aca="false">INT(C1114/Pemetaan!$B$4)</f>
        <v>8</v>
      </c>
      <c r="E1114" s="0" t="n">
        <f aca="false">MOD(C1114,Pemetaan!$B$4)</f>
        <v>12</v>
      </c>
      <c r="F1114" s="0" t="n">
        <f aca="false">IF(B1114="PRODUKSI",Pemetaan!$B$5,Pemetaan!$B$6)</f>
        <v>46</v>
      </c>
      <c r="G1114" s="0" t="n">
        <f aca="false">F1114+2+D1114</f>
        <v>56</v>
      </c>
      <c r="H1114" s="0" t="n">
        <f aca="false">Pemetaan!$B$2+E1114</f>
        <v>17</v>
      </c>
      <c r="I1114" s="0" t="str">
        <f aca="false">INDEX(Laporan!$A$1:$AZ$300,G1114,1)</f>
        <v>Water Treatment</v>
      </c>
      <c r="J1114" s="0" t="str">
        <f aca="false">INDEX(Laporan!$A$1:$AZ$300,G1114,2)</f>
        <v>600 ml</v>
      </c>
      <c r="K1114" s="0" t="str">
        <f aca="false">INDEX(Laporan!$A$1:$AZ$300,G1114,3)</f>
        <v>Shift 1</v>
      </c>
      <c r="L1114" s="0" t="n">
        <f aca="false">INDEX(Laporan!$A$1:$AZ$300,G1114,4)</f>
        <v>3</v>
      </c>
      <c r="M1114" s="1" t="n">
        <f aca="false">DATE(Pemetaan!$B$1,VALUE(RIGHT(INDEX(Laporan!$A$1:$AZ$300,F1114+1,H1114),2)),VALUE(LEFT(INDEX(Laporan!$A$1:$AZ$300,F1114+1,H1114),2)))</f>
        <v>46099</v>
      </c>
      <c r="N1114" s="0" t="n">
        <f aca="false">INDEX(Laporan!$A$1:$AZ$300,G1114,H1114)</f>
        <v>13</v>
      </c>
      <c r="O1114" s="0" t="n">
        <f aca="false">IF(N1114="","",IFERROR(VALUE(SUBSTITUTE(SUBSTITUTE(N1114," btl",""),".","")),""))</f>
        <v>13</v>
      </c>
      <c r="P1114" s="0" t="str">
        <f aca="false">IF(B1114="PRODUKSI","produced","reject")</f>
        <v>reject</v>
      </c>
    </row>
    <row r="1115" customFormat="false" ht="15" hidden="false" customHeight="false" outlineLevel="0" collapsed="false">
      <c r="A1115" s="0" t="n">
        <v>1114</v>
      </c>
      <c r="B1115" s="0" t="str">
        <f aca="false">IF(A1115&lt;=36*25,"PRODUKSI","REJECT")</f>
        <v>REJECT</v>
      </c>
      <c r="C1115" s="0" t="n">
        <f aca="false">MOD(A1115-1,Pemetaan!$B$3*Pemetaan!$B$4)</f>
        <v>213</v>
      </c>
      <c r="D1115" s="0" t="n">
        <f aca="false">INT(C1115/Pemetaan!$B$4)</f>
        <v>8</v>
      </c>
      <c r="E1115" s="0" t="n">
        <f aca="false">MOD(C1115,Pemetaan!$B$4)</f>
        <v>13</v>
      </c>
      <c r="F1115" s="0" t="n">
        <f aca="false">IF(B1115="PRODUKSI",Pemetaan!$B$5,Pemetaan!$B$6)</f>
        <v>46</v>
      </c>
      <c r="G1115" s="0" t="n">
        <f aca="false">F1115+2+D1115</f>
        <v>56</v>
      </c>
      <c r="H1115" s="0" t="n">
        <f aca="false">Pemetaan!$B$2+E1115</f>
        <v>18</v>
      </c>
      <c r="I1115" s="0" t="str">
        <f aca="false">INDEX(Laporan!$A$1:$AZ$300,G1115,1)</f>
        <v>Water Treatment</v>
      </c>
      <c r="J1115" s="0" t="str">
        <f aca="false">INDEX(Laporan!$A$1:$AZ$300,G1115,2)</f>
        <v>600 ml</v>
      </c>
      <c r="K1115" s="0" t="str">
        <f aca="false">INDEX(Laporan!$A$1:$AZ$300,G1115,3)</f>
        <v>Shift 1</v>
      </c>
      <c r="L1115" s="0" t="n">
        <f aca="false">INDEX(Laporan!$A$1:$AZ$300,G1115,4)</f>
        <v>3</v>
      </c>
      <c r="M1115" s="1" t="n">
        <f aca="false">DATE(Pemetaan!$B$1,VALUE(RIGHT(INDEX(Laporan!$A$1:$AZ$300,F1115+1,H1115),2)),VALUE(LEFT(INDEX(Laporan!$A$1:$AZ$300,F1115+1,H1115),2)))</f>
        <v>46100</v>
      </c>
      <c r="N1115" s="0" t="n">
        <f aca="false">INDEX(Laporan!$A$1:$AZ$300,G1115,H1115)</f>
        <v>6</v>
      </c>
      <c r="O1115" s="0" t="n">
        <f aca="false">IF(N1115="","",IFERROR(VALUE(SUBSTITUTE(SUBSTITUTE(N1115," btl",""),".","")),""))</f>
        <v>6</v>
      </c>
      <c r="P1115" s="0" t="str">
        <f aca="false">IF(B1115="PRODUKSI","produced","reject")</f>
        <v>reject</v>
      </c>
    </row>
    <row r="1116" customFormat="false" ht="15" hidden="false" customHeight="false" outlineLevel="0" collapsed="false">
      <c r="A1116" s="0" t="n">
        <v>1115</v>
      </c>
      <c r="B1116" s="0" t="str">
        <f aca="false">IF(A1116&lt;=36*25,"PRODUKSI","REJECT")</f>
        <v>REJECT</v>
      </c>
      <c r="C1116" s="0" t="n">
        <f aca="false">MOD(A1116-1,Pemetaan!$B$3*Pemetaan!$B$4)</f>
        <v>214</v>
      </c>
      <c r="D1116" s="0" t="n">
        <f aca="false">INT(C1116/Pemetaan!$B$4)</f>
        <v>8</v>
      </c>
      <c r="E1116" s="0" t="n">
        <f aca="false">MOD(C1116,Pemetaan!$B$4)</f>
        <v>14</v>
      </c>
      <c r="F1116" s="0" t="n">
        <f aca="false">IF(B1116="PRODUKSI",Pemetaan!$B$5,Pemetaan!$B$6)</f>
        <v>46</v>
      </c>
      <c r="G1116" s="0" t="n">
        <f aca="false">F1116+2+D1116</f>
        <v>56</v>
      </c>
      <c r="H1116" s="0" t="n">
        <f aca="false">Pemetaan!$B$2+E1116</f>
        <v>19</v>
      </c>
      <c r="I1116" s="0" t="str">
        <f aca="false">INDEX(Laporan!$A$1:$AZ$300,G1116,1)</f>
        <v>Water Treatment</v>
      </c>
      <c r="J1116" s="0" t="str">
        <f aca="false">INDEX(Laporan!$A$1:$AZ$300,G1116,2)</f>
        <v>600 ml</v>
      </c>
      <c r="K1116" s="0" t="str">
        <f aca="false">INDEX(Laporan!$A$1:$AZ$300,G1116,3)</f>
        <v>Shift 1</v>
      </c>
      <c r="L1116" s="0" t="n">
        <f aca="false">INDEX(Laporan!$A$1:$AZ$300,G1116,4)</f>
        <v>3</v>
      </c>
      <c r="M1116" s="1" t="n">
        <f aca="false">DATE(Pemetaan!$B$1,VALUE(RIGHT(INDEX(Laporan!$A$1:$AZ$300,F1116+1,H1116),2)),VALUE(LEFT(INDEX(Laporan!$A$1:$AZ$300,F1116+1,H1116),2)))</f>
        <v>46101</v>
      </c>
      <c r="N1116" s="0" t="n">
        <f aca="false">INDEX(Laporan!$A$1:$AZ$300,G1116,H1116)</f>
        <v>11</v>
      </c>
      <c r="O1116" s="0" t="n">
        <f aca="false">IF(N1116="","",IFERROR(VALUE(SUBSTITUTE(SUBSTITUTE(N1116," btl",""),".","")),""))</f>
        <v>11</v>
      </c>
      <c r="P1116" s="0" t="str">
        <f aca="false">IF(B1116="PRODUKSI","produced","reject")</f>
        <v>reject</v>
      </c>
    </row>
    <row r="1117" customFormat="false" ht="15" hidden="false" customHeight="false" outlineLevel="0" collapsed="false">
      <c r="A1117" s="0" t="n">
        <v>1116</v>
      </c>
      <c r="B1117" s="0" t="str">
        <f aca="false">IF(A1117&lt;=36*25,"PRODUKSI","REJECT")</f>
        <v>REJECT</v>
      </c>
      <c r="C1117" s="0" t="n">
        <f aca="false">MOD(A1117-1,Pemetaan!$B$3*Pemetaan!$B$4)</f>
        <v>215</v>
      </c>
      <c r="D1117" s="0" t="n">
        <f aca="false">INT(C1117/Pemetaan!$B$4)</f>
        <v>8</v>
      </c>
      <c r="E1117" s="0" t="n">
        <f aca="false">MOD(C1117,Pemetaan!$B$4)</f>
        <v>15</v>
      </c>
      <c r="F1117" s="0" t="n">
        <f aca="false">IF(B1117="PRODUKSI",Pemetaan!$B$5,Pemetaan!$B$6)</f>
        <v>46</v>
      </c>
      <c r="G1117" s="0" t="n">
        <f aca="false">F1117+2+D1117</f>
        <v>56</v>
      </c>
      <c r="H1117" s="0" t="n">
        <f aca="false">Pemetaan!$B$2+E1117</f>
        <v>20</v>
      </c>
      <c r="I1117" s="0" t="str">
        <f aca="false">INDEX(Laporan!$A$1:$AZ$300,G1117,1)</f>
        <v>Water Treatment</v>
      </c>
      <c r="J1117" s="0" t="str">
        <f aca="false">INDEX(Laporan!$A$1:$AZ$300,G1117,2)</f>
        <v>600 ml</v>
      </c>
      <c r="K1117" s="0" t="str">
        <f aca="false">INDEX(Laporan!$A$1:$AZ$300,G1117,3)</f>
        <v>Shift 1</v>
      </c>
      <c r="L1117" s="0" t="n">
        <f aca="false">INDEX(Laporan!$A$1:$AZ$300,G1117,4)</f>
        <v>3</v>
      </c>
      <c r="M1117" s="1" t="n">
        <f aca="false">DATE(Pemetaan!$B$1,VALUE(RIGHT(INDEX(Laporan!$A$1:$AZ$300,F1117+1,H1117),2)),VALUE(LEFT(INDEX(Laporan!$A$1:$AZ$300,F1117+1,H1117),2)))</f>
        <v>46104</v>
      </c>
      <c r="N1117" s="0" t="n">
        <f aca="false">INDEX(Laporan!$A$1:$AZ$300,G1117,H1117)</f>
        <v>11</v>
      </c>
      <c r="O1117" s="0" t="n">
        <f aca="false">IF(N1117="","",IFERROR(VALUE(SUBSTITUTE(SUBSTITUTE(N1117," btl",""),".","")),""))</f>
        <v>11</v>
      </c>
      <c r="P1117" s="0" t="str">
        <f aca="false">IF(B1117="PRODUKSI","produced","reject")</f>
        <v>reject</v>
      </c>
    </row>
    <row r="1118" customFormat="false" ht="15" hidden="false" customHeight="false" outlineLevel="0" collapsed="false">
      <c r="A1118" s="0" t="n">
        <v>1117</v>
      </c>
      <c r="B1118" s="0" t="str">
        <f aca="false">IF(A1118&lt;=36*25,"PRODUKSI","REJECT")</f>
        <v>REJECT</v>
      </c>
      <c r="C1118" s="0" t="n">
        <f aca="false">MOD(A1118-1,Pemetaan!$B$3*Pemetaan!$B$4)</f>
        <v>216</v>
      </c>
      <c r="D1118" s="0" t="n">
        <f aca="false">INT(C1118/Pemetaan!$B$4)</f>
        <v>8</v>
      </c>
      <c r="E1118" s="0" t="n">
        <f aca="false">MOD(C1118,Pemetaan!$B$4)</f>
        <v>16</v>
      </c>
      <c r="F1118" s="0" t="n">
        <f aca="false">IF(B1118="PRODUKSI",Pemetaan!$B$5,Pemetaan!$B$6)</f>
        <v>46</v>
      </c>
      <c r="G1118" s="0" t="n">
        <f aca="false">F1118+2+D1118</f>
        <v>56</v>
      </c>
      <c r="H1118" s="0" t="n">
        <f aca="false">Pemetaan!$B$2+E1118</f>
        <v>21</v>
      </c>
      <c r="I1118" s="0" t="str">
        <f aca="false">INDEX(Laporan!$A$1:$AZ$300,G1118,1)</f>
        <v>Water Treatment</v>
      </c>
      <c r="J1118" s="0" t="str">
        <f aca="false">INDEX(Laporan!$A$1:$AZ$300,G1118,2)</f>
        <v>600 ml</v>
      </c>
      <c r="K1118" s="0" t="str">
        <f aca="false">INDEX(Laporan!$A$1:$AZ$300,G1118,3)</f>
        <v>Shift 1</v>
      </c>
      <c r="L1118" s="0" t="n">
        <f aca="false">INDEX(Laporan!$A$1:$AZ$300,G1118,4)</f>
        <v>3</v>
      </c>
      <c r="M1118" s="1" t="n">
        <f aca="false">DATE(Pemetaan!$B$1,VALUE(RIGHT(INDEX(Laporan!$A$1:$AZ$300,F1118+1,H1118),2)),VALUE(LEFT(INDEX(Laporan!$A$1:$AZ$300,F1118+1,H1118),2)))</f>
        <v>46105</v>
      </c>
      <c r="N1118" s="0" t="n">
        <f aca="false">INDEX(Laporan!$A$1:$AZ$300,G1118,H1118)</f>
        <v>16</v>
      </c>
      <c r="O1118" s="0" t="n">
        <f aca="false">IF(N1118="","",IFERROR(VALUE(SUBSTITUTE(SUBSTITUTE(N1118," btl",""),".","")),""))</f>
        <v>16</v>
      </c>
      <c r="P1118" s="0" t="str">
        <f aca="false">IF(B1118="PRODUKSI","produced","reject")</f>
        <v>reject</v>
      </c>
    </row>
    <row r="1119" customFormat="false" ht="15" hidden="false" customHeight="false" outlineLevel="0" collapsed="false">
      <c r="A1119" s="0" t="n">
        <v>1118</v>
      </c>
      <c r="B1119" s="0" t="str">
        <f aca="false">IF(A1119&lt;=36*25,"PRODUKSI","REJECT")</f>
        <v>REJECT</v>
      </c>
      <c r="C1119" s="0" t="n">
        <f aca="false">MOD(A1119-1,Pemetaan!$B$3*Pemetaan!$B$4)</f>
        <v>217</v>
      </c>
      <c r="D1119" s="0" t="n">
        <f aca="false">INT(C1119/Pemetaan!$B$4)</f>
        <v>8</v>
      </c>
      <c r="E1119" s="0" t="n">
        <f aca="false">MOD(C1119,Pemetaan!$B$4)</f>
        <v>17</v>
      </c>
      <c r="F1119" s="0" t="n">
        <f aca="false">IF(B1119="PRODUKSI",Pemetaan!$B$5,Pemetaan!$B$6)</f>
        <v>46</v>
      </c>
      <c r="G1119" s="0" t="n">
        <f aca="false">F1119+2+D1119</f>
        <v>56</v>
      </c>
      <c r="H1119" s="0" t="n">
        <f aca="false">Pemetaan!$B$2+E1119</f>
        <v>22</v>
      </c>
      <c r="I1119" s="0" t="str">
        <f aca="false">INDEX(Laporan!$A$1:$AZ$300,G1119,1)</f>
        <v>Water Treatment</v>
      </c>
      <c r="J1119" s="0" t="str">
        <f aca="false">INDEX(Laporan!$A$1:$AZ$300,G1119,2)</f>
        <v>600 ml</v>
      </c>
      <c r="K1119" s="0" t="str">
        <f aca="false">INDEX(Laporan!$A$1:$AZ$300,G1119,3)</f>
        <v>Shift 1</v>
      </c>
      <c r="L1119" s="0" t="n">
        <f aca="false">INDEX(Laporan!$A$1:$AZ$300,G1119,4)</f>
        <v>3</v>
      </c>
      <c r="M1119" s="1" t="n">
        <f aca="false">DATE(Pemetaan!$B$1,VALUE(RIGHT(INDEX(Laporan!$A$1:$AZ$300,F1119+1,H1119),2)),VALUE(LEFT(INDEX(Laporan!$A$1:$AZ$300,F1119+1,H1119),2)))</f>
        <v>46106</v>
      </c>
      <c r="N1119" s="0" t="n">
        <f aca="false">INDEX(Laporan!$A$1:$AZ$300,G1119,H1119)</f>
        <v>10</v>
      </c>
      <c r="O1119" s="0" t="n">
        <f aca="false">IF(N1119="","",IFERROR(VALUE(SUBSTITUTE(SUBSTITUTE(N1119," btl",""),".","")),""))</f>
        <v>10</v>
      </c>
      <c r="P1119" s="0" t="str">
        <f aca="false">IF(B1119="PRODUKSI","produced","reject")</f>
        <v>reject</v>
      </c>
    </row>
    <row r="1120" customFormat="false" ht="15" hidden="false" customHeight="false" outlineLevel="0" collapsed="false">
      <c r="A1120" s="0" t="n">
        <v>1119</v>
      </c>
      <c r="B1120" s="0" t="str">
        <f aca="false">IF(A1120&lt;=36*25,"PRODUKSI","REJECT")</f>
        <v>REJECT</v>
      </c>
      <c r="C1120" s="0" t="n">
        <f aca="false">MOD(A1120-1,Pemetaan!$B$3*Pemetaan!$B$4)</f>
        <v>218</v>
      </c>
      <c r="D1120" s="0" t="n">
        <f aca="false">INT(C1120/Pemetaan!$B$4)</f>
        <v>8</v>
      </c>
      <c r="E1120" s="0" t="n">
        <f aca="false">MOD(C1120,Pemetaan!$B$4)</f>
        <v>18</v>
      </c>
      <c r="F1120" s="0" t="n">
        <f aca="false">IF(B1120="PRODUKSI",Pemetaan!$B$5,Pemetaan!$B$6)</f>
        <v>46</v>
      </c>
      <c r="G1120" s="0" t="n">
        <f aca="false">F1120+2+D1120</f>
        <v>56</v>
      </c>
      <c r="H1120" s="0" t="n">
        <f aca="false">Pemetaan!$B$2+E1120</f>
        <v>23</v>
      </c>
      <c r="I1120" s="0" t="str">
        <f aca="false">INDEX(Laporan!$A$1:$AZ$300,G1120,1)</f>
        <v>Water Treatment</v>
      </c>
      <c r="J1120" s="0" t="str">
        <f aca="false">INDEX(Laporan!$A$1:$AZ$300,G1120,2)</f>
        <v>600 ml</v>
      </c>
      <c r="K1120" s="0" t="str">
        <f aca="false">INDEX(Laporan!$A$1:$AZ$300,G1120,3)</f>
        <v>Shift 1</v>
      </c>
      <c r="L1120" s="0" t="n">
        <f aca="false">INDEX(Laporan!$A$1:$AZ$300,G1120,4)</f>
        <v>3</v>
      </c>
      <c r="M1120" s="1" t="n">
        <f aca="false">DATE(Pemetaan!$B$1,VALUE(RIGHT(INDEX(Laporan!$A$1:$AZ$300,F1120+1,H1120),2)),VALUE(LEFT(INDEX(Laporan!$A$1:$AZ$300,F1120+1,H1120),2)))</f>
        <v>46107</v>
      </c>
      <c r="N1120" s="0" t="n">
        <f aca="false">INDEX(Laporan!$A$1:$AZ$300,G1120,H1120)</f>
        <v>12</v>
      </c>
      <c r="O1120" s="0" t="n">
        <f aca="false">IF(N1120="","",IFERROR(VALUE(SUBSTITUTE(SUBSTITUTE(N1120," btl",""),".","")),""))</f>
        <v>12</v>
      </c>
      <c r="P1120" s="0" t="str">
        <f aca="false">IF(B1120="PRODUKSI","produced","reject")</f>
        <v>reject</v>
      </c>
    </row>
    <row r="1121" customFormat="false" ht="15" hidden="false" customHeight="false" outlineLevel="0" collapsed="false">
      <c r="A1121" s="0" t="n">
        <v>1120</v>
      </c>
      <c r="B1121" s="0" t="str">
        <f aca="false">IF(A1121&lt;=36*25,"PRODUKSI","REJECT")</f>
        <v>REJECT</v>
      </c>
      <c r="C1121" s="0" t="n">
        <f aca="false">MOD(A1121-1,Pemetaan!$B$3*Pemetaan!$B$4)</f>
        <v>219</v>
      </c>
      <c r="D1121" s="0" t="n">
        <f aca="false">INT(C1121/Pemetaan!$B$4)</f>
        <v>8</v>
      </c>
      <c r="E1121" s="0" t="n">
        <f aca="false">MOD(C1121,Pemetaan!$B$4)</f>
        <v>19</v>
      </c>
      <c r="F1121" s="0" t="n">
        <f aca="false">IF(B1121="PRODUKSI",Pemetaan!$B$5,Pemetaan!$B$6)</f>
        <v>46</v>
      </c>
      <c r="G1121" s="0" t="n">
        <f aca="false">F1121+2+D1121</f>
        <v>56</v>
      </c>
      <c r="H1121" s="0" t="n">
        <f aca="false">Pemetaan!$B$2+E1121</f>
        <v>24</v>
      </c>
      <c r="I1121" s="0" t="str">
        <f aca="false">INDEX(Laporan!$A$1:$AZ$300,G1121,1)</f>
        <v>Water Treatment</v>
      </c>
      <c r="J1121" s="0" t="str">
        <f aca="false">INDEX(Laporan!$A$1:$AZ$300,G1121,2)</f>
        <v>600 ml</v>
      </c>
      <c r="K1121" s="0" t="str">
        <f aca="false">INDEX(Laporan!$A$1:$AZ$300,G1121,3)</f>
        <v>Shift 1</v>
      </c>
      <c r="L1121" s="0" t="n">
        <f aca="false">INDEX(Laporan!$A$1:$AZ$300,G1121,4)</f>
        <v>3</v>
      </c>
      <c r="M1121" s="1" t="n">
        <f aca="false">DATE(Pemetaan!$B$1,VALUE(RIGHT(INDEX(Laporan!$A$1:$AZ$300,F1121+1,H1121),2)),VALUE(LEFT(INDEX(Laporan!$A$1:$AZ$300,F1121+1,H1121),2)))</f>
        <v>46108</v>
      </c>
      <c r="N1121" s="0" t="n">
        <f aca="false">INDEX(Laporan!$A$1:$AZ$300,G1121,H1121)</f>
        <v>11</v>
      </c>
      <c r="O1121" s="0" t="n">
        <f aca="false">IF(N1121="","",IFERROR(VALUE(SUBSTITUTE(SUBSTITUTE(N1121," btl",""),".","")),""))</f>
        <v>11</v>
      </c>
      <c r="P1121" s="0" t="str">
        <f aca="false">IF(B1121="PRODUKSI","produced","reject")</f>
        <v>reject</v>
      </c>
    </row>
    <row r="1122" customFormat="false" ht="15" hidden="false" customHeight="false" outlineLevel="0" collapsed="false">
      <c r="A1122" s="0" t="n">
        <v>1121</v>
      </c>
      <c r="B1122" s="0" t="str">
        <f aca="false">IF(A1122&lt;=36*25,"PRODUKSI","REJECT")</f>
        <v>REJECT</v>
      </c>
      <c r="C1122" s="0" t="n">
        <f aca="false">MOD(A1122-1,Pemetaan!$B$3*Pemetaan!$B$4)</f>
        <v>220</v>
      </c>
      <c r="D1122" s="0" t="n">
        <f aca="false">INT(C1122/Pemetaan!$B$4)</f>
        <v>8</v>
      </c>
      <c r="E1122" s="0" t="n">
        <f aca="false">MOD(C1122,Pemetaan!$B$4)</f>
        <v>20</v>
      </c>
      <c r="F1122" s="0" t="n">
        <f aca="false">IF(B1122="PRODUKSI",Pemetaan!$B$5,Pemetaan!$B$6)</f>
        <v>46</v>
      </c>
      <c r="G1122" s="0" t="n">
        <f aca="false">F1122+2+D1122</f>
        <v>56</v>
      </c>
      <c r="H1122" s="0" t="n">
        <f aca="false">Pemetaan!$B$2+E1122</f>
        <v>25</v>
      </c>
      <c r="I1122" s="0" t="str">
        <f aca="false">INDEX(Laporan!$A$1:$AZ$300,G1122,1)</f>
        <v>Water Treatment</v>
      </c>
      <c r="J1122" s="0" t="str">
        <f aca="false">INDEX(Laporan!$A$1:$AZ$300,G1122,2)</f>
        <v>600 ml</v>
      </c>
      <c r="K1122" s="0" t="str">
        <f aca="false">INDEX(Laporan!$A$1:$AZ$300,G1122,3)</f>
        <v>Shift 1</v>
      </c>
      <c r="L1122" s="0" t="n">
        <f aca="false">INDEX(Laporan!$A$1:$AZ$300,G1122,4)</f>
        <v>3</v>
      </c>
      <c r="M1122" s="1" t="n">
        <f aca="false">DATE(Pemetaan!$B$1,VALUE(RIGHT(INDEX(Laporan!$A$1:$AZ$300,F1122+1,H1122),2)),VALUE(LEFT(INDEX(Laporan!$A$1:$AZ$300,F1122+1,H1122),2)))</f>
        <v>46111</v>
      </c>
      <c r="N1122" s="0" t="n">
        <f aca="false">INDEX(Laporan!$A$1:$AZ$300,G1122,H1122)</f>
        <v>15</v>
      </c>
      <c r="O1122" s="0" t="n">
        <f aca="false">IF(N1122="","",IFERROR(VALUE(SUBSTITUTE(SUBSTITUTE(N1122," btl",""),".","")),""))</f>
        <v>15</v>
      </c>
      <c r="P1122" s="0" t="str">
        <f aca="false">IF(B1122="PRODUKSI","produced","reject")</f>
        <v>reject</v>
      </c>
    </row>
    <row r="1123" customFormat="false" ht="15" hidden="false" customHeight="false" outlineLevel="0" collapsed="false">
      <c r="A1123" s="0" t="n">
        <v>1122</v>
      </c>
      <c r="B1123" s="0" t="str">
        <f aca="false">IF(A1123&lt;=36*25,"PRODUKSI","REJECT")</f>
        <v>REJECT</v>
      </c>
      <c r="C1123" s="0" t="n">
        <f aca="false">MOD(A1123-1,Pemetaan!$B$3*Pemetaan!$B$4)</f>
        <v>221</v>
      </c>
      <c r="D1123" s="0" t="n">
        <f aca="false">INT(C1123/Pemetaan!$B$4)</f>
        <v>8</v>
      </c>
      <c r="E1123" s="0" t="n">
        <f aca="false">MOD(C1123,Pemetaan!$B$4)</f>
        <v>21</v>
      </c>
      <c r="F1123" s="0" t="n">
        <f aca="false">IF(B1123="PRODUKSI",Pemetaan!$B$5,Pemetaan!$B$6)</f>
        <v>46</v>
      </c>
      <c r="G1123" s="0" t="n">
        <f aca="false">F1123+2+D1123</f>
        <v>56</v>
      </c>
      <c r="H1123" s="0" t="n">
        <f aca="false">Pemetaan!$B$2+E1123</f>
        <v>26</v>
      </c>
      <c r="I1123" s="0" t="str">
        <f aca="false">INDEX(Laporan!$A$1:$AZ$300,G1123,1)</f>
        <v>Water Treatment</v>
      </c>
      <c r="J1123" s="0" t="str">
        <f aca="false">INDEX(Laporan!$A$1:$AZ$300,G1123,2)</f>
        <v>600 ml</v>
      </c>
      <c r="K1123" s="0" t="str">
        <f aca="false">INDEX(Laporan!$A$1:$AZ$300,G1123,3)</f>
        <v>Shift 1</v>
      </c>
      <c r="L1123" s="0" t="n">
        <f aca="false">INDEX(Laporan!$A$1:$AZ$300,G1123,4)</f>
        <v>3</v>
      </c>
      <c r="M1123" s="1" t="n">
        <f aca="false">DATE(Pemetaan!$B$1,VALUE(RIGHT(INDEX(Laporan!$A$1:$AZ$300,F1123+1,H1123),2)),VALUE(LEFT(INDEX(Laporan!$A$1:$AZ$300,F1123+1,H1123),2)))</f>
        <v>46112</v>
      </c>
      <c r="N1123" s="0" t="n">
        <f aca="false">INDEX(Laporan!$A$1:$AZ$300,G1123,H1123)</f>
        <v>9</v>
      </c>
      <c r="O1123" s="0" t="n">
        <f aca="false">IF(N1123="","",IFERROR(VALUE(SUBSTITUTE(SUBSTITUTE(N1123," btl",""),".","")),""))</f>
        <v>9</v>
      </c>
      <c r="P1123" s="0" t="str">
        <f aca="false">IF(B1123="PRODUKSI","produced","reject")</f>
        <v>reject</v>
      </c>
    </row>
    <row r="1124" customFormat="false" ht="15" hidden="false" customHeight="false" outlineLevel="0" collapsed="false">
      <c r="A1124" s="0" t="n">
        <v>1123</v>
      </c>
      <c r="B1124" s="0" t="str">
        <f aca="false">IF(A1124&lt;=36*25,"PRODUKSI","REJECT")</f>
        <v>REJECT</v>
      </c>
      <c r="C1124" s="0" t="n">
        <f aca="false">MOD(A1124-1,Pemetaan!$B$3*Pemetaan!$B$4)</f>
        <v>222</v>
      </c>
      <c r="D1124" s="0" t="n">
        <f aca="false">INT(C1124/Pemetaan!$B$4)</f>
        <v>8</v>
      </c>
      <c r="E1124" s="0" t="n">
        <f aca="false">MOD(C1124,Pemetaan!$B$4)</f>
        <v>22</v>
      </c>
      <c r="F1124" s="0" t="n">
        <f aca="false">IF(B1124="PRODUKSI",Pemetaan!$B$5,Pemetaan!$B$6)</f>
        <v>46</v>
      </c>
      <c r="G1124" s="0" t="n">
        <f aca="false">F1124+2+D1124</f>
        <v>56</v>
      </c>
      <c r="H1124" s="0" t="n">
        <f aca="false">Pemetaan!$B$2+E1124</f>
        <v>27</v>
      </c>
      <c r="I1124" s="0" t="str">
        <f aca="false">INDEX(Laporan!$A$1:$AZ$300,G1124,1)</f>
        <v>Water Treatment</v>
      </c>
      <c r="J1124" s="0" t="str">
        <f aca="false">INDEX(Laporan!$A$1:$AZ$300,G1124,2)</f>
        <v>600 ml</v>
      </c>
      <c r="K1124" s="0" t="str">
        <f aca="false">INDEX(Laporan!$A$1:$AZ$300,G1124,3)</f>
        <v>Shift 1</v>
      </c>
      <c r="L1124" s="0" t="n">
        <f aca="false">INDEX(Laporan!$A$1:$AZ$300,G1124,4)</f>
        <v>3</v>
      </c>
      <c r="M1124" s="1" t="n">
        <f aca="false">DATE(Pemetaan!$B$1,VALUE(RIGHT(INDEX(Laporan!$A$1:$AZ$300,F1124+1,H1124),2)),VALUE(LEFT(INDEX(Laporan!$A$1:$AZ$300,F1124+1,H1124),2)))</f>
        <v>46113</v>
      </c>
      <c r="N1124" s="0" t="n">
        <f aca="false">INDEX(Laporan!$A$1:$AZ$300,G1124,H1124)</f>
        <v>10</v>
      </c>
      <c r="O1124" s="0" t="n">
        <f aca="false">IF(N1124="","",IFERROR(VALUE(SUBSTITUTE(SUBSTITUTE(N1124," btl",""),".","")),""))</f>
        <v>10</v>
      </c>
      <c r="P1124" s="0" t="str">
        <f aca="false">IF(B1124="PRODUKSI","produced","reject")</f>
        <v>reject</v>
      </c>
    </row>
    <row r="1125" customFormat="false" ht="15" hidden="false" customHeight="false" outlineLevel="0" collapsed="false">
      <c r="A1125" s="0" t="n">
        <v>1124</v>
      </c>
      <c r="B1125" s="0" t="str">
        <f aca="false">IF(A1125&lt;=36*25,"PRODUKSI","REJECT")</f>
        <v>REJECT</v>
      </c>
      <c r="C1125" s="0" t="n">
        <f aca="false">MOD(A1125-1,Pemetaan!$B$3*Pemetaan!$B$4)</f>
        <v>223</v>
      </c>
      <c r="D1125" s="0" t="n">
        <f aca="false">INT(C1125/Pemetaan!$B$4)</f>
        <v>8</v>
      </c>
      <c r="E1125" s="0" t="n">
        <f aca="false">MOD(C1125,Pemetaan!$B$4)</f>
        <v>23</v>
      </c>
      <c r="F1125" s="0" t="n">
        <f aca="false">IF(B1125="PRODUKSI",Pemetaan!$B$5,Pemetaan!$B$6)</f>
        <v>46</v>
      </c>
      <c r="G1125" s="0" t="n">
        <f aca="false">F1125+2+D1125</f>
        <v>56</v>
      </c>
      <c r="H1125" s="0" t="n">
        <f aca="false">Pemetaan!$B$2+E1125</f>
        <v>28</v>
      </c>
      <c r="I1125" s="0" t="str">
        <f aca="false">INDEX(Laporan!$A$1:$AZ$300,G1125,1)</f>
        <v>Water Treatment</v>
      </c>
      <c r="J1125" s="0" t="str">
        <f aca="false">INDEX(Laporan!$A$1:$AZ$300,G1125,2)</f>
        <v>600 ml</v>
      </c>
      <c r="K1125" s="0" t="str">
        <f aca="false">INDEX(Laporan!$A$1:$AZ$300,G1125,3)</f>
        <v>Shift 1</v>
      </c>
      <c r="L1125" s="0" t="n">
        <f aca="false">INDEX(Laporan!$A$1:$AZ$300,G1125,4)</f>
        <v>3</v>
      </c>
      <c r="M1125" s="1" t="n">
        <f aca="false">DATE(Pemetaan!$B$1,VALUE(RIGHT(INDEX(Laporan!$A$1:$AZ$300,F1125+1,H1125),2)),VALUE(LEFT(INDEX(Laporan!$A$1:$AZ$300,F1125+1,H1125),2)))</f>
        <v>46114</v>
      </c>
      <c r="N1125" s="0" t="n">
        <f aca="false">INDEX(Laporan!$A$1:$AZ$300,G1125,H1125)</f>
        <v>6</v>
      </c>
      <c r="O1125" s="0" t="n">
        <f aca="false">IF(N1125="","",IFERROR(VALUE(SUBSTITUTE(SUBSTITUTE(N1125," btl",""),".","")),""))</f>
        <v>6</v>
      </c>
      <c r="P1125" s="0" t="str">
        <f aca="false">IF(B1125="PRODUKSI","produced","reject")</f>
        <v>reject</v>
      </c>
    </row>
    <row r="1126" customFormat="false" ht="15" hidden="false" customHeight="false" outlineLevel="0" collapsed="false">
      <c r="A1126" s="0" t="n">
        <v>1125</v>
      </c>
      <c r="B1126" s="0" t="str">
        <f aca="false">IF(A1126&lt;=36*25,"PRODUKSI","REJECT")</f>
        <v>REJECT</v>
      </c>
      <c r="C1126" s="0" t="n">
        <f aca="false">MOD(A1126-1,Pemetaan!$B$3*Pemetaan!$B$4)</f>
        <v>224</v>
      </c>
      <c r="D1126" s="0" t="n">
        <f aca="false">INT(C1126/Pemetaan!$B$4)</f>
        <v>8</v>
      </c>
      <c r="E1126" s="0" t="n">
        <f aca="false">MOD(C1126,Pemetaan!$B$4)</f>
        <v>24</v>
      </c>
      <c r="F1126" s="0" t="n">
        <f aca="false">IF(B1126="PRODUKSI",Pemetaan!$B$5,Pemetaan!$B$6)</f>
        <v>46</v>
      </c>
      <c r="G1126" s="0" t="n">
        <f aca="false">F1126+2+D1126</f>
        <v>56</v>
      </c>
      <c r="H1126" s="0" t="n">
        <f aca="false">Pemetaan!$B$2+E1126</f>
        <v>29</v>
      </c>
      <c r="I1126" s="0" t="str">
        <f aca="false">INDEX(Laporan!$A$1:$AZ$300,G1126,1)</f>
        <v>Water Treatment</v>
      </c>
      <c r="J1126" s="0" t="str">
        <f aca="false">INDEX(Laporan!$A$1:$AZ$300,G1126,2)</f>
        <v>600 ml</v>
      </c>
      <c r="K1126" s="0" t="str">
        <f aca="false">INDEX(Laporan!$A$1:$AZ$300,G1126,3)</f>
        <v>Shift 1</v>
      </c>
      <c r="L1126" s="0" t="n">
        <f aca="false">INDEX(Laporan!$A$1:$AZ$300,G1126,4)</f>
        <v>3</v>
      </c>
      <c r="M1126" s="1" t="n">
        <f aca="false">DATE(Pemetaan!$B$1,VALUE(RIGHT(INDEX(Laporan!$A$1:$AZ$300,F1126+1,H1126),2)),VALUE(LEFT(INDEX(Laporan!$A$1:$AZ$300,F1126+1,H1126),2)))</f>
        <v>46115</v>
      </c>
      <c r="N1126" s="0" t="n">
        <f aca="false">INDEX(Laporan!$A$1:$AZ$300,G1126,H1126)</f>
        <v>14</v>
      </c>
      <c r="O1126" s="0" t="n">
        <f aca="false">IF(N1126="","",IFERROR(VALUE(SUBSTITUTE(SUBSTITUTE(N1126," btl",""),".","")),""))</f>
        <v>14</v>
      </c>
      <c r="P1126" s="0" t="str">
        <f aca="false">IF(B1126="PRODUKSI","produced","reject")</f>
        <v>reject</v>
      </c>
    </row>
    <row r="1127" customFormat="false" ht="15" hidden="false" customHeight="false" outlineLevel="0" collapsed="false">
      <c r="A1127" s="0" t="n">
        <v>1126</v>
      </c>
      <c r="B1127" s="0" t="str">
        <f aca="false">IF(A1127&lt;=36*25,"PRODUKSI","REJECT")</f>
        <v>REJECT</v>
      </c>
      <c r="C1127" s="0" t="n">
        <f aca="false">MOD(A1127-1,Pemetaan!$B$3*Pemetaan!$B$4)</f>
        <v>225</v>
      </c>
      <c r="D1127" s="0" t="n">
        <f aca="false">INT(C1127/Pemetaan!$B$4)</f>
        <v>9</v>
      </c>
      <c r="E1127" s="0" t="n">
        <f aca="false">MOD(C1127,Pemetaan!$B$4)</f>
        <v>0</v>
      </c>
      <c r="F1127" s="0" t="n">
        <f aca="false">IF(B1127="PRODUKSI",Pemetaan!$B$5,Pemetaan!$B$6)</f>
        <v>46</v>
      </c>
      <c r="G1127" s="0" t="n">
        <f aca="false">F1127+2+D1127</f>
        <v>57</v>
      </c>
      <c r="H1127" s="0" t="n">
        <f aca="false">Pemetaan!$B$2+E1127</f>
        <v>5</v>
      </c>
      <c r="I1127" s="0" t="str">
        <f aca="false">INDEX(Laporan!$A$1:$AZ$300,G1127,1)</f>
        <v>Water Treatment</v>
      </c>
      <c r="J1127" s="0" t="str">
        <f aca="false">INDEX(Laporan!$A$1:$AZ$300,G1127,2)</f>
        <v>600 ml</v>
      </c>
      <c r="K1127" s="0" t="str">
        <f aca="false">INDEX(Laporan!$A$1:$AZ$300,G1127,3)</f>
        <v>Shift 2</v>
      </c>
      <c r="L1127" s="0" t="n">
        <f aca="false">INDEX(Laporan!$A$1:$AZ$300,G1127,4)</f>
        <v>1</v>
      </c>
      <c r="M1127" s="1" t="n">
        <f aca="false">DATE(Pemetaan!$B$1,VALUE(RIGHT(INDEX(Laporan!$A$1:$AZ$300,F1127+1,H1127),2)),VALUE(LEFT(INDEX(Laporan!$A$1:$AZ$300,F1127+1,H1127),2)))</f>
        <v>46083</v>
      </c>
      <c r="N1127" s="0" t="n">
        <f aca="false">INDEX(Laporan!$A$1:$AZ$300,G1127,H1127)</f>
        <v>8</v>
      </c>
      <c r="O1127" s="0" t="n">
        <f aca="false">IF(N1127="","",IFERROR(VALUE(SUBSTITUTE(SUBSTITUTE(N1127," btl",""),".","")),""))</f>
        <v>8</v>
      </c>
      <c r="P1127" s="0" t="str">
        <f aca="false">IF(B1127="PRODUKSI","produced","reject")</f>
        <v>reject</v>
      </c>
    </row>
    <row r="1128" customFormat="false" ht="15" hidden="false" customHeight="false" outlineLevel="0" collapsed="false">
      <c r="A1128" s="0" t="n">
        <v>1127</v>
      </c>
      <c r="B1128" s="0" t="str">
        <f aca="false">IF(A1128&lt;=36*25,"PRODUKSI","REJECT")</f>
        <v>REJECT</v>
      </c>
      <c r="C1128" s="0" t="n">
        <f aca="false">MOD(A1128-1,Pemetaan!$B$3*Pemetaan!$B$4)</f>
        <v>226</v>
      </c>
      <c r="D1128" s="0" t="n">
        <f aca="false">INT(C1128/Pemetaan!$B$4)</f>
        <v>9</v>
      </c>
      <c r="E1128" s="0" t="n">
        <f aca="false">MOD(C1128,Pemetaan!$B$4)</f>
        <v>1</v>
      </c>
      <c r="F1128" s="0" t="n">
        <f aca="false">IF(B1128="PRODUKSI",Pemetaan!$B$5,Pemetaan!$B$6)</f>
        <v>46</v>
      </c>
      <c r="G1128" s="0" t="n">
        <f aca="false">F1128+2+D1128</f>
        <v>57</v>
      </c>
      <c r="H1128" s="0" t="n">
        <f aca="false">Pemetaan!$B$2+E1128</f>
        <v>6</v>
      </c>
      <c r="I1128" s="0" t="str">
        <f aca="false">INDEX(Laporan!$A$1:$AZ$300,G1128,1)</f>
        <v>Water Treatment</v>
      </c>
      <c r="J1128" s="0" t="str">
        <f aca="false">INDEX(Laporan!$A$1:$AZ$300,G1128,2)</f>
        <v>600 ml</v>
      </c>
      <c r="K1128" s="0" t="str">
        <f aca="false">INDEX(Laporan!$A$1:$AZ$300,G1128,3)</f>
        <v>Shift 2</v>
      </c>
      <c r="L1128" s="0" t="n">
        <f aca="false">INDEX(Laporan!$A$1:$AZ$300,G1128,4)</f>
        <v>1</v>
      </c>
      <c r="M1128" s="1" t="n">
        <f aca="false">DATE(Pemetaan!$B$1,VALUE(RIGHT(INDEX(Laporan!$A$1:$AZ$300,F1128+1,H1128),2)),VALUE(LEFT(INDEX(Laporan!$A$1:$AZ$300,F1128+1,H1128),2)))</f>
        <v>46084</v>
      </c>
      <c r="N1128" s="0" t="n">
        <f aca="false">INDEX(Laporan!$A$1:$AZ$300,G1128,H1128)</f>
        <v>16</v>
      </c>
      <c r="O1128" s="0" t="n">
        <f aca="false">IF(N1128="","",IFERROR(VALUE(SUBSTITUTE(SUBSTITUTE(N1128," btl",""),".","")),""))</f>
        <v>16</v>
      </c>
      <c r="P1128" s="0" t="str">
        <f aca="false">IF(B1128="PRODUKSI","produced","reject")</f>
        <v>reject</v>
      </c>
    </row>
    <row r="1129" customFormat="false" ht="15" hidden="false" customHeight="false" outlineLevel="0" collapsed="false">
      <c r="A1129" s="0" t="n">
        <v>1128</v>
      </c>
      <c r="B1129" s="0" t="str">
        <f aca="false">IF(A1129&lt;=36*25,"PRODUKSI","REJECT")</f>
        <v>REJECT</v>
      </c>
      <c r="C1129" s="0" t="n">
        <f aca="false">MOD(A1129-1,Pemetaan!$B$3*Pemetaan!$B$4)</f>
        <v>227</v>
      </c>
      <c r="D1129" s="0" t="n">
        <f aca="false">INT(C1129/Pemetaan!$B$4)</f>
        <v>9</v>
      </c>
      <c r="E1129" s="0" t="n">
        <f aca="false">MOD(C1129,Pemetaan!$B$4)</f>
        <v>2</v>
      </c>
      <c r="F1129" s="0" t="n">
        <f aca="false">IF(B1129="PRODUKSI",Pemetaan!$B$5,Pemetaan!$B$6)</f>
        <v>46</v>
      </c>
      <c r="G1129" s="0" t="n">
        <f aca="false">F1129+2+D1129</f>
        <v>57</v>
      </c>
      <c r="H1129" s="0" t="n">
        <f aca="false">Pemetaan!$B$2+E1129</f>
        <v>7</v>
      </c>
      <c r="I1129" s="0" t="str">
        <f aca="false">INDEX(Laporan!$A$1:$AZ$300,G1129,1)</f>
        <v>Water Treatment</v>
      </c>
      <c r="J1129" s="0" t="str">
        <f aca="false">INDEX(Laporan!$A$1:$AZ$300,G1129,2)</f>
        <v>600 ml</v>
      </c>
      <c r="K1129" s="0" t="str">
        <f aca="false">INDEX(Laporan!$A$1:$AZ$300,G1129,3)</f>
        <v>Shift 2</v>
      </c>
      <c r="L1129" s="0" t="n">
        <f aca="false">INDEX(Laporan!$A$1:$AZ$300,G1129,4)</f>
        <v>1</v>
      </c>
      <c r="M1129" s="1" t="n">
        <f aca="false">DATE(Pemetaan!$B$1,VALUE(RIGHT(INDEX(Laporan!$A$1:$AZ$300,F1129+1,H1129),2)),VALUE(LEFT(INDEX(Laporan!$A$1:$AZ$300,F1129+1,H1129),2)))</f>
        <v>46085</v>
      </c>
      <c r="N1129" s="0" t="n">
        <f aca="false">INDEX(Laporan!$A$1:$AZ$300,G1129,H1129)</f>
        <v>12</v>
      </c>
      <c r="O1129" s="0" t="n">
        <f aca="false">IF(N1129="","",IFERROR(VALUE(SUBSTITUTE(SUBSTITUTE(N1129," btl",""),".","")),""))</f>
        <v>12</v>
      </c>
      <c r="P1129" s="0" t="str">
        <f aca="false">IF(B1129="PRODUKSI","produced","reject")</f>
        <v>reject</v>
      </c>
    </row>
    <row r="1130" customFormat="false" ht="15" hidden="false" customHeight="false" outlineLevel="0" collapsed="false">
      <c r="A1130" s="0" t="n">
        <v>1129</v>
      </c>
      <c r="B1130" s="0" t="str">
        <f aca="false">IF(A1130&lt;=36*25,"PRODUKSI","REJECT")</f>
        <v>REJECT</v>
      </c>
      <c r="C1130" s="0" t="n">
        <f aca="false">MOD(A1130-1,Pemetaan!$B$3*Pemetaan!$B$4)</f>
        <v>228</v>
      </c>
      <c r="D1130" s="0" t="n">
        <f aca="false">INT(C1130/Pemetaan!$B$4)</f>
        <v>9</v>
      </c>
      <c r="E1130" s="0" t="n">
        <f aca="false">MOD(C1130,Pemetaan!$B$4)</f>
        <v>3</v>
      </c>
      <c r="F1130" s="0" t="n">
        <f aca="false">IF(B1130="PRODUKSI",Pemetaan!$B$5,Pemetaan!$B$6)</f>
        <v>46</v>
      </c>
      <c r="G1130" s="0" t="n">
        <f aca="false">F1130+2+D1130</f>
        <v>57</v>
      </c>
      <c r="H1130" s="0" t="n">
        <f aca="false">Pemetaan!$B$2+E1130</f>
        <v>8</v>
      </c>
      <c r="I1130" s="0" t="str">
        <f aca="false">INDEX(Laporan!$A$1:$AZ$300,G1130,1)</f>
        <v>Water Treatment</v>
      </c>
      <c r="J1130" s="0" t="str">
        <f aca="false">INDEX(Laporan!$A$1:$AZ$300,G1130,2)</f>
        <v>600 ml</v>
      </c>
      <c r="K1130" s="0" t="str">
        <f aca="false">INDEX(Laporan!$A$1:$AZ$300,G1130,3)</f>
        <v>Shift 2</v>
      </c>
      <c r="L1130" s="0" t="n">
        <f aca="false">INDEX(Laporan!$A$1:$AZ$300,G1130,4)</f>
        <v>1</v>
      </c>
      <c r="M1130" s="1" t="n">
        <f aca="false">DATE(Pemetaan!$B$1,VALUE(RIGHT(INDEX(Laporan!$A$1:$AZ$300,F1130+1,H1130),2)),VALUE(LEFT(INDEX(Laporan!$A$1:$AZ$300,F1130+1,H1130),2)))</f>
        <v>46086</v>
      </c>
      <c r="N1130" s="0" t="n">
        <f aca="false">INDEX(Laporan!$A$1:$AZ$300,G1130,H1130)</f>
        <v>6</v>
      </c>
      <c r="O1130" s="0" t="n">
        <f aca="false">IF(N1130="","",IFERROR(VALUE(SUBSTITUTE(SUBSTITUTE(N1130," btl",""),".","")),""))</f>
        <v>6</v>
      </c>
      <c r="P1130" s="0" t="str">
        <f aca="false">IF(B1130="PRODUKSI","produced","reject")</f>
        <v>reject</v>
      </c>
    </row>
    <row r="1131" customFormat="false" ht="15" hidden="false" customHeight="false" outlineLevel="0" collapsed="false">
      <c r="A1131" s="0" t="n">
        <v>1130</v>
      </c>
      <c r="B1131" s="0" t="str">
        <f aca="false">IF(A1131&lt;=36*25,"PRODUKSI","REJECT")</f>
        <v>REJECT</v>
      </c>
      <c r="C1131" s="0" t="n">
        <f aca="false">MOD(A1131-1,Pemetaan!$B$3*Pemetaan!$B$4)</f>
        <v>229</v>
      </c>
      <c r="D1131" s="0" t="n">
        <f aca="false">INT(C1131/Pemetaan!$B$4)</f>
        <v>9</v>
      </c>
      <c r="E1131" s="0" t="n">
        <f aca="false">MOD(C1131,Pemetaan!$B$4)</f>
        <v>4</v>
      </c>
      <c r="F1131" s="0" t="n">
        <f aca="false">IF(B1131="PRODUKSI",Pemetaan!$B$5,Pemetaan!$B$6)</f>
        <v>46</v>
      </c>
      <c r="G1131" s="0" t="n">
        <f aca="false">F1131+2+D1131</f>
        <v>57</v>
      </c>
      <c r="H1131" s="0" t="n">
        <f aca="false">Pemetaan!$B$2+E1131</f>
        <v>9</v>
      </c>
      <c r="I1131" s="0" t="str">
        <f aca="false">INDEX(Laporan!$A$1:$AZ$300,G1131,1)</f>
        <v>Water Treatment</v>
      </c>
      <c r="J1131" s="0" t="str">
        <f aca="false">INDEX(Laporan!$A$1:$AZ$300,G1131,2)</f>
        <v>600 ml</v>
      </c>
      <c r="K1131" s="0" t="str">
        <f aca="false">INDEX(Laporan!$A$1:$AZ$300,G1131,3)</f>
        <v>Shift 2</v>
      </c>
      <c r="L1131" s="0" t="n">
        <f aca="false">INDEX(Laporan!$A$1:$AZ$300,G1131,4)</f>
        <v>1</v>
      </c>
      <c r="M1131" s="1" t="n">
        <f aca="false">DATE(Pemetaan!$B$1,VALUE(RIGHT(INDEX(Laporan!$A$1:$AZ$300,F1131+1,H1131),2)),VALUE(LEFT(INDEX(Laporan!$A$1:$AZ$300,F1131+1,H1131),2)))</f>
        <v>46087</v>
      </c>
      <c r="N1131" s="0" t="n">
        <f aca="false">INDEX(Laporan!$A$1:$AZ$300,G1131,H1131)</f>
        <v>15</v>
      </c>
      <c r="O1131" s="0" t="n">
        <f aca="false">IF(N1131="","",IFERROR(VALUE(SUBSTITUTE(SUBSTITUTE(N1131," btl",""),".","")),""))</f>
        <v>15</v>
      </c>
      <c r="P1131" s="0" t="str">
        <f aca="false">IF(B1131="PRODUKSI","produced","reject")</f>
        <v>reject</v>
      </c>
    </row>
    <row r="1132" customFormat="false" ht="15" hidden="false" customHeight="false" outlineLevel="0" collapsed="false">
      <c r="A1132" s="0" t="n">
        <v>1131</v>
      </c>
      <c r="B1132" s="0" t="str">
        <f aca="false">IF(A1132&lt;=36*25,"PRODUKSI","REJECT")</f>
        <v>REJECT</v>
      </c>
      <c r="C1132" s="0" t="n">
        <f aca="false">MOD(A1132-1,Pemetaan!$B$3*Pemetaan!$B$4)</f>
        <v>230</v>
      </c>
      <c r="D1132" s="0" t="n">
        <f aca="false">INT(C1132/Pemetaan!$B$4)</f>
        <v>9</v>
      </c>
      <c r="E1132" s="0" t="n">
        <f aca="false">MOD(C1132,Pemetaan!$B$4)</f>
        <v>5</v>
      </c>
      <c r="F1132" s="0" t="n">
        <f aca="false">IF(B1132="PRODUKSI",Pemetaan!$B$5,Pemetaan!$B$6)</f>
        <v>46</v>
      </c>
      <c r="G1132" s="0" t="n">
        <f aca="false">F1132+2+D1132</f>
        <v>57</v>
      </c>
      <c r="H1132" s="0" t="n">
        <f aca="false">Pemetaan!$B$2+E1132</f>
        <v>10</v>
      </c>
      <c r="I1132" s="0" t="str">
        <f aca="false">INDEX(Laporan!$A$1:$AZ$300,G1132,1)</f>
        <v>Water Treatment</v>
      </c>
      <c r="J1132" s="0" t="str">
        <f aca="false">INDEX(Laporan!$A$1:$AZ$300,G1132,2)</f>
        <v>600 ml</v>
      </c>
      <c r="K1132" s="0" t="str">
        <f aca="false">INDEX(Laporan!$A$1:$AZ$300,G1132,3)</f>
        <v>Shift 2</v>
      </c>
      <c r="L1132" s="0" t="n">
        <f aca="false">INDEX(Laporan!$A$1:$AZ$300,G1132,4)</f>
        <v>1</v>
      </c>
      <c r="M1132" s="1" t="n">
        <f aca="false">DATE(Pemetaan!$B$1,VALUE(RIGHT(INDEX(Laporan!$A$1:$AZ$300,F1132+1,H1132),2)),VALUE(LEFT(INDEX(Laporan!$A$1:$AZ$300,F1132+1,H1132),2)))</f>
        <v>46090</v>
      </c>
      <c r="N1132" s="0" t="n">
        <f aca="false">INDEX(Laporan!$A$1:$AZ$300,G1132,H1132)</f>
        <v>8</v>
      </c>
      <c r="O1132" s="0" t="n">
        <f aca="false">IF(N1132="","",IFERROR(VALUE(SUBSTITUTE(SUBSTITUTE(N1132," btl",""),".","")),""))</f>
        <v>8</v>
      </c>
      <c r="P1132" s="0" t="str">
        <f aca="false">IF(B1132="PRODUKSI","produced","reject")</f>
        <v>reject</v>
      </c>
    </row>
    <row r="1133" customFormat="false" ht="15" hidden="false" customHeight="false" outlineLevel="0" collapsed="false">
      <c r="A1133" s="0" t="n">
        <v>1132</v>
      </c>
      <c r="B1133" s="0" t="str">
        <f aca="false">IF(A1133&lt;=36*25,"PRODUKSI","REJECT")</f>
        <v>REJECT</v>
      </c>
      <c r="C1133" s="0" t="n">
        <f aca="false">MOD(A1133-1,Pemetaan!$B$3*Pemetaan!$B$4)</f>
        <v>231</v>
      </c>
      <c r="D1133" s="0" t="n">
        <f aca="false">INT(C1133/Pemetaan!$B$4)</f>
        <v>9</v>
      </c>
      <c r="E1133" s="0" t="n">
        <f aca="false">MOD(C1133,Pemetaan!$B$4)</f>
        <v>6</v>
      </c>
      <c r="F1133" s="0" t="n">
        <f aca="false">IF(B1133="PRODUKSI",Pemetaan!$B$5,Pemetaan!$B$6)</f>
        <v>46</v>
      </c>
      <c r="G1133" s="0" t="n">
        <f aca="false">F1133+2+D1133</f>
        <v>57</v>
      </c>
      <c r="H1133" s="0" t="n">
        <f aca="false">Pemetaan!$B$2+E1133</f>
        <v>11</v>
      </c>
      <c r="I1133" s="0" t="str">
        <f aca="false">INDEX(Laporan!$A$1:$AZ$300,G1133,1)</f>
        <v>Water Treatment</v>
      </c>
      <c r="J1133" s="0" t="str">
        <f aca="false">INDEX(Laporan!$A$1:$AZ$300,G1133,2)</f>
        <v>600 ml</v>
      </c>
      <c r="K1133" s="0" t="str">
        <f aca="false">INDEX(Laporan!$A$1:$AZ$300,G1133,3)</f>
        <v>Shift 2</v>
      </c>
      <c r="L1133" s="0" t="n">
        <f aca="false">INDEX(Laporan!$A$1:$AZ$300,G1133,4)</f>
        <v>1</v>
      </c>
      <c r="M1133" s="1" t="n">
        <f aca="false">DATE(Pemetaan!$B$1,VALUE(RIGHT(INDEX(Laporan!$A$1:$AZ$300,F1133+1,H1133),2)),VALUE(LEFT(INDEX(Laporan!$A$1:$AZ$300,F1133+1,H1133),2)))</f>
        <v>46091</v>
      </c>
      <c r="N1133" s="0" t="n">
        <f aca="false">INDEX(Laporan!$A$1:$AZ$300,G1133,H1133)</f>
        <v>9</v>
      </c>
      <c r="O1133" s="0" t="n">
        <f aca="false">IF(N1133="","",IFERROR(VALUE(SUBSTITUTE(SUBSTITUTE(N1133," btl",""),".","")),""))</f>
        <v>9</v>
      </c>
      <c r="P1133" s="0" t="str">
        <f aca="false">IF(B1133="PRODUKSI","produced","reject")</f>
        <v>reject</v>
      </c>
    </row>
    <row r="1134" customFormat="false" ht="15" hidden="false" customHeight="false" outlineLevel="0" collapsed="false">
      <c r="A1134" s="0" t="n">
        <v>1133</v>
      </c>
      <c r="B1134" s="0" t="str">
        <f aca="false">IF(A1134&lt;=36*25,"PRODUKSI","REJECT")</f>
        <v>REJECT</v>
      </c>
      <c r="C1134" s="0" t="n">
        <f aca="false">MOD(A1134-1,Pemetaan!$B$3*Pemetaan!$B$4)</f>
        <v>232</v>
      </c>
      <c r="D1134" s="0" t="n">
        <f aca="false">INT(C1134/Pemetaan!$B$4)</f>
        <v>9</v>
      </c>
      <c r="E1134" s="0" t="n">
        <f aca="false">MOD(C1134,Pemetaan!$B$4)</f>
        <v>7</v>
      </c>
      <c r="F1134" s="0" t="n">
        <f aca="false">IF(B1134="PRODUKSI",Pemetaan!$B$5,Pemetaan!$B$6)</f>
        <v>46</v>
      </c>
      <c r="G1134" s="0" t="n">
        <f aca="false">F1134+2+D1134</f>
        <v>57</v>
      </c>
      <c r="H1134" s="0" t="n">
        <f aca="false">Pemetaan!$B$2+E1134</f>
        <v>12</v>
      </c>
      <c r="I1134" s="0" t="str">
        <f aca="false">INDEX(Laporan!$A$1:$AZ$300,G1134,1)</f>
        <v>Water Treatment</v>
      </c>
      <c r="J1134" s="0" t="str">
        <f aca="false">INDEX(Laporan!$A$1:$AZ$300,G1134,2)</f>
        <v>600 ml</v>
      </c>
      <c r="K1134" s="0" t="str">
        <f aca="false">INDEX(Laporan!$A$1:$AZ$300,G1134,3)</f>
        <v>Shift 2</v>
      </c>
      <c r="L1134" s="0" t="n">
        <f aca="false">INDEX(Laporan!$A$1:$AZ$300,G1134,4)</f>
        <v>1</v>
      </c>
      <c r="M1134" s="1" t="n">
        <f aca="false">DATE(Pemetaan!$B$1,VALUE(RIGHT(INDEX(Laporan!$A$1:$AZ$300,F1134+1,H1134),2)),VALUE(LEFT(INDEX(Laporan!$A$1:$AZ$300,F1134+1,H1134),2)))</f>
        <v>46092</v>
      </c>
      <c r="N1134" s="0" t="n">
        <f aca="false">INDEX(Laporan!$A$1:$AZ$300,G1134,H1134)</f>
        <v>5</v>
      </c>
      <c r="O1134" s="0" t="n">
        <f aca="false">IF(N1134="","",IFERROR(VALUE(SUBSTITUTE(SUBSTITUTE(N1134," btl",""),".","")),""))</f>
        <v>5</v>
      </c>
      <c r="P1134" s="0" t="str">
        <f aca="false">IF(B1134="PRODUKSI","produced","reject")</f>
        <v>reject</v>
      </c>
    </row>
    <row r="1135" customFormat="false" ht="15" hidden="false" customHeight="false" outlineLevel="0" collapsed="false">
      <c r="A1135" s="0" t="n">
        <v>1134</v>
      </c>
      <c r="B1135" s="0" t="str">
        <f aca="false">IF(A1135&lt;=36*25,"PRODUKSI","REJECT")</f>
        <v>REJECT</v>
      </c>
      <c r="C1135" s="0" t="n">
        <f aca="false">MOD(A1135-1,Pemetaan!$B$3*Pemetaan!$B$4)</f>
        <v>233</v>
      </c>
      <c r="D1135" s="0" t="n">
        <f aca="false">INT(C1135/Pemetaan!$B$4)</f>
        <v>9</v>
      </c>
      <c r="E1135" s="0" t="n">
        <f aca="false">MOD(C1135,Pemetaan!$B$4)</f>
        <v>8</v>
      </c>
      <c r="F1135" s="0" t="n">
        <f aca="false">IF(B1135="PRODUKSI",Pemetaan!$B$5,Pemetaan!$B$6)</f>
        <v>46</v>
      </c>
      <c r="G1135" s="0" t="n">
        <f aca="false">F1135+2+D1135</f>
        <v>57</v>
      </c>
      <c r="H1135" s="0" t="n">
        <f aca="false">Pemetaan!$B$2+E1135</f>
        <v>13</v>
      </c>
      <c r="I1135" s="0" t="str">
        <f aca="false">INDEX(Laporan!$A$1:$AZ$300,G1135,1)</f>
        <v>Water Treatment</v>
      </c>
      <c r="J1135" s="0" t="str">
        <f aca="false">INDEX(Laporan!$A$1:$AZ$300,G1135,2)</f>
        <v>600 ml</v>
      </c>
      <c r="K1135" s="0" t="str">
        <f aca="false">INDEX(Laporan!$A$1:$AZ$300,G1135,3)</f>
        <v>Shift 2</v>
      </c>
      <c r="L1135" s="0" t="n">
        <f aca="false">INDEX(Laporan!$A$1:$AZ$300,G1135,4)</f>
        <v>1</v>
      </c>
      <c r="M1135" s="1" t="n">
        <f aca="false">DATE(Pemetaan!$B$1,VALUE(RIGHT(INDEX(Laporan!$A$1:$AZ$300,F1135+1,H1135),2)),VALUE(LEFT(INDEX(Laporan!$A$1:$AZ$300,F1135+1,H1135),2)))</f>
        <v>46093</v>
      </c>
      <c r="N1135" s="0" t="n">
        <f aca="false">INDEX(Laporan!$A$1:$AZ$300,G1135,H1135)</f>
        <v>14</v>
      </c>
      <c r="O1135" s="0" t="n">
        <f aca="false">IF(N1135="","",IFERROR(VALUE(SUBSTITUTE(SUBSTITUTE(N1135," btl",""),".","")),""))</f>
        <v>14</v>
      </c>
      <c r="P1135" s="0" t="str">
        <f aca="false">IF(B1135="PRODUKSI","produced","reject")</f>
        <v>reject</v>
      </c>
    </row>
    <row r="1136" customFormat="false" ht="15" hidden="false" customHeight="false" outlineLevel="0" collapsed="false">
      <c r="A1136" s="0" t="n">
        <v>1135</v>
      </c>
      <c r="B1136" s="0" t="str">
        <f aca="false">IF(A1136&lt;=36*25,"PRODUKSI","REJECT")</f>
        <v>REJECT</v>
      </c>
      <c r="C1136" s="0" t="n">
        <f aca="false">MOD(A1136-1,Pemetaan!$B$3*Pemetaan!$B$4)</f>
        <v>234</v>
      </c>
      <c r="D1136" s="0" t="n">
        <f aca="false">INT(C1136/Pemetaan!$B$4)</f>
        <v>9</v>
      </c>
      <c r="E1136" s="0" t="n">
        <f aca="false">MOD(C1136,Pemetaan!$B$4)</f>
        <v>9</v>
      </c>
      <c r="F1136" s="0" t="n">
        <f aca="false">IF(B1136="PRODUKSI",Pemetaan!$B$5,Pemetaan!$B$6)</f>
        <v>46</v>
      </c>
      <c r="G1136" s="0" t="n">
        <f aca="false">F1136+2+D1136</f>
        <v>57</v>
      </c>
      <c r="H1136" s="0" t="n">
        <f aca="false">Pemetaan!$B$2+E1136</f>
        <v>14</v>
      </c>
      <c r="I1136" s="0" t="str">
        <f aca="false">INDEX(Laporan!$A$1:$AZ$300,G1136,1)</f>
        <v>Water Treatment</v>
      </c>
      <c r="J1136" s="0" t="str">
        <f aca="false">INDEX(Laporan!$A$1:$AZ$300,G1136,2)</f>
        <v>600 ml</v>
      </c>
      <c r="K1136" s="0" t="str">
        <f aca="false">INDEX(Laporan!$A$1:$AZ$300,G1136,3)</f>
        <v>Shift 2</v>
      </c>
      <c r="L1136" s="0" t="n">
        <f aca="false">INDEX(Laporan!$A$1:$AZ$300,G1136,4)</f>
        <v>1</v>
      </c>
      <c r="M1136" s="1" t="n">
        <f aca="false">DATE(Pemetaan!$B$1,VALUE(RIGHT(INDEX(Laporan!$A$1:$AZ$300,F1136+1,H1136),2)),VALUE(LEFT(INDEX(Laporan!$A$1:$AZ$300,F1136+1,H1136),2)))</f>
        <v>46094</v>
      </c>
      <c r="N1136" s="0" t="str">
        <f aca="false">INDEX(Laporan!$A$1:$AZ$300,G1136,H1136)</f>
        <v>n/a</v>
      </c>
      <c r="O1136" s="0" t="str">
        <f aca="false">IF(N1136="","",IFERROR(VALUE(SUBSTITUTE(SUBSTITUTE(N1136," btl",""),".","")),""))</f>
        <v/>
      </c>
      <c r="P1136" s="0" t="str">
        <f aca="false">IF(B1136="PRODUKSI","produced","reject")</f>
        <v>reject</v>
      </c>
    </row>
    <row r="1137" customFormat="false" ht="15" hidden="false" customHeight="false" outlineLevel="0" collapsed="false">
      <c r="A1137" s="0" t="n">
        <v>1136</v>
      </c>
      <c r="B1137" s="0" t="str">
        <f aca="false">IF(A1137&lt;=36*25,"PRODUKSI","REJECT")</f>
        <v>REJECT</v>
      </c>
      <c r="C1137" s="0" t="n">
        <f aca="false">MOD(A1137-1,Pemetaan!$B$3*Pemetaan!$B$4)</f>
        <v>235</v>
      </c>
      <c r="D1137" s="0" t="n">
        <f aca="false">INT(C1137/Pemetaan!$B$4)</f>
        <v>9</v>
      </c>
      <c r="E1137" s="0" t="n">
        <f aca="false">MOD(C1137,Pemetaan!$B$4)</f>
        <v>10</v>
      </c>
      <c r="F1137" s="0" t="n">
        <f aca="false">IF(B1137="PRODUKSI",Pemetaan!$B$5,Pemetaan!$B$6)</f>
        <v>46</v>
      </c>
      <c r="G1137" s="0" t="n">
        <f aca="false">F1137+2+D1137</f>
        <v>57</v>
      </c>
      <c r="H1137" s="0" t="n">
        <f aca="false">Pemetaan!$B$2+E1137</f>
        <v>15</v>
      </c>
      <c r="I1137" s="0" t="str">
        <f aca="false">INDEX(Laporan!$A$1:$AZ$300,G1137,1)</f>
        <v>Water Treatment</v>
      </c>
      <c r="J1137" s="0" t="str">
        <f aca="false">INDEX(Laporan!$A$1:$AZ$300,G1137,2)</f>
        <v>600 ml</v>
      </c>
      <c r="K1137" s="0" t="str">
        <f aca="false">INDEX(Laporan!$A$1:$AZ$300,G1137,3)</f>
        <v>Shift 2</v>
      </c>
      <c r="L1137" s="0" t="n">
        <f aca="false">INDEX(Laporan!$A$1:$AZ$300,G1137,4)</f>
        <v>1</v>
      </c>
      <c r="M1137" s="1" t="n">
        <f aca="false">DATE(Pemetaan!$B$1,VALUE(RIGHT(INDEX(Laporan!$A$1:$AZ$300,F1137+1,H1137),2)),VALUE(LEFT(INDEX(Laporan!$A$1:$AZ$300,F1137+1,H1137),2)))</f>
        <v>46097</v>
      </c>
      <c r="N1137" s="0" t="n">
        <f aca="false">INDEX(Laporan!$A$1:$AZ$300,G1137,H1137)</f>
        <v>7</v>
      </c>
      <c r="O1137" s="0" t="n">
        <f aca="false">IF(N1137="","",IFERROR(VALUE(SUBSTITUTE(SUBSTITUTE(N1137," btl",""),".","")),""))</f>
        <v>7</v>
      </c>
      <c r="P1137" s="0" t="str">
        <f aca="false">IF(B1137="PRODUKSI","produced","reject")</f>
        <v>reject</v>
      </c>
    </row>
    <row r="1138" customFormat="false" ht="15" hidden="false" customHeight="false" outlineLevel="0" collapsed="false">
      <c r="A1138" s="0" t="n">
        <v>1137</v>
      </c>
      <c r="B1138" s="0" t="str">
        <f aca="false">IF(A1138&lt;=36*25,"PRODUKSI","REJECT")</f>
        <v>REJECT</v>
      </c>
      <c r="C1138" s="0" t="n">
        <f aca="false">MOD(A1138-1,Pemetaan!$B$3*Pemetaan!$B$4)</f>
        <v>236</v>
      </c>
      <c r="D1138" s="0" t="n">
        <f aca="false">INT(C1138/Pemetaan!$B$4)</f>
        <v>9</v>
      </c>
      <c r="E1138" s="0" t="n">
        <f aca="false">MOD(C1138,Pemetaan!$B$4)</f>
        <v>11</v>
      </c>
      <c r="F1138" s="0" t="n">
        <f aca="false">IF(B1138="PRODUKSI",Pemetaan!$B$5,Pemetaan!$B$6)</f>
        <v>46</v>
      </c>
      <c r="G1138" s="0" t="n">
        <f aca="false">F1138+2+D1138</f>
        <v>57</v>
      </c>
      <c r="H1138" s="0" t="n">
        <f aca="false">Pemetaan!$B$2+E1138</f>
        <v>16</v>
      </c>
      <c r="I1138" s="0" t="str">
        <f aca="false">INDEX(Laporan!$A$1:$AZ$300,G1138,1)</f>
        <v>Water Treatment</v>
      </c>
      <c r="J1138" s="0" t="str">
        <f aca="false">INDEX(Laporan!$A$1:$AZ$300,G1138,2)</f>
        <v>600 ml</v>
      </c>
      <c r="K1138" s="0" t="str">
        <f aca="false">INDEX(Laporan!$A$1:$AZ$300,G1138,3)</f>
        <v>Shift 2</v>
      </c>
      <c r="L1138" s="0" t="n">
        <f aca="false">INDEX(Laporan!$A$1:$AZ$300,G1138,4)</f>
        <v>1</v>
      </c>
      <c r="M1138" s="1" t="n">
        <f aca="false">DATE(Pemetaan!$B$1,VALUE(RIGHT(INDEX(Laporan!$A$1:$AZ$300,F1138+1,H1138),2)),VALUE(LEFT(INDEX(Laporan!$A$1:$AZ$300,F1138+1,H1138),2)))</f>
        <v>46098</v>
      </c>
      <c r="N1138" s="0" t="n">
        <f aca="false">INDEX(Laporan!$A$1:$AZ$300,G1138,H1138)</f>
        <v>16</v>
      </c>
      <c r="O1138" s="0" t="n">
        <f aca="false">IF(N1138="","",IFERROR(VALUE(SUBSTITUTE(SUBSTITUTE(N1138," btl",""),".","")),""))</f>
        <v>16</v>
      </c>
      <c r="P1138" s="0" t="str">
        <f aca="false">IF(B1138="PRODUKSI","produced","reject")</f>
        <v>reject</v>
      </c>
    </row>
    <row r="1139" customFormat="false" ht="15" hidden="false" customHeight="false" outlineLevel="0" collapsed="false">
      <c r="A1139" s="0" t="n">
        <v>1138</v>
      </c>
      <c r="B1139" s="0" t="str">
        <f aca="false">IF(A1139&lt;=36*25,"PRODUKSI","REJECT")</f>
        <v>REJECT</v>
      </c>
      <c r="C1139" s="0" t="n">
        <f aca="false">MOD(A1139-1,Pemetaan!$B$3*Pemetaan!$B$4)</f>
        <v>237</v>
      </c>
      <c r="D1139" s="0" t="n">
        <f aca="false">INT(C1139/Pemetaan!$B$4)</f>
        <v>9</v>
      </c>
      <c r="E1139" s="0" t="n">
        <f aca="false">MOD(C1139,Pemetaan!$B$4)</f>
        <v>12</v>
      </c>
      <c r="F1139" s="0" t="n">
        <f aca="false">IF(B1139="PRODUKSI",Pemetaan!$B$5,Pemetaan!$B$6)</f>
        <v>46</v>
      </c>
      <c r="G1139" s="0" t="n">
        <f aca="false">F1139+2+D1139</f>
        <v>57</v>
      </c>
      <c r="H1139" s="0" t="n">
        <f aca="false">Pemetaan!$B$2+E1139</f>
        <v>17</v>
      </c>
      <c r="I1139" s="0" t="str">
        <f aca="false">INDEX(Laporan!$A$1:$AZ$300,G1139,1)</f>
        <v>Water Treatment</v>
      </c>
      <c r="J1139" s="0" t="str">
        <f aca="false">INDEX(Laporan!$A$1:$AZ$300,G1139,2)</f>
        <v>600 ml</v>
      </c>
      <c r="K1139" s="0" t="str">
        <f aca="false">INDEX(Laporan!$A$1:$AZ$300,G1139,3)</f>
        <v>Shift 2</v>
      </c>
      <c r="L1139" s="0" t="n">
        <f aca="false">INDEX(Laporan!$A$1:$AZ$300,G1139,4)</f>
        <v>1</v>
      </c>
      <c r="M1139" s="1" t="n">
        <f aca="false">DATE(Pemetaan!$B$1,VALUE(RIGHT(INDEX(Laporan!$A$1:$AZ$300,F1139+1,H1139),2)),VALUE(LEFT(INDEX(Laporan!$A$1:$AZ$300,F1139+1,H1139),2)))</f>
        <v>46099</v>
      </c>
      <c r="N1139" s="0" t="n">
        <f aca="false">INDEX(Laporan!$A$1:$AZ$300,G1139,H1139)</f>
        <v>5</v>
      </c>
      <c r="O1139" s="0" t="n">
        <f aca="false">IF(N1139="","",IFERROR(VALUE(SUBSTITUTE(SUBSTITUTE(N1139," btl",""),".","")),""))</f>
        <v>5</v>
      </c>
      <c r="P1139" s="0" t="str">
        <f aca="false">IF(B1139="PRODUKSI","produced","reject")</f>
        <v>reject</v>
      </c>
    </row>
    <row r="1140" customFormat="false" ht="15" hidden="false" customHeight="false" outlineLevel="0" collapsed="false">
      <c r="A1140" s="0" t="n">
        <v>1139</v>
      </c>
      <c r="B1140" s="0" t="str">
        <f aca="false">IF(A1140&lt;=36*25,"PRODUKSI","REJECT")</f>
        <v>REJECT</v>
      </c>
      <c r="C1140" s="0" t="n">
        <f aca="false">MOD(A1140-1,Pemetaan!$B$3*Pemetaan!$B$4)</f>
        <v>238</v>
      </c>
      <c r="D1140" s="0" t="n">
        <f aca="false">INT(C1140/Pemetaan!$B$4)</f>
        <v>9</v>
      </c>
      <c r="E1140" s="0" t="n">
        <f aca="false">MOD(C1140,Pemetaan!$B$4)</f>
        <v>13</v>
      </c>
      <c r="F1140" s="0" t="n">
        <f aca="false">IF(B1140="PRODUKSI",Pemetaan!$B$5,Pemetaan!$B$6)</f>
        <v>46</v>
      </c>
      <c r="G1140" s="0" t="n">
        <f aca="false">F1140+2+D1140</f>
        <v>57</v>
      </c>
      <c r="H1140" s="0" t="n">
        <f aca="false">Pemetaan!$B$2+E1140</f>
        <v>18</v>
      </c>
      <c r="I1140" s="0" t="str">
        <f aca="false">INDEX(Laporan!$A$1:$AZ$300,G1140,1)</f>
        <v>Water Treatment</v>
      </c>
      <c r="J1140" s="0" t="str">
        <f aca="false">INDEX(Laporan!$A$1:$AZ$300,G1140,2)</f>
        <v>600 ml</v>
      </c>
      <c r="K1140" s="0" t="str">
        <f aca="false">INDEX(Laporan!$A$1:$AZ$300,G1140,3)</f>
        <v>Shift 2</v>
      </c>
      <c r="L1140" s="0" t="n">
        <f aca="false">INDEX(Laporan!$A$1:$AZ$300,G1140,4)</f>
        <v>1</v>
      </c>
      <c r="M1140" s="1" t="n">
        <f aca="false">DATE(Pemetaan!$B$1,VALUE(RIGHT(INDEX(Laporan!$A$1:$AZ$300,F1140+1,H1140),2)),VALUE(LEFT(INDEX(Laporan!$A$1:$AZ$300,F1140+1,H1140),2)))</f>
        <v>46100</v>
      </c>
      <c r="N1140" s="0" t="n">
        <f aca="false">INDEX(Laporan!$A$1:$AZ$300,G1140,H1140)</f>
        <v>12</v>
      </c>
      <c r="O1140" s="0" t="n">
        <f aca="false">IF(N1140="","",IFERROR(VALUE(SUBSTITUTE(SUBSTITUTE(N1140," btl",""),".","")),""))</f>
        <v>12</v>
      </c>
      <c r="P1140" s="0" t="str">
        <f aca="false">IF(B1140="PRODUKSI","produced","reject")</f>
        <v>reject</v>
      </c>
    </row>
    <row r="1141" customFormat="false" ht="15" hidden="false" customHeight="false" outlineLevel="0" collapsed="false">
      <c r="A1141" s="0" t="n">
        <v>1140</v>
      </c>
      <c r="B1141" s="0" t="str">
        <f aca="false">IF(A1141&lt;=36*25,"PRODUKSI","REJECT")</f>
        <v>REJECT</v>
      </c>
      <c r="C1141" s="0" t="n">
        <f aca="false">MOD(A1141-1,Pemetaan!$B$3*Pemetaan!$B$4)</f>
        <v>239</v>
      </c>
      <c r="D1141" s="0" t="n">
        <f aca="false">INT(C1141/Pemetaan!$B$4)</f>
        <v>9</v>
      </c>
      <c r="E1141" s="0" t="n">
        <f aca="false">MOD(C1141,Pemetaan!$B$4)</f>
        <v>14</v>
      </c>
      <c r="F1141" s="0" t="n">
        <f aca="false">IF(B1141="PRODUKSI",Pemetaan!$B$5,Pemetaan!$B$6)</f>
        <v>46</v>
      </c>
      <c r="G1141" s="0" t="n">
        <f aca="false">F1141+2+D1141</f>
        <v>57</v>
      </c>
      <c r="H1141" s="0" t="n">
        <f aca="false">Pemetaan!$B$2+E1141</f>
        <v>19</v>
      </c>
      <c r="I1141" s="0" t="str">
        <f aca="false">INDEX(Laporan!$A$1:$AZ$300,G1141,1)</f>
        <v>Water Treatment</v>
      </c>
      <c r="J1141" s="0" t="str">
        <f aca="false">INDEX(Laporan!$A$1:$AZ$300,G1141,2)</f>
        <v>600 ml</v>
      </c>
      <c r="K1141" s="0" t="str">
        <f aca="false">INDEX(Laporan!$A$1:$AZ$300,G1141,3)</f>
        <v>Shift 2</v>
      </c>
      <c r="L1141" s="0" t="n">
        <f aca="false">INDEX(Laporan!$A$1:$AZ$300,G1141,4)</f>
        <v>1</v>
      </c>
      <c r="M1141" s="1" t="n">
        <f aca="false">DATE(Pemetaan!$B$1,VALUE(RIGHT(INDEX(Laporan!$A$1:$AZ$300,F1141+1,H1141),2)),VALUE(LEFT(INDEX(Laporan!$A$1:$AZ$300,F1141+1,H1141),2)))</f>
        <v>46101</v>
      </c>
      <c r="N1141" s="0" t="n">
        <f aca="false">INDEX(Laporan!$A$1:$AZ$300,G1141,H1141)</f>
        <v>10</v>
      </c>
      <c r="O1141" s="0" t="n">
        <f aca="false">IF(N1141="","",IFERROR(VALUE(SUBSTITUTE(SUBSTITUTE(N1141," btl",""),".","")),""))</f>
        <v>10</v>
      </c>
      <c r="P1141" s="0" t="str">
        <f aca="false">IF(B1141="PRODUKSI","produced","reject")</f>
        <v>reject</v>
      </c>
    </row>
    <row r="1142" customFormat="false" ht="15" hidden="false" customHeight="false" outlineLevel="0" collapsed="false">
      <c r="A1142" s="0" t="n">
        <v>1141</v>
      </c>
      <c r="B1142" s="0" t="str">
        <f aca="false">IF(A1142&lt;=36*25,"PRODUKSI","REJECT")</f>
        <v>REJECT</v>
      </c>
      <c r="C1142" s="0" t="n">
        <f aca="false">MOD(A1142-1,Pemetaan!$B$3*Pemetaan!$B$4)</f>
        <v>240</v>
      </c>
      <c r="D1142" s="0" t="n">
        <f aca="false">INT(C1142/Pemetaan!$B$4)</f>
        <v>9</v>
      </c>
      <c r="E1142" s="0" t="n">
        <f aca="false">MOD(C1142,Pemetaan!$B$4)</f>
        <v>15</v>
      </c>
      <c r="F1142" s="0" t="n">
        <f aca="false">IF(B1142="PRODUKSI",Pemetaan!$B$5,Pemetaan!$B$6)</f>
        <v>46</v>
      </c>
      <c r="G1142" s="0" t="n">
        <f aca="false">F1142+2+D1142</f>
        <v>57</v>
      </c>
      <c r="H1142" s="0" t="n">
        <f aca="false">Pemetaan!$B$2+E1142</f>
        <v>20</v>
      </c>
      <c r="I1142" s="0" t="str">
        <f aca="false">INDEX(Laporan!$A$1:$AZ$300,G1142,1)</f>
        <v>Water Treatment</v>
      </c>
      <c r="J1142" s="0" t="str">
        <f aca="false">INDEX(Laporan!$A$1:$AZ$300,G1142,2)</f>
        <v>600 ml</v>
      </c>
      <c r="K1142" s="0" t="str">
        <f aca="false">INDEX(Laporan!$A$1:$AZ$300,G1142,3)</f>
        <v>Shift 2</v>
      </c>
      <c r="L1142" s="0" t="n">
        <f aca="false">INDEX(Laporan!$A$1:$AZ$300,G1142,4)</f>
        <v>1</v>
      </c>
      <c r="M1142" s="1" t="n">
        <f aca="false">DATE(Pemetaan!$B$1,VALUE(RIGHT(INDEX(Laporan!$A$1:$AZ$300,F1142+1,H1142),2)),VALUE(LEFT(INDEX(Laporan!$A$1:$AZ$300,F1142+1,H1142),2)))</f>
        <v>46104</v>
      </c>
      <c r="N1142" s="0" t="n">
        <f aca="false">INDEX(Laporan!$A$1:$AZ$300,G1142,H1142)</f>
        <v>9</v>
      </c>
      <c r="O1142" s="0" t="n">
        <f aca="false">IF(N1142="","",IFERROR(VALUE(SUBSTITUTE(SUBSTITUTE(N1142," btl",""),".","")),""))</f>
        <v>9</v>
      </c>
      <c r="P1142" s="0" t="str">
        <f aca="false">IF(B1142="PRODUKSI","produced","reject")</f>
        <v>reject</v>
      </c>
    </row>
    <row r="1143" customFormat="false" ht="15" hidden="false" customHeight="false" outlineLevel="0" collapsed="false">
      <c r="A1143" s="0" t="n">
        <v>1142</v>
      </c>
      <c r="B1143" s="0" t="str">
        <f aca="false">IF(A1143&lt;=36*25,"PRODUKSI","REJECT")</f>
        <v>REJECT</v>
      </c>
      <c r="C1143" s="0" t="n">
        <f aca="false">MOD(A1143-1,Pemetaan!$B$3*Pemetaan!$B$4)</f>
        <v>241</v>
      </c>
      <c r="D1143" s="0" t="n">
        <f aca="false">INT(C1143/Pemetaan!$B$4)</f>
        <v>9</v>
      </c>
      <c r="E1143" s="0" t="n">
        <f aca="false">MOD(C1143,Pemetaan!$B$4)</f>
        <v>16</v>
      </c>
      <c r="F1143" s="0" t="n">
        <f aca="false">IF(B1143="PRODUKSI",Pemetaan!$B$5,Pemetaan!$B$6)</f>
        <v>46</v>
      </c>
      <c r="G1143" s="0" t="n">
        <f aca="false">F1143+2+D1143</f>
        <v>57</v>
      </c>
      <c r="H1143" s="0" t="n">
        <f aca="false">Pemetaan!$B$2+E1143</f>
        <v>21</v>
      </c>
      <c r="I1143" s="0" t="str">
        <f aca="false">INDEX(Laporan!$A$1:$AZ$300,G1143,1)</f>
        <v>Water Treatment</v>
      </c>
      <c r="J1143" s="0" t="str">
        <f aca="false">INDEX(Laporan!$A$1:$AZ$300,G1143,2)</f>
        <v>600 ml</v>
      </c>
      <c r="K1143" s="0" t="str">
        <f aca="false">INDEX(Laporan!$A$1:$AZ$300,G1143,3)</f>
        <v>Shift 2</v>
      </c>
      <c r="L1143" s="0" t="n">
        <f aca="false">INDEX(Laporan!$A$1:$AZ$300,G1143,4)</f>
        <v>1</v>
      </c>
      <c r="M1143" s="1" t="n">
        <f aca="false">DATE(Pemetaan!$B$1,VALUE(RIGHT(INDEX(Laporan!$A$1:$AZ$300,F1143+1,H1143),2)),VALUE(LEFT(INDEX(Laporan!$A$1:$AZ$300,F1143+1,H1143),2)))</f>
        <v>46105</v>
      </c>
      <c r="N1143" s="0" t="n">
        <f aca="false">INDEX(Laporan!$A$1:$AZ$300,G1143,H1143)</f>
        <v>17</v>
      </c>
      <c r="O1143" s="0" t="n">
        <f aca="false">IF(N1143="","",IFERROR(VALUE(SUBSTITUTE(SUBSTITUTE(N1143," btl",""),".","")),""))</f>
        <v>17</v>
      </c>
      <c r="P1143" s="0" t="str">
        <f aca="false">IF(B1143="PRODUKSI","produced","reject")</f>
        <v>reject</v>
      </c>
    </row>
    <row r="1144" customFormat="false" ht="15" hidden="false" customHeight="false" outlineLevel="0" collapsed="false">
      <c r="A1144" s="0" t="n">
        <v>1143</v>
      </c>
      <c r="B1144" s="0" t="str">
        <f aca="false">IF(A1144&lt;=36*25,"PRODUKSI","REJECT")</f>
        <v>REJECT</v>
      </c>
      <c r="C1144" s="0" t="n">
        <f aca="false">MOD(A1144-1,Pemetaan!$B$3*Pemetaan!$B$4)</f>
        <v>242</v>
      </c>
      <c r="D1144" s="0" t="n">
        <f aca="false">INT(C1144/Pemetaan!$B$4)</f>
        <v>9</v>
      </c>
      <c r="E1144" s="0" t="n">
        <f aca="false">MOD(C1144,Pemetaan!$B$4)</f>
        <v>17</v>
      </c>
      <c r="F1144" s="0" t="n">
        <f aca="false">IF(B1144="PRODUKSI",Pemetaan!$B$5,Pemetaan!$B$6)</f>
        <v>46</v>
      </c>
      <c r="G1144" s="0" t="n">
        <f aca="false">F1144+2+D1144</f>
        <v>57</v>
      </c>
      <c r="H1144" s="0" t="n">
        <f aca="false">Pemetaan!$B$2+E1144</f>
        <v>22</v>
      </c>
      <c r="I1144" s="0" t="str">
        <f aca="false">INDEX(Laporan!$A$1:$AZ$300,G1144,1)</f>
        <v>Water Treatment</v>
      </c>
      <c r="J1144" s="0" t="str">
        <f aca="false">INDEX(Laporan!$A$1:$AZ$300,G1144,2)</f>
        <v>600 ml</v>
      </c>
      <c r="K1144" s="0" t="str">
        <f aca="false">INDEX(Laporan!$A$1:$AZ$300,G1144,3)</f>
        <v>Shift 2</v>
      </c>
      <c r="L1144" s="0" t="n">
        <f aca="false">INDEX(Laporan!$A$1:$AZ$300,G1144,4)</f>
        <v>1</v>
      </c>
      <c r="M1144" s="1" t="n">
        <f aca="false">DATE(Pemetaan!$B$1,VALUE(RIGHT(INDEX(Laporan!$A$1:$AZ$300,F1144+1,H1144),2)),VALUE(LEFT(INDEX(Laporan!$A$1:$AZ$300,F1144+1,H1144),2)))</f>
        <v>46106</v>
      </c>
      <c r="N1144" s="0" t="n">
        <f aca="false">INDEX(Laporan!$A$1:$AZ$300,G1144,H1144)</f>
        <v>9</v>
      </c>
      <c r="O1144" s="0" t="n">
        <f aca="false">IF(N1144="","",IFERROR(VALUE(SUBSTITUTE(SUBSTITUTE(N1144," btl",""),".","")),""))</f>
        <v>9</v>
      </c>
      <c r="P1144" s="0" t="str">
        <f aca="false">IF(B1144="PRODUKSI","produced","reject")</f>
        <v>reject</v>
      </c>
    </row>
    <row r="1145" customFormat="false" ht="15" hidden="false" customHeight="false" outlineLevel="0" collapsed="false">
      <c r="A1145" s="0" t="n">
        <v>1144</v>
      </c>
      <c r="B1145" s="0" t="str">
        <f aca="false">IF(A1145&lt;=36*25,"PRODUKSI","REJECT")</f>
        <v>REJECT</v>
      </c>
      <c r="C1145" s="0" t="n">
        <f aca="false">MOD(A1145-1,Pemetaan!$B$3*Pemetaan!$B$4)</f>
        <v>243</v>
      </c>
      <c r="D1145" s="0" t="n">
        <f aca="false">INT(C1145/Pemetaan!$B$4)</f>
        <v>9</v>
      </c>
      <c r="E1145" s="0" t="n">
        <f aca="false">MOD(C1145,Pemetaan!$B$4)</f>
        <v>18</v>
      </c>
      <c r="F1145" s="0" t="n">
        <f aca="false">IF(B1145="PRODUKSI",Pemetaan!$B$5,Pemetaan!$B$6)</f>
        <v>46</v>
      </c>
      <c r="G1145" s="0" t="n">
        <f aca="false">F1145+2+D1145</f>
        <v>57</v>
      </c>
      <c r="H1145" s="0" t="n">
        <f aca="false">Pemetaan!$B$2+E1145</f>
        <v>23</v>
      </c>
      <c r="I1145" s="0" t="str">
        <f aca="false">INDEX(Laporan!$A$1:$AZ$300,G1145,1)</f>
        <v>Water Treatment</v>
      </c>
      <c r="J1145" s="0" t="str">
        <f aca="false">INDEX(Laporan!$A$1:$AZ$300,G1145,2)</f>
        <v>600 ml</v>
      </c>
      <c r="K1145" s="0" t="str">
        <f aca="false">INDEX(Laporan!$A$1:$AZ$300,G1145,3)</f>
        <v>Shift 2</v>
      </c>
      <c r="L1145" s="0" t="n">
        <f aca="false">INDEX(Laporan!$A$1:$AZ$300,G1145,4)</f>
        <v>1</v>
      </c>
      <c r="M1145" s="1" t="n">
        <f aca="false">DATE(Pemetaan!$B$1,VALUE(RIGHT(INDEX(Laporan!$A$1:$AZ$300,F1145+1,H1145),2)),VALUE(LEFT(INDEX(Laporan!$A$1:$AZ$300,F1145+1,H1145),2)))</f>
        <v>46107</v>
      </c>
      <c r="N1145" s="0" t="n">
        <f aca="false">INDEX(Laporan!$A$1:$AZ$300,G1145,H1145)</f>
        <v>10</v>
      </c>
      <c r="O1145" s="0" t="n">
        <f aca="false">IF(N1145="","",IFERROR(VALUE(SUBSTITUTE(SUBSTITUTE(N1145," btl",""),".","")),""))</f>
        <v>10</v>
      </c>
      <c r="P1145" s="0" t="str">
        <f aca="false">IF(B1145="PRODUKSI","produced","reject")</f>
        <v>reject</v>
      </c>
    </row>
    <row r="1146" customFormat="false" ht="15" hidden="false" customHeight="false" outlineLevel="0" collapsed="false">
      <c r="A1146" s="0" t="n">
        <v>1145</v>
      </c>
      <c r="B1146" s="0" t="str">
        <f aca="false">IF(A1146&lt;=36*25,"PRODUKSI","REJECT")</f>
        <v>REJECT</v>
      </c>
      <c r="C1146" s="0" t="n">
        <f aca="false">MOD(A1146-1,Pemetaan!$B$3*Pemetaan!$B$4)</f>
        <v>244</v>
      </c>
      <c r="D1146" s="0" t="n">
        <f aca="false">INT(C1146/Pemetaan!$B$4)</f>
        <v>9</v>
      </c>
      <c r="E1146" s="0" t="n">
        <f aca="false">MOD(C1146,Pemetaan!$B$4)</f>
        <v>19</v>
      </c>
      <c r="F1146" s="0" t="n">
        <f aca="false">IF(B1146="PRODUKSI",Pemetaan!$B$5,Pemetaan!$B$6)</f>
        <v>46</v>
      </c>
      <c r="G1146" s="0" t="n">
        <f aca="false">F1146+2+D1146</f>
        <v>57</v>
      </c>
      <c r="H1146" s="0" t="n">
        <f aca="false">Pemetaan!$B$2+E1146</f>
        <v>24</v>
      </c>
      <c r="I1146" s="0" t="str">
        <f aca="false">INDEX(Laporan!$A$1:$AZ$300,G1146,1)</f>
        <v>Water Treatment</v>
      </c>
      <c r="J1146" s="0" t="str">
        <f aca="false">INDEX(Laporan!$A$1:$AZ$300,G1146,2)</f>
        <v>600 ml</v>
      </c>
      <c r="K1146" s="0" t="str">
        <f aca="false">INDEX(Laporan!$A$1:$AZ$300,G1146,3)</f>
        <v>Shift 2</v>
      </c>
      <c r="L1146" s="0" t="n">
        <f aca="false">INDEX(Laporan!$A$1:$AZ$300,G1146,4)</f>
        <v>1</v>
      </c>
      <c r="M1146" s="1" t="n">
        <f aca="false">DATE(Pemetaan!$B$1,VALUE(RIGHT(INDEX(Laporan!$A$1:$AZ$300,F1146+1,H1146),2)),VALUE(LEFT(INDEX(Laporan!$A$1:$AZ$300,F1146+1,H1146),2)))</f>
        <v>46108</v>
      </c>
      <c r="N1146" s="0" t="str">
        <f aca="false">INDEX(Laporan!$A$1:$AZ$300,G1146,H1146)</f>
        <v>10 btl</v>
      </c>
      <c r="O1146" s="0" t="n">
        <f aca="false">IF(N1146="","",IFERROR(VALUE(SUBSTITUTE(SUBSTITUTE(N1146," btl",""),".","")),""))</f>
        <v>10</v>
      </c>
      <c r="P1146" s="0" t="str">
        <f aca="false">IF(B1146="PRODUKSI","produced","reject")</f>
        <v>reject</v>
      </c>
    </row>
    <row r="1147" customFormat="false" ht="15" hidden="false" customHeight="false" outlineLevel="0" collapsed="false">
      <c r="A1147" s="0" t="n">
        <v>1146</v>
      </c>
      <c r="B1147" s="0" t="str">
        <f aca="false">IF(A1147&lt;=36*25,"PRODUKSI","REJECT")</f>
        <v>REJECT</v>
      </c>
      <c r="C1147" s="0" t="n">
        <f aca="false">MOD(A1147-1,Pemetaan!$B$3*Pemetaan!$B$4)</f>
        <v>245</v>
      </c>
      <c r="D1147" s="0" t="n">
        <f aca="false">INT(C1147/Pemetaan!$B$4)</f>
        <v>9</v>
      </c>
      <c r="E1147" s="0" t="n">
        <f aca="false">MOD(C1147,Pemetaan!$B$4)</f>
        <v>20</v>
      </c>
      <c r="F1147" s="0" t="n">
        <f aca="false">IF(B1147="PRODUKSI",Pemetaan!$B$5,Pemetaan!$B$6)</f>
        <v>46</v>
      </c>
      <c r="G1147" s="0" t="n">
        <f aca="false">F1147+2+D1147</f>
        <v>57</v>
      </c>
      <c r="H1147" s="0" t="n">
        <f aca="false">Pemetaan!$B$2+E1147</f>
        <v>25</v>
      </c>
      <c r="I1147" s="0" t="str">
        <f aca="false">INDEX(Laporan!$A$1:$AZ$300,G1147,1)</f>
        <v>Water Treatment</v>
      </c>
      <c r="J1147" s="0" t="str">
        <f aca="false">INDEX(Laporan!$A$1:$AZ$300,G1147,2)</f>
        <v>600 ml</v>
      </c>
      <c r="K1147" s="0" t="str">
        <f aca="false">INDEX(Laporan!$A$1:$AZ$300,G1147,3)</f>
        <v>Shift 2</v>
      </c>
      <c r="L1147" s="0" t="n">
        <f aca="false">INDEX(Laporan!$A$1:$AZ$300,G1147,4)</f>
        <v>1</v>
      </c>
      <c r="M1147" s="1" t="n">
        <f aca="false">DATE(Pemetaan!$B$1,VALUE(RIGHT(INDEX(Laporan!$A$1:$AZ$300,F1147+1,H1147),2)),VALUE(LEFT(INDEX(Laporan!$A$1:$AZ$300,F1147+1,H1147),2)))</f>
        <v>46111</v>
      </c>
      <c r="N1147" s="0" t="n">
        <f aca="false">INDEX(Laporan!$A$1:$AZ$300,G1147,H1147)</f>
        <v>8</v>
      </c>
      <c r="O1147" s="0" t="n">
        <f aca="false">IF(N1147="","",IFERROR(VALUE(SUBSTITUTE(SUBSTITUTE(N1147," btl",""),".","")),""))</f>
        <v>8</v>
      </c>
      <c r="P1147" s="0" t="str">
        <f aca="false">IF(B1147="PRODUKSI","produced","reject")</f>
        <v>reject</v>
      </c>
    </row>
    <row r="1148" customFormat="false" ht="15" hidden="false" customHeight="false" outlineLevel="0" collapsed="false">
      <c r="A1148" s="0" t="n">
        <v>1147</v>
      </c>
      <c r="B1148" s="0" t="str">
        <f aca="false">IF(A1148&lt;=36*25,"PRODUKSI","REJECT")</f>
        <v>REJECT</v>
      </c>
      <c r="C1148" s="0" t="n">
        <f aca="false">MOD(A1148-1,Pemetaan!$B$3*Pemetaan!$B$4)</f>
        <v>246</v>
      </c>
      <c r="D1148" s="0" t="n">
        <f aca="false">INT(C1148/Pemetaan!$B$4)</f>
        <v>9</v>
      </c>
      <c r="E1148" s="0" t="n">
        <f aca="false">MOD(C1148,Pemetaan!$B$4)</f>
        <v>21</v>
      </c>
      <c r="F1148" s="0" t="n">
        <f aca="false">IF(B1148="PRODUKSI",Pemetaan!$B$5,Pemetaan!$B$6)</f>
        <v>46</v>
      </c>
      <c r="G1148" s="0" t="n">
        <f aca="false">F1148+2+D1148</f>
        <v>57</v>
      </c>
      <c r="H1148" s="0" t="n">
        <f aca="false">Pemetaan!$B$2+E1148</f>
        <v>26</v>
      </c>
      <c r="I1148" s="0" t="str">
        <f aca="false">INDEX(Laporan!$A$1:$AZ$300,G1148,1)</f>
        <v>Water Treatment</v>
      </c>
      <c r="J1148" s="0" t="str">
        <f aca="false">INDEX(Laporan!$A$1:$AZ$300,G1148,2)</f>
        <v>600 ml</v>
      </c>
      <c r="K1148" s="0" t="str">
        <f aca="false">INDEX(Laporan!$A$1:$AZ$300,G1148,3)</f>
        <v>Shift 2</v>
      </c>
      <c r="L1148" s="0" t="n">
        <f aca="false">INDEX(Laporan!$A$1:$AZ$300,G1148,4)</f>
        <v>1</v>
      </c>
      <c r="M1148" s="1" t="n">
        <f aca="false">DATE(Pemetaan!$B$1,VALUE(RIGHT(INDEX(Laporan!$A$1:$AZ$300,F1148+1,H1148),2)),VALUE(LEFT(INDEX(Laporan!$A$1:$AZ$300,F1148+1,H1148),2)))</f>
        <v>46112</v>
      </c>
      <c r="N1148" s="0" t="n">
        <f aca="false">INDEX(Laporan!$A$1:$AZ$300,G1148,H1148)</f>
        <v>14</v>
      </c>
      <c r="O1148" s="0" t="n">
        <f aca="false">IF(N1148="","",IFERROR(VALUE(SUBSTITUTE(SUBSTITUTE(N1148," btl",""),".","")),""))</f>
        <v>14</v>
      </c>
      <c r="P1148" s="0" t="str">
        <f aca="false">IF(B1148="PRODUKSI","produced","reject")</f>
        <v>reject</v>
      </c>
    </row>
    <row r="1149" customFormat="false" ht="15" hidden="false" customHeight="false" outlineLevel="0" collapsed="false">
      <c r="A1149" s="0" t="n">
        <v>1148</v>
      </c>
      <c r="B1149" s="0" t="str">
        <f aca="false">IF(A1149&lt;=36*25,"PRODUKSI","REJECT")</f>
        <v>REJECT</v>
      </c>
      <c r="C1149" s="0" t="n">
        <f aca="false">MOD(A1149-1,Pemetaan!$B$3*Pemetaan!$B$4)</f>
        <v>247</v>
      </c>
      <c r="D1149" s="0" t="n">
        <f aca="false">INT(C1149/Pemetaan!$B$4)</f>
        <v>9</v>
      </c>
      <c r="E1149" s="0" t="n">
        <f aca="false">MOD(C1149,Pemetaan!$B$4)</f>
        <v>22</v>
      </c>
      <c r="F1149" s="0" t="n">
        <f aca="false">IF(B1149="PRODUKSI",Pemetaan!$B$5,Pemetaan!$B$6)</f>
        <v>46</v>
      </c>
      <c r="G1149" s="0" t="n">
        <f aca="false">F1149+2+D1149</f>
        <v>57</v>
      </c>
      <c r="H1149" s="0" t="n">
        <f aca="false">Pemetaan!$B$2+E1149</f>
        <v>27</v>
      </c>
      <c r="I1149" s="0" t="str">
        <f aca="false">INDEX(Laporan!$A$1:$AZ$300,G1149,1)</f>
        <v>Water Treatment</v>
      </c>
      <c r="J1149" s="0" t="str">
        <f aca="false">INDEX(Laporan!$A$1:$AZ$300,G1149,2)</f>
        <v>600 ml</v>
      </c>
      <c r="K1149" s="0" t="str">
        <f aca="false">INDEX(Laporan!$A$1:$AZ$300,G1149,3)</f>
        <v>Shift 2</v>
      </c>
      <c r="L1149" s="0" t="n">
        <f aca="false">INDEX(Laporan!$A$1:$AZ$300,G1149,4)</f>
        <v>1</v>
      </c>
      <c r="M1149" s="1" t="n">
        <f aca="false">DATE(Pemetaan!$B$1,VALUE(RIGHT(INDEX(Laporan!$A$1:$AZ$300,F1149+1,H1149),2)),VALUE(LEFT(INDEX(Laporan!$A$1:$AZ$300,F1149+1,H1149),2)))</f>
        <v>46113</v>
      </c>
      <c r="N1149" s="0" t="n">
        <f aca="false">INDEX(Laporan!$A$1:$AZ$300,G1149,H1149)</f>
        <v>9</v>
      </c>
      <c r="O1149" s="0" t="n">
        <f aca="false">IF(N1149="","",IFERROR(VALUE(SUBSTITUTE(SUBSTITUTE(N1149," btl",""),".","")),""))</f>
        <v>9</v>
      </c>
      <c r="P1149" s="0" t="str">
        <f aca="false">IF(B1149="PRODUKSI","produced","reject")</f>
        <v>reject</v>
      </c>
    </row>
    <row r="1150" customFormat="false" ht="15" hidden="false" customHeight="false" outlineLevel="0" collapsed="false">
      <c r="A1150" s="0" t="n">
        <v>1149</v>
      </c>
      <c r="B1150" s="0" t="str">
        <f aca="false">IF(A1150&lt;=36*25,"PRODUKSI","REJECT")</f>
        <v>REJECT</v>
      </c>
      <c r="C1150" s="0" t="n">
        <f aca="false">MOD(A1150-1,Pemetaan!$B$3*Pemetaan!$B$4)</f>
        <v>248</v>
      </c>
      <c r="D1150" s="0" t="n">
        <f aca="false">INT(C1150/Pemetaan!$B$4)</f>
        <v>9</v>
      </c>
      <c r="E1150" s="0" t="n">
        <f aca="false">MOD(C1150,Pemetaan!$B$4)</f>
        <v>23</v>
      </c>
      <c r="F1150" s="0" t="n">
        <f aca="false">IF(B1150="PRODUKSI",Pemetaan!$B$5,Pemetaan!$B$6)</f>
        <v>46</v>
      </c>
      <c r="G1150" s="0" t="n">
        <f aca="false">F1150+2+D1150</f>
        <v>57</v>
      </c>
      <c r="H1150" s="0" t="n">
        <f aca="false">Pemetaan!$B$2+E1150</f>
        <v>28</v>
      </c>
      <c r="I1150" s="0" t="str">
        <f aca="false">INDEX(Laporan!$A$1:$AZ$300,G1150,1)</f>
        <v>Water Treatment</v>
      </c>
      <c r="J1150" s="0" t="str">
        <f aca="false">INDEX(Laporan!$A$1:$AZ$300,G1150,2)</f>
        <v>600 ml</v>
      </c>
      <c r="K1150" s="0" t="str">
        <f aca="false">INDEX(Laporan!$A$1:$AZ$300,G1150,3)</f>
        <v>Shift 2</v>
      </c>
      <c r="L1150" s="0" t="n">
        <f aca="false">INDEX(Laporan!$A$1:$AZ$300,G1150,4)</f>
        <v>1</v>
      </c>
      <c r="M1150" s="1" t="n">
        <f aca="false">DATE(Pemetaan!$B$1,VALUE(RIGHT(INDEX(Laporan!$A$1:$AZ$300,F1150+1,H1150),2)),VALUE(LEFT(INDEX(Laporan!$A$1:$AZ$300,F1150+1,H1150),2)))</f>
        <v>46114</v>
      </c>
      <c r="N1150" s="0" t="n">
        <f aca="false">INDEX(Laporan!$A$1:$AZ$300,G1150,H1150)</f>
        <v>9</v>
      </c>
      <c r="O1150" s="0" t="n">
        <f aca="false">IF(N1150="","",IFERROR(VALUE(SUBSTITUTE(SUBSTITUTE(N1150," btl",""),".","")),""))</f>
        <v>9</v>
      </c>
      <c r="P1150" s="0" t="str">
        <f aca="false">IF(B1150="PRODUKSI","produced","reject")</f>
        <v>reject</v>
      </c>
    </row>
    <row r="1151" customFormat="false" ht="15" hidden="false" customHeight="false" outlineLevel="0" collapsed="false">
      <c r="A1151" s="0" t="n">
        <v>1150</v>
      </c>
      <c r="B1151" s="0" t="str">
        <f aca="false">IF(A1151&lt;=36*25,"PRODUKSI","REJECT")</f>
        <v>REJECT</v>
      </c>
      <c r="C1151" s="0" t="n">
        <f aca="false">MOD(A1151-1,Pemetaan!$B$3*Pemetaan!$B$4)</f>
        <v>249</v>
      </c>
      <c r="D1151" s="0" t="n">
        <f aca="false">INT(C1151/Pemetaan!$B$4)</f>
        <v>9</v>
      </c>
      <c r="E1151" s="0" t="n">
        <f aca="false">MOD(C1151,Pemetaan!$B$4)</f>
        <v>24</v>
      </c>
      <c r="F1151" s="0" t="n">
        <f aca="false">IF(B1151="PRODUKSI",Pemetaan!$B$5,Pemetaan!$B$6)</f>
        <v>46</v>
      </c>
      <c r="G1151" s="0" t="n">
        <f aca="false">F1151+2+D1151</f>
        <v>57</v>
      </c>
      <c r="H1151" s="0" t="n">
        <f aca="false">Pemetaan!$B$2+E1151</f>
        <v>29</v>
      </c>
      <c r="I1151" s="0" t="str">
        <f aca="false">INDEX(Laporan!$A$1:$AZ$300,G1151,1)</f>
        <v>Water Treatment</v>
      </c>
      <c r="J1151" s="0" t="str">
        <f aca="false">INDEX(Laporan!$A$1:$AZ$300,G1151,2)</f>
        <v>600 ml</v>
      </c>
      <c r="K1151" s="0" t="str">
        <f aca="false">INDEX(Laporan!$A$1:$AZ$300,G1151,3)</f>
        <v>Shift 2</v>
      </c>
      <c r="L1151" s="0" t="n">
        <f aca="false">INDEX(Laporan!$A$1:$AZ$300,G1151,4)</f>
        <v>1</v>
      </c>
      <c r="M1151" s="1" t="n">
        <f aca="false">DATE(Pemetaan!$B$1,VALUE(RIGHT(INDEX(Laporan!$A$1:$AZ$300,F1151+1,H1151),2)),VALUE(LEFT(INDEX(Laporan!$A$1:$AZ$300,F1151+1,H1151),2)))</f>
        <v>46115</v>
      </c>
      <c r="N1151" s="0" t="n">
        <f aca="false">INDEX(Laporan!$A$1:$AZ$300,G1151,H1151)</f>
        <v>13</v>
      </c>
      <c r="O1151" s="0" t="n">
        <f aca="false">IF(N1151="","",IFERROR(VALUE(SUBSTITUTE(SUBSTITUTE(N1151," btl",""),".","")),""))</f>
        <v>13</v>
      </c>
      <c r="P1151" s="0" t="str">
        <f aca="false">IF(B1151="PRODUKSI","produced","reject")</f>
        <v>reject</v>
      </c>
    </row>
    <row r="1152" customFormat="false" ht="15" hidden="false" customHeight="false" outlineLevel="0" collapsed="false">
      <c r="A1152" s="0" t="n">
        <v>1151</v>
      </c>
      <c r="B1152" s="0" t="str">
        <f aca="false">IF(A1152&lt;=36*25,"PRODUKSI","REJECT")</f>
        <v>REJECT</v>
      </c>
      <c r="C1152" s="0" t="n">
        <f aca="false">MOD(A1152-1,Pemetaan!$B$3*Pemetaan!$B$4)</f>
        <v>250</v>
      </c>
      <c r="D1152" s="0" t="n">
        <f aca="false">INT(C1152/Pemetaan!$B$4)</f>
        <v>10</v>
      </c>
      <c r="E1152" s="0" t="n">
        <f aca="false">MOD(C1152,Pemetaan!$B$4)</f>
        <v>0</v>
      </c>
      <c r="F1152" s="0" t="n">
        <f aca="false">IF(B1152="PRODUKSI",Pemetaan!$B$5,Pemetaan!$B$6)</f>
        <v>46</v>
      </c>
      <c r="G1152" s="0" t="n">
        <f aca="false">F1152+2+D1152</f>
        <v>58</v>
      </c>
      <c r="H1152" s="0" t="n">
        <f aca="false">Pemetaan!$B$2+E1152</f>
        <v>5</v>
      </c>
      <c r="I1152" s="0" t="str">
        <f aca="false">INDEX(Laporan!$A$1:$AZ$300,G1152,1)</f>
        <v>Water Treatment</v>
      </c>
      <c r="J1152" s="0" t="str">
        <f aca="false">INDEX(Laporan!$A$1:$AZ$300,G1152,2)</f>
        <v>600 ml</v>
      </c>
      <c r="K1152" s="0" t="str">
        <f aca="false">INDEX(Laporan!$A$1:$AZ$300,G1152,3)</f>
        <v>Shift 2</v>
      </c>
      <c r="L1152" s="0" t="n">
        <f aca="false">INDEX(Laporan!$A$1:$AZ$300,G1152,4)</f>
        <v>2</v>
      </c>
      <c r="M1152" s="1" t="n">
        <f aca="false">DATE(Pemetaan!$B$1,VALUE(RIGHT(INDEX(Laporan!$A$1:$AZ$300,F1152+1,H1152),2)),VALUE(LEFT(INDEX(Laporan!$A$1:$AZ$300,F1152+1,H1152),2)))</f>
        <v>46083</v>
      </c>
      <c r="N1152" s="0" t="n">
        <f aca="false">INDEX(Laporan!$A$1:$AZ$300,G1152,H1152)</f>
        <v>9</v>
      </c>
      <c r="O1152" s="0" t="n">
        <f aca="false">IF(N1152="","",IFERROR(VALUE(SUBSTITUTE(SUBSTITUTE(N1152," btl",""),".","")),""))</f>
        <v>9</v>
      </c>
      <c r="P1152" s="0" t="str">
        <f aca="false">IF(B1152="PRODUKSI","produced","reject")</f>
        <v>reject</v>
      </c>
    </row>
    <row r="1153" customFormat="false" ht="15" hidden="false" customHeight="false" outlineLevel="0" collapsed="false">
      <c r="A1153" s="0" t="n">
        <v>1152</v>
      </c>
      <c r="B1153" s="0" t="str">
        <f aca="false">IF(A1153&lt;=36*25,"PRODUKSI","REJECT")</f>
        <v>REJECT</v>
      </c>
      <c r="C1153" s="0" t="n">
        <f aca="false">MOD(A1153-1,Pemetaan!$B$3*Pemetaan!$B$4)</f>
        <v>251</v>
      </c>
      <c r="D1153" s="0" t="n">
        <f aca="false">INT(C1153/Pemetaan!$B$4)</f>
        <v>10</v>
      </c>
      <c r="E1153" s="0" t="n">
        <f aca="false">MOD(C1153,Pemetaan!$B$4)</f>
        <v>1</v>
      </c>
      <c r="F1153" s="0" t="n">
        <f aca="false">IF(B1153="PRODUKSI",Pemetaan!$B$5,Pemetaan!$B$6)</f>
        <v>46</v>
      </c>
      <c r="G1153" s="0" t="n">
        <f aca="false">F1153+2+D1153</f>
        <v>58</v>
      </c>
      <c r="H1153" s="0" t="n">
        <f aca="false">Pemetaan!$B$2+E1153</f>
        <v>6</v>
      </c>
      <c r="I1153" s="0" t="str">
        <f aca="false">INDEX(Laporan!$A$1:$AZ$300,G1153,1)</f>
        <v>Water Treatment</v>
      </c>
      <c r="J1153" s="0" t="str">
        <f aca="false">INDEX(Laporan!$A$1:$AZ$300,G1153,2)</f>
        <v>600 ml</v>
      </c>
      <c r="K1153" s="0" t="str">
        <f aca="false">INDEX(Laporan!$A$1:$AZ$300,G1153,3)</f>
        <v>Shift 2</v>
      </c>
      <c r="L1153" s="0" t="n">
        <f aca="false">INDEX(Laporan!$A$1:$AZ$300,G1153,4)</f>
        <v>2</v>
      </c>
      <c r="M1153" s="1" t="n">
        <f aca="false">DATE(Pemetaan!$B$1,VALUE(RIGHT(INDEX(Laporan!$A$1:$AZ$300,F1153+1,H1153),2)),VALUE(LEFT(INDEX(Laporan!$A$1:$AZ$300,F1153+1,H1153),2)))</f>
        <v>46084</v>
      </c>
      <c r="N1153" s="0" t="n">
        <f aca="false">INDEX(Laporan!$A$1:$AZ$300,G1153,H1153)</f>
        <v>10</v>
      </c>
      <c r="O1153" s="0" t="n">
        <f aca="false">IF(N1153="","",IFERROR(VALUE(SUBSTITUTE(SUBSTITUTE(N1153," btl",""),".","")),""))</f>
        <v>10</v>
      </c>
      <c r="P1153" s="0" t="str">
        <f aca="false">IF(B1153="PRODUKSI","produced","reject")</f>
        <v>reject</v>
      </c>
    </row>
    <row r="1154" customFormat="false" ht="15" hidden="false" customHeight="false" outlineLevel="0" collapsed="false">
      <c r="A1154" s="0" t="n">
        <v>1153</v>
      </c>
      <c r="B1154" s="0" t="str">
        <f aca="false">IF(A1154&lt;=36*25,"PRODUKSI","REJECT")</f>
        <v>REJECT</v>
      </c>
      <c r="C1154" s="0" t="n">
        <f aca="false">MOD(A1154-1,Pemetaan!$B$3*Pemetaan!$B$4)</f>
        <v>252</v>
      </c>
      <c r="D1154" s="0" t="n">
        <f aca="false">INT(C1154/Pemetaan!$B$4)</f>
        <v>10</v>
      </c>
      <c r="E1154" s="0" t="n">
        <f aca="false">MOD(C1154,Pemetaan!$B$4)</f>
        <v>2</v>
      </c>
      <c r="F1154" s="0" t="n">
        <f aca="false">IF(B1154="PRODUKSI",Pemetaan!$B$5,Pemetaan!$B$6)</f>
        <v>46</v>
      </c>
      <c r="G1154" s="0" t="n">
        <f aca="false">F1154+2+D1154</f>
        <v>58</v>
      </c>
      <c r="H1154" s="0" t="n">
        <f aca="false">Pemetaan!$B$2+E1154</f>
        <v>7</v>
      </c>
      <c r="I1154" s="0" t="str">
        <f aca="false">INDEX(Laporan!$A$1:$AZ$300,G1154,1)</f>
        <v>Water Treatment</v>
      </c>
      <c r="J1154" s="0" t="str">
        <f aca="false">INDEX(Laporan!$A$1:$AZ$300,G1154,2)</f>
        <v>600 ml</v>
      </c>
      <c r="K1154" s="0" t="str">
        <f aca="false">INDEX(Laporan!$A$1:$AZ$300,G1154,3)</f>
        <v>Shift 2</v>
      </c>
      <c r="L1154" s="0" t="n">
        <f aca="false">INDEX(Laporan!$A$1:$AZ$300,G1154,4)</f>
        <v>2</v>
      </c>
      <c r="M1154" s="1" t="n">
        <f aca="false">DATE(Pemetaan!$B$1,VALUE(RIGHT(INDEX(Laporan!$A$1:$AZ$300,F1154+1,H1154),2)),VALUE(LEFT(INDEX(Laporan!$A$1:$AZ$300,F1154+1,H1154),2)))</f>
        <v>46085</v>
      </c>
      <c r="N1154" s="0" t="n">
        <f aca="false">INDEX(Laporan!$A$1:$AZ$300,G1154,H1154)</f>
        <v>12</v>
      </c>
      <c r="O1154" s="0" t="n">
        <f aca="false">IF(N1154="","",IFERROR(VALUE(SUBSTITUTE(SUBSTITUTE(N1154," btl",""),".","")),""))</f>
        <v>12</v>
      </c>
      <c r="P1154" s="0" t="str">
        <f aca="false">IF(B1154="PRODUKSI","produced","reject")</f>
        <v>reject</v>
      </c>
    </row>
    <row r="1155" customFormat="false" ht="15" hidden="false" customHeight="false" outlineLevel="0" collapsed="false">
      <c r="A1155" s="0" t="n">
        <v>1154</v>
      </c>
      <c r="B1155" s="0" t="str">
        <f aca="false">IF(A1155&lt;=36*25,"PRODUKSI","REJECT")</f>
        <v>REJECT</v>
      </c>
      <c r="C1155" s="0" t="n">
        <f aca="false">MOD(A1155-1,Pemetaan!$B$3*Pemetaan!$B$4)</f>
        <v>253</v>
      </c>
      <c r="D1155" s="0" t="n">
        <f aca="false">INT(C1155/Pemetaan!$B$4)</f>
        <v>10</v>
      </c>
      <c r="E1155" s="0" t="n">
        <f aca="false">MOD(C1155,Pemetaan!$B$4)</f>
        <v>3</v>
      </c>
      <c r="F1155" s="0" t="n">
        <f aca="false">IF(B1155="PRODUKSI",Pemetaan!$B$5,Pemetaan!$B$6)</f>
        <v>46</v>
      </c>
      <c r="G1155" s="0" t="n">
        <f aca="false">F1155+2+D1155</f>
        <v>58</v>
      </c>
      <c r="H1155" s="0" t="n">
        <f aca="false">Pemetaan!$B$2+E1155</f>
        <v>8</v>
      </c>
      <c r="I1155" s="0" t="str">
        <f aca="false">INDEX(Laporan!$A$1:$AZ$300,G1155,1)</f>
        <v>Water Treatment</v>
      </c>
      <c r="J1155" s="0" t="str">
        <f aca="false">INDEX(Laporan!$A$1:$AZ$300,G1155,2)</f>
        <v>600 ml</v>
      </c>
      <c r="K1155" s="0" t="str">
        <f aca="false">INDEX(Laporan!$A$1:$AZ$300,G1155,3)</f>
        <v>Shift 2</v>
      </c>
      <c r="L1155" s="0" t="n">
        <f aca="false">INDEX(Laporan!$A$1:$AZ$300,G1155,4)</f>
        <v>2</v>
      </c>
      <c r="M1155" s="1" t="n">
        <f aca="false">DATE(Pemetaan!$B$1,VALUE(RIGHT(INDEX(Laporan!$A$1:$AZ$300,F1155+1,H1155),2)),VALUE(LEFT(INDEX(Laporan!$A$1:$AZ$300,F1155+1,H1155),2)))</f>
        <v>46086</v>
      </c>
      <c r="N1155" s="0" t="n">
        <f aca="false">INDEX(Laporan!$A$1:$AZ$300,G1155,H1155)</f>
        <v>110</v>
      </c>
      <c r="O1155" s="0" t="n">
        <f aca="false">IF(N1155="","",IFERROR(VALUE(SUBSTITUTE(SUBSTITUTE(N1155," btl",""),".","")),""))</f>
        <v>110</v>
      </c>
      <c r="P1155" s="0" t="str">
        <f aca="false">IF(B1155="PRODUKSI","produced","reject")</f>
        <v>reject</v>
      </c>
    </row>
    <row r="1156" customFormat="false" ht="15" hidden="false" customHeight="false" outlineLevel="0" collapsed="false">
      <c r="A1156" s="0" t="n">
        <v>1155</v>
      </c>
      <c r="B1156" s="0" t="str">
        <f aca="false">IF(A1156&lt;=36*25,"PRODUKSI","REJECT")</f>
        <v>REJECT</v>
      </c>
      <c r="C1156" s="0" t="n">
        <f aca="false">MOD(A1156-1,Pemetaan!$B$3*Pemetaan!$B$4)</f>
        <v>254</v>
      </c>
      <c r="D1156" s="0" t="n">
        <f aca="false">INT(C1156/Pemetaan!$B$4)</f>
        <v>10</v>
      </c>
      <c r="E1156" s="0" t="n">
        <f aca="false">MOD(C1156,Pemetaan!$B$4)</f>
        <v>4</v>
      </c>
      <c r="F1156" s="0" t="n">
        <f aca="false">IF(B1156="PRODUKSI",Pemetaan!$B$5,Pemetaan!$B$6)</f>
        <v>46</v>
      </c>
      <c r="G1156" s="0" t="n">
        <f aca="false">F1156+2+D1156</f>
        <v>58</v>
      </c>
      <c r="H1156" s="0" t="n">
        <f aca="false">Pemetaan!$B$2+E1156</f>
        <v>9</v>
      </c>
      <c r="I1156" s="0" t="str">
        <f aca="false">INDEX(Laporan!$A$1:$AZ$300,G1156,1)</f>
        <v>Water Treatment</v>
      </c>
      <c r="J1156" s="0" t="str">
        <f aca="false">INDEX(Laporan!$A$1:$AZ$300,G1156,2)</f>
        <v>600 ml</v>
      </c>
      <c r="K1156" s="0" t="str">
        <f aca="false">INDEX(Laporan!$A$1:$AZ$300,G1156,3)</f>
        <v>Shift 2</v>
      </c>
      <c r="L1156" s="0" t="n">
        <f aca="false">INDEX(Laporan!$A$1:$AZ$300,G1156,4)</f>
        <v>2</v>
      </c>
      <c r="M1156" s="1" t="n">
        <f aca="false">DATE(Pemetaan!$B$1,VALUE(RIGHT(INDEX(Laporan!$A$1:$AZ$300,F1156+1,H1156),2)),VALUE(LEFT(INDEX(Laporan!$A$1:$AZ$300,F1156+1,H1156),2)))</f>
        <v>46087</v>
      </c>
      <c r="N1156" s="0" t="n">
        <f aca="false">INDEX(Laporan!$A$1:$AZ$300,G1156,H1156)</f>
        <v>7</v>
      </c>
      <c r="O1156" s="0" t="n">
        <f aca="false">IF(N1156="","",IFERROR(VALUE(SUBSTITUTE(SUBSTITUTE(N1156," btl",""),".","")),""))</f>
        <v>7</v>
      </c>
      <c r="P1156" s="0" t="str">
        <f aca="false">IF(B1156="PRODUKSI","produced","reject")</f>
        <v>reject</v>
      </c>
    </row>
    <row r="1157" customFormat="false" ht="15" hidden="false" customHeight="false" outlineLevel="0" collapsed="false">
      <c r="A1157" s="0" t="n">
        <v>1156</v>
      </c>
      <c r="B1157" s="0" t="str">
        <f aca="false">IF(A1157&lt;=36*25,"PRODUKSI","REJECT")</f>
        <v>REJECT</v>
      </c>
      <c r="C1157" s="0" t="n">
        <f aca="false">MOD(A1157-1,Pemetaan!$B$3*Pemetaan!$B$4)</f>
        <v>255</v>
      </c>
      <c r="D1157" s="0" t="n">
        <f aca="false">INT(C1157/Pemetaan!$B$4)</f>
        <v>10</v>
      </c>
      <c r="E1157" s="0" t="n">
        <f aca="false">MOD(C1157,Pemetaan!$B$4)</f>
        <v>5</v>
      </c>
      <c r="F1157" s="0" t="n">
        <f aca="false">IF(B1157="PRODUKSI",Pemetaan!$B$5,Pemetaan!$B$6)</f>
        <v>46</v>
      </c>
      <c r="G1157" s="0" t="n">
        <f aca="false">F1157+2+D1157</f>
        <v>58</v>
      </c>
      <c r="H1157" s="0" t="n">
        <f aca="false">Pemetaan!$B$2+E1157</f>
        <v>10</v>
      </c>
      <c r="I1157" s="0" t="str">
        <f aca="false">INDEX(Laporan!$A$1:$AZ$300,G1157,1)</f>
        <v>Water Treatment</v>
      </c>
      <c r="J1157" s="0" t="str">
        <f aca="false">INDEX(Laporan!$A$1:$AZ$300,G1157,2)</f>
        <v>600 ml</v>
      </c>
      <c r="K1157" s="0" t="str">
        <f aca="false">INDEX(Laporan!$A$1:$AZ$300,G1157,3)</f>
        <v>Shift 2</v>
      </c>
      <c r="L1157" s="0" t="n">
        <f aca="false">INDEX(Laporan!$A$1:$AZ$300,G1157,4)</f>
        <v>2</v>
      </c>
      <c r="M1157" s="1" t="n">
        <f aca="false">DATE(Pemetaan!$B$1,VALUE(RIGHT(INDEX(Laporan!$A$1:$AZ$300,F1157+1,H1157),2)),VALUE(LEFT(INDEX(Laporan!$A$1:$AZ$300,F1157+1,H1157),2)))</f>
        <v>46090</v>
      </c>
      <c r="N1157" s="0" t="str">
        <f aca="false">INDEX(Laporan!$A$1:$AZ$300,G1157,H1157)</f>
        <v>-</v>
      </c>
      <c r="O1157" s="0" t="str">
        <f aca="false">IF(N1157="","",IFERROR(VALUE(SUBSTITUTE(SUBSTITUTE(N1157," btl",""),".","")),""))</f>
        <v/>
      </c>
      <c r="P1157" s="0" t="str">
        <f aca="false">IF(B1157="PRODUKSI","produced","reject")</f>
        <v>reject</v>
      </c>
    </row>
    <row r="1158" customFormat="false" ht="15" hidden="false" customHeight="false" outlineLevel="0" collapsed="false">
      <c r="A1158" s="0" t="n">
        <v>1157</v>
      </c>
      <c r="B1158" s="0" t="str">
        <f aca="false">IF(A1158&lt;=36*25,"PRODUKSI","REJECT")</f>
        <v>REJECT</v>
      </c>
      <c r="C1158" s="0" t="n">
        <f aca="false">MOD(A1158-1,Pemetaan!$B$3*Pemetaan!$B$4)</f>
        <v>256</v>
      </c>
      <c r="D1158" s="0" t="n">
        <f aca="false">INT(C1158/Pemetaan!$B$4)</f>
        <v>10</v>
      </c>
      <c r="E1158" s="0" t="n">
        <f aca="false">MOD(C1158,Pemetaan!$B$4)</f>
        <v>6</v>
      </c>
      <c r="F1158" s="0" t="n">
        <f aca="false">IF(B1158="PRODUKSI",Pemetaan!$B$5,Pemetaan!$B$6)</f>
        <v>46</v>
      </c>
      <c r="G1158" s="0" t="n">
        <f aca="false">F1158+2+D1158</f>
        <v>58</v>
      </c>
      <c r="H1158" s="0" t="n">
        <f aca="false">Pemetaan!$B$2+E1158</f>
        <v>11</v>
      </c>
      <c r="I1158" s="0" t="str">
        <f aca="false">INDEX(Laporan!$A$1:$AZ$300,G1158,1)</f>
        <v>Water Treatment</v>
      </c>
      <c r="J1158" s="0" t="str">
        <f aca="false">INDEX(Laporan!$A$1:$AZ$300,G1158,2)</f>
        <v>600 ml</v>
      </c>
      <c r="K1158" s="0" t="str">
        <f aca="false">INDEX(Laporan!$A$1:$AZ$300,G1158,3)</f>
        <v>Shift 2</v>
      </c>
      <c r="L1158" s="0" t="n">
        <f aca="false">INDEX(Laporan!$A$1:$AZ$300,G1158,4)</f>
        <v>2</v>
      </c>
      <c r="M1158" s="1" t="n">
        <f aca="false">DATE(Pemetaan!$B$1,VALUE(RIGHT(INDEX(Laporan!$A$1:$AZ$300,F1158+1,H1158),2)),VALUE(LEFT(INDEX(Laporan!$A$1:$AZ$300,F1158+1,H1158),2)))</f>
        <v>46091</v>
      </c>
      <c r="N1158" s="0" t="n">
        <f aca="false">INDEX(Laporan!$A$1:$AZ$300,G1158,H1158)</f>
        <v>12</v>
      </c>
      <c r="O1158" s="0" t="n">
        <f aca="false">IF(N1158="","",IFERROR(VALUE(SUBSTITUTE(SUBSTITUTE(N1158," btl",""),".","")),""))</f>
        <v>12</v>
      </c>
      <c r="P1158" s="0" t="str">
        <f aca="false">IF(B1158="PRODUKSI","produced","reject")</f>
        <v>reject</v>
      </c>
    </row>
    <row r="1159" customFormat="false" ht="15" hidden="false" customHeight="false" outlineLevel="0" collapsed="false">
      <c r="A1159" s="0" t="n">
        <v>1158</v>
      </c>
      <c r="B1159" s="0" t="str">
        <f aca="false">IF(A1159&lt;=36*25,"PRODUKSI","REJECT")</f>
        <v>REJECT</v>
      </c>
      <c r="C1159" s="0" t="n">
        <f aca="false">MOD(A1159-1,Pemetaan!$B$3*Pemetaan!$B$4)</f>
        <v>257</v>
      </c>
      <c r="D1159" s="0" t="n">
        <f aca="false">INT(C1159/Pemetaan!$B$4)</f>
        <v>10</v>
      </c>
      <c r="E1159" s="0" t="n">
        <f aca="false">MOD(C1159,Pemetaan!$B$4)</f>
        <v>7</v>
      </c>
      <c r="F1159" s="0" t="n">
        <f aca="false">IF(B1159="PRODUKSI",Pemetaan!$B$5,Pemetaan!$B$6)</f>
        <v>46</v>
      </c>
      <c r="G1159" s="0" t="n">
        <f aca="false">F1159+2+D1159</f>
        <v>58</v>
      </c>
      <c r="H1159" s="0" t="n">
        <f aca="false">Pemetaan!$B$2+E1159</f>
        <v>12</v>
      </c>
      <c r="I1159" s="0" t="str">
        <f aca="false">INDEX(Laporan!$A$1:$AZ$300,G1159,1)</f>
        <v>Water Treatment</v>
      </c>
      <c r="J1159" s="0" t="str">
        <f aca="false">INDEX(Laporan!$A$1:$AZ$300,G1159,2)</f>
        <v>600 ml</v>
      </c>
      <c r="K1159" s="0" t="str">
        <f aca="false">INDEX(Laporan!$A$1:$AZ$300,G1159,3)</f>
        <v>Shift 2</v>
      </c>
      <c r="L1159" s="0" t="n">
        <f aca="false">INDEX(Laporan!$A$1:$AZ$300,G1159,4)</f>
        <v>2</v>
      </c>
      <c r="M1159" s="1" t="n">
        <f aca="false">DATE(Pemetaan!$B$1,VALUE(RIGHT(INDEX(Laporan!$A$1:$AZ$300,F1159+1,H1159),2)),VALUE(LEFT(INDEX(Laporan!$A$1:$AZ$300,F1159+1,H1159),2)))</f>
        <v>46092</v>
      </c>
      <c r="N1159" s="0" t="n">
        <f aca="false">INDEX(Laporan!$A$1:$AZ$300,G1159,H1159)</f>
        <v>13</v>
      </c>
      <c r="O1159" s="0" t="n">
        <f aca="false">IF(N1159="","",IFERROR(VALUE(SUBSTITUTE(SUBSTITUTE(N1159," btl",""),".","")),""))</f>
        <v>13</v>
      </c>
      <c r="P1159" s="0" t="str">
        <f aca="false">IF(B1159="PRODUKSI","produced","reject")</f>
        <v>reject</v>
      </c>
    </row>
    <row r="1160" customFormat="false" ht="15" hidden="false" customHeight="false" outlineLevel="0" collapsed="false">
      <c r="A1160" s="0" t="n">
        <v>1159</v>
      </c>
      <c r="B1160" s="0" t="str">
        <f aca="false">IF(A1160&lt;=36*25,"PRODUKSI","REJECT")</f>
        <v>REJECT</v>
      </c>
      <c r="C1160" s="0" t="n">
        <f aca="false">MOD(A1160-1,Pemetaan!$B$3*Pemetaan!$B$4)</f>
        <v>258</v>
      </c>
      <c r="D1160" s="0" t="n">
        <f aca="false">INT(C1160/Pemetaan!$B$4)</f>
        <v>10</v>
      </c>
      <c r="E1160" s="0" t="n">
        <f aca="false">MOD(C1160,Pemetaan!$B$4)</f>
        <v>8</v>
      </c>
      <c r="F1160" s="0" t="n">
        <f aca="false">IF(B1160="PRODUKSI",Pemetaan!$B$5,Pemetaan!$B$6)</f>
        <v>46</v>
      </c>
      <c r="G1160" s="0" t="n">
        <f aca="false">F1160+2+D1160</f>
        <v>58</v>
      </c>
      <c r="H1160" s="0" t="n">
        <f aca="false">Pemetaan!$B$2+E1160</f>
        <v>13</v>
      </c>
      <c r="I1160" s="0" t="str">
        <f aca="false">INDEX(Laporan!$A$1:$AZ$300,G1160,1)</f>
        <v>Water Treatment</v>
      </c>
      <c r="J1160" s="0" t="str">
        <f aca="false">INDEX(Laporan!$A$1:$AZ$300,G1160,2)</f>
        <v>600 ml</v>
      </c>
      <c r="K1160" s="0" t="str">
        <f aca="false">INDEX(Laporan!$A$1:$AZ$300,G1160,3)</f>
        <v>Shift 2</v>
      </c>
      <c r="L1160" s="0" t="n">
        <f aca="false">INDEX(Laporan!$A$1:$AZ$300,G1160,4)</f>
        <v>2</v>
      </c>
      <c r="M1160" s="1" t="n">
        <f aca="false">DATE(Pemetaan!$B$1,VALUE(RIGHT(INDEX(Laporan!$A$1:$AZ$300,F1160+1,H1160),2)),VALUE(LEFT(INDEX(Laporan!$A$1:$AZ$300,F1160+1,H1160),2)))</f>
        <v>46093</v>
      </c>
      <c r="N1160" s="0" t="n">
        <f aca="false">INDEX(Laporan!$A$1:$AZ$300,G1160,H1160)</f>
        <v>120</v>
      </c>
      <c r="O1160" s="0" t="n">
        <f aca="false">IF(N1160="","",IFERROR(VALUE(SUBSTITUTE(SUBSTITUTE(N1160," btl",""),".","")),""))</f>
        <v>120</v>
      </c>
      <c r="P1160" s="0" t="str">
        <f aca="false">IF(B1160="PRODUKSI","produced","reject")</f>
        <v>reject</v>
      </c>
    </row>
    <row r="1161" customFormat="false" ht="15" hidden="false" customHeight="false" outlineLevel="0" collapsed="false">
      <c r="A1161" s="0" t="n">
        <v>1160</v>
      </c>
      <c r="B1161" s="0" t="str">
        <f aca="false">IF(A1161&lt;=36*25,"PRODUKSI","REJECT")</f>
        <v>REJECT</v>
      </c>
      <c r="C1161" s="0" t="n">
        <f aca="false">MOD(A1161-1,Pemetaan!$B$3*Pemetaan!$B$4)</f>
        <v>259</v>
      </c>
      <c r="D1161" s="0" t="n">
        <f aca="false">INT(C1161/Pemetaan!$B$4)</f>
        <v>10</v>
      </c>
      <c r="E1161" s="0" t="n">
        <f aca="false">MOD(C1161,Pemetaan!$B$4)</f>
        <v>9</v>
      </c>
      <c r="F1161" s="0" t="n">
        <f aca="false">IF(B1161="PRODUKSI",Pemetaan!$B$5,Pemetaan!$B$6)</f>
        <v>46</v>
      </c>
      <c r="G1161" s="0" t="n">
        <f aca="false">F1161+2+D1161</f>
        <v>58</v>
      </c>
      <c r="H1161" s="0" t="n">
        <f aca="false">Pemetaan!$B$2+E1161</f>
        <v>14</v>
      </c>
      <c r="I1161" s="0" t="str">
        <f aca="false">INDEX(Laporan!$A$1:$AZ$300,G1161,1)</f>
        <v>Water Treatment</v>
      </c>
      <c r="J1161" s="0" t="str">
        <f aca="false">INDEX(Laporan!$A$1:$AZ$300,G1161,2)</f>
        <v>600 ml</v>
      </c>
      <c r="K1161" s="0" t="str">
        <f aca="false">INDEX(Laporan!$A$1:$AZ$300,G1161,3)</f>
        <v>Shift 2</v>
      </c>
      <c r="L1161" s="0" t="n">
        <f aca="false">INDEX(Laporan!$A$1:$AZ$300,G1161,4)</f>
        <v>2</v>
      </c>
      <c r="M1161" s="1" t="n">
        <f aca="false">DATE(Pemetaan!$B$1,VALUE(RIGHT(INDEX(Laporan!$A$1:$AZ$300,F1161+1,H1161),2)),VALUE(LEFT(INDEX(Laporan!$A$1:$AZ$300,F1161+1,H1161),2)))</f>
        <v>46094</v>
      </c>
      <c r="N1161" s="0" t="n">
        <f aca="false">INDEX(Laporan!$A$1:$AZ$300,G1161,H1161)</f>
        <v>14</v>
      </c>
      <c r="O1161" s="0" t="n">
        <f aca="false">IF(N1161="","",IFERROR(VALUE(SUBSTITUTE(SUBSTITUTE(N1161," btl",""),".","")),""))</f>
        <v>14</v>
      </c>
      <c r="P1161" s="0" t="str">
        <f aca="false">IF(B1161="PRODUKSI","produced","reject")</f>
        <v>reject</v>
      </c>
    </row>
    <row r="1162" customFormat="false" ht="15" hidden="false" customHeight="false" outlineLevel="0" collapsed="false">
      <c r="A1162" s="0" t="n">
        <v>1161</v>
      </c>
      <c r="B1162" s="0" t="str">
        <f aca="false">IF(A1162&lt;=36*25,"PRODUKSI","REJECT")</f>
        <v>REJECT</v>
      </c>
      <c r="C1162" s="0" t="n">
        <f aca="false">MOD(A1162-1,Pemetaan!$B$3*Pemetaan!$B$4)</f>
        <v>260</v>
      </c>
      <c r="D1162" s="0" t="n">
        <f aca="false">INT(C1162/Pemetaan!$B$4)</f>
        <v>10</v>
      </c>
      <c r="E1162" s="0" t="n">
        <f aca="false">MOD(C1162,Pemetaan!$B$4)</f>
        <v>10</v>
      </c>
      <c r="F1162" s="0" t="n">
        <f aca="false">IF(B1162="PRODUKSI",Pemetaan!$B$5,Pemetaan!$B$6)</f>
        <v>46</v>
      </c>
      <c r="G1162" s="0" t="n">
        <f aca="false">F1162+2+D1162</f>
        <v>58</v>
      </c>
      <c r="H1162" s="0" t="n">
        <f aca="false">Pemetaan!$B$2+E1162</f>
        <v>15</v>
      </c>
      <c r="I1162" s="0" t="str">
        <f aca="false">INDEX(Laporan!$A$1:$AZ$300,G1162,1)</f>
        <v>Water Treatment</v>
      </c>
      <c r="J1162" s="0" t="str">
        <f aca="false">INDEX(Laporan!$A$1:$AZ$300,G1162,2)</f>
        <v>600 ml</v>
      </c>
      <c r="K1162" s="0" t="str">
        <f aca="false">INDEX(Laporan!$A$1:$AZ$300,G1162,3)</f>
        <v>Shift 2</v>
      </c>
      <c r="L1162" s="0" t="n">
        <f aca="false">INDEX(Laporan!$A$1:$AZ$300,G1162,4)</f>
        <v>2</v>
      </c>
      <c r="M1162" s="1" t="n">
        <f aca="false">DATE(Pemetaan!$B$1,VALUE(RIGHT(INDEX(Laporan!$A$1:$AZ$300,F1162+1,H1162),2)),VALUE(LEFT(INDEX(Laporan!$A$1:$AZ$300,F1162+1,H1162),2)))</f>
        <v>46097</v>
      </c>
      <c r="N1162" s="0" t="n">
        <f aca="false">INDEX(Laporan!$A$1:$AZ$300,G1162,H1162)</f>
        <v>10</v>
      </c>
      <c r="O1162" s="0" t="n">
        <f aca="false">IF(N1162="","",IFERROR(VALUE(SUBSTITUTE(SUBSTITUTE(N1162," btl",""),".","")),""))</f>
        <v>10</v>
      </c>
      <c r="P1162" s="0" t="str">
        <f aca="false">IF(B1162="PRODUKSI","produced","reject")</f>
        <v>reject</v>
      </c>
    </row>
    <row r="1163" customFormat="false" ht="15" hidden="false" customHeight="false" outlineLevel="0" collapsed="false">
      <c r="A1163" s="0" t="n">
        <v>1162</v>
      </c>
      <c r="B1163" s="0" t="str">
        <f aca="false">IF(A1163&lt;=36*25,"PRODUKSI","REJECT")</f>
        <v>REJECT</v>
      </c>
      <c r="C1163" s="0" t="n">
        <f aca="false">MOD(A1163-1,Pemetaan!$B$3*Pemetaan!$B$4)</f>
        <v>261</v>
      </c>
      <c r="D1163" s="0" t="n">
        <f aca="false">INT(C1163/Pemetaan!$B$4)</f>
        <v>10</v>
      </c>
      <c r="E1163" s="0" t="n">
        <f aca="false">MOD(C1163,Pemetaan!$B$4)</f>
        <v>11</v>
      </c>
      <c r="F1163" s="0" t="n">
        <f aca="false">IF(B1163="PRODUKSI",Pemetaan!$B$5,Pemetaan!$B$6)</f>
        <v>46</v>
      </c>
      <c r="G1163" s="0" t="n">
        <f aca="false">F1163+2+D1163</f>
        <v>58</v>
      </c>
      <c r="H1163" s="0" t="n">
        <f aca="false">Pemetaan!$B$2+E1163</f>
        <v>16</v>
      </c>
      <c r="I1163" s="0" t="str">
        <f aca="false">INDEX(Laporan!$A$1:$AZ$300,G1163,1)</f>
        <v>Water Treatment</v>
      </c>
      <c r="J1163" s="0" t="str">
        <f aca="false">INDEX(Laporan!$A$1:$AZ$300,G1163,2)</f>
        <v>600 ml</v>
      </c>
      <c r="K1163" s="0" t="str">
        <f aca="false">INDEX(Laporan!$A$1:$AZ$300,G1163,3)</f>
        <v>Shift 2</v>
      </c>
      <c r="L1163" s="0" t="n">
        <f aca="false">INDEX(Laporan!$A$1:$AZ$300,G1163,4)</f>
        <v>2</v>
      </c>
      <c r="M1163" s="1" t="n">
        <f aca="false">DATE(Pemetaan!$B$1,VALUE(RIGHT(INDEX(Laporan!$A$1:$AZ$300,F1163+1,H1163),2)),VALUE(LEFT(INDEX(Laporan!$A$1:$AZ$300,F1163+1,H1163),2)))</f>
        <v>46098</v>
      </c>
      <c r="N1163" s="0" t="n">
        <f aca="false">INDEX(Laporan!$A$1:$AZ$300,G1163,H1163)</f>
        <v>10</v>
      </c>
      <c r="O1163" s="0" t="n">
        <f aca="false">IF(N1163="","",IFERROR(VALUE(SUBSTITUTE(SUBSTITUTE(N1163," btl",""),".","")),""))</f>
        <v>10</v>
      </c>
      <c r="P1163" s="0" t="str">
        <f aca="false">IF(B1163="PRODUKSI","produced","reject")</f>
        <v>reject</v>
      </c>
    </row>
    <row r="1164" customFormat="false" ht="15" hidden="false" customHeight="false" outlineLevel="0" collapsed="false">
      <c r="A1164" s="0" t="n">
        <v>1163</v>
      </c>
      <c r="B1164" s="0" t="str">
        <f aca="false">IF(A1164&lt;=36*25,"PRODUKSI","REJECT")</f>
        <v>REJECT</v>
      </c>
      <c r="C1164" s="0" t="n">
        <f aca="false">MOD(A1164-1,Pemetaan!$B$3*Pemetaan!$B$4)</f>
        <v>262</v>
      </c>
      <c r="D1164" s="0" t="n">
        <f aca="false">INT(C1164/Pemetaan!$B$4)</f>
        <v>10</v>
      </c>
      <c r="E1164" s="0" t="n">
        <f aca="false">MOD(C1164,Pemetaan!$B$4)</f>
        <v>12</v>
      </c>
      <c r="F1164" s="0" t="n">
        <f aca="false">IF(B1164="PRODUKSI",Pemetaan!$B$5,Pemetaan!$B$6)</f>
        <v>46</v>
      </c>
      <c r="G1164" s="0" t="n">
        <f aca="false">F1164+2+D1164</f>
        <v>58</v>
      </c>
      <c r="H1164" s="0" t="n">
        <f aca="false">Pemetaan!$B$2+E1164</f>
        <v>17</v>
      </c>
      <c r="I1164" s="0" t="str">
        <f aca="false">INDEX(Laporan!$A$1:$AZ$300,G1164,1)</f>
        <v>Water Treatment</v>
      </c>
      <c r="J1164" s="0" t="str">
        <f aca="false">INDEX(Laporan!$A$1:$AZ$300,G1164,2)</f>
        <v>600 ml</v>
      </c>
      <c r="K1164" s="0" t="str">
        <f aca="false">INDEX(Laporan!$A$1:$AZ$300,G1164,3)</f>
        <v>Shift 2</v>
      </c>
      <c r="L1164" s="0" t="n">
        <f aca="false">INDEX(Laporan!$A$1:$AZ$300,G1164,4)</f>
        <v>2</v>
      </c>
      <c r="M1164" s="1" t="n">
        <f aca="false">DATE(Pemetaan!$B$1,VALUE(RIGHT(INDEX(Laporan!$A$1:$AZ$300,F1164+1,H1164),2)),VALUE(LEFT(INDEX(Laporan!$A$1:$AZ$300,F1164+1,H1164),2)))</f>
        <v>46099</v>
      </c>
      <c r="N1164" s="0" t="n">
        <f aca="false">INDEX(Laporan!$A$1:$AZ$300,G1164,H1164)</f>
        <v>12</v>
      </c>
      <c r="O1164" s="0" t="n">
        <f aca="false">IF(N1164="","",IFERROR(VALUE(SUBSTITUTE(SUBSTITUTE(N1164," btl",""),".","")),""))</f>
        <v>12</v>
      </c>
      <c r="P1164" s="0" t="str">
        <f aca="false">IF(B1164="PRODUKSI","produced","reject")</f>
        <v>reject</v>
      </c>
    </row>
    <row r="1165" customFormat="false" ht="15" hidden="false" customHeight="false" outlineLevel="0" collapsed="false">
      <c r="A1165" s="0" t="n">
        <v>1164</v>
      </c>
      <c r="B1165" s="0" t="str">
        <f aca="false">IF(A1165&lt;=36*25,"PRODUKSI","REJECT")</f>
        <v>REJECT</v>
      </c>
      <c r="C1165" s="0" t="n">
        <f aca="false">MOD(A1165-1,Pemetaan!$B$3*Pemetaan!$B$4)</f>
        <v>263</v>
      </c>
      <c r="D1165" s="0" t="n">
        <f aca="false">INT(C1165/Pemetaan!$B$4)</f>
        <v>10</v>
      </c>
      <c r="E1165" s="0" t="n">
        <f aca="false">MOD(C1165,Pemetaan!$B$4)</f>
        <v>13</v>
      </c>
      <c r="F1165" s="0" t="n">
        <f aca="false">IF(B1165="PRODUKSI",Pemetaan!$B$5,Pemetaan!$B$6)</f>
        <v>46</v>
      </c>
      <c r="G1165" s="0" t="n">
        <f aca="false">F1165+2+D1165</f>
        <v>58</v>
      </c>
      <c r="H1165" s="0" t="n">
        <f aca="false">Pemetaan!$B$2+E1165</f>
        <v>18</v>
      </c>
      <c r="I1165" s="0" t="str">
        <f aca="false">INDEX(Laporan!$A$1:$AZ$300,G1165,1)</f>
        <v>Water Treatment</v>
      </c>
      <c r="J1165" s="0" t="str">
        <f aca="false">INDEX(Laporan!$A$1:$AZ$300,G1165,2)</f>
        <v>600 ml</v>
      </c>
      <c r="K1165" s="0" t="str">
        <f aca="false">INDEX(Laporan!$A$1:$AZ$300,G1165,3)</f>
        <v>Shift 2</v>
      </c>
      <c r="L1165" s="0" t="n">
        <f aca="false">INDEX(Laporan!$A$1:$AZ$300,G1165,4)</f>
        <v>2</v>
      </c>
      <c r="M1165" s="1" t="n">
        <f aca="false">DATE(Pemetaan!$B$1,VALUE(RIGHT(INDEX(Laporan!$A$1:$AZ$300,F1165+1,H1165),2)),VALUE(LEFT(INDEX(Laporan!$A$1:$AZ$300,F1165+1,H1165),2)))</f>
        <v>46100</v>
      </c>
      <c r="N1165" s="0" t="n">
        <f aca="false">INDEX(Laporan!$A$1:$AZ$300,G1165,H1165)</f>
        <v>10</v>
      </c>
      <c r="O1165" s="0" t="n">
        <f aca="false">IF(N1165="","",IFERROR(VALUE(SUBSTITUTE(SUBSTITUTE(N1165," btl",""),".","")),""))</f>
        <v>10</v>
      </c>
      <c r="P1165" s="0" t="str">
        <f aca="false">IF(B1165="PRODUKSI","produced","reject")</f>
        <v>reject</v>
      </c>
    </row>
    <row r="1166" customFormat="false" ht="15" hidden="false" customHeight="false" outlineLevel="0" collapsed="false">
      <c r="A1166" s="0" t="n">
        <v>1165</v>
      </c>
      <c r="B1166" s="0" t="str">
        <f aca="false">IF(A1166&lt;=36*25,"PRODUKSI","REJECT")</f>
        <v>REJECT</v>
      </c>
      <c r="C1166" s="0" t="n">
        <f aca="false">MOD(A1166-1,Pemetaan!$B$3*Pemetaan!$B$4)</f>
        <v>264</v>
      </c>
      <c r="D1166" s="0" t="n">
        <f aca="false">INT(C1166/Pemetaan!$B$4)</f>
        <v>10</v>
      </c>
      <c r="E1166" s="0" t="n">
        <f aca="false">MOD(C1166,Pemetaan!$B$4)</f>
        <v>14</v>
      </c>
      <c r="F1166" s="0" t="n">
        <f aca="false">IF(B1166="PRODUKSI",Pemetaan!$B$5,Pemetaan!$B$6)</f>
        <v>46</v>
      </c>
      <c r="G1166" s="0" t="n">
        <f aca="false">F1166+2+D1166</f>
        <v>58</v>
      </c>
      <c r="H1166" s="0" t="n">
        <f aca="false">Pemetaan!$B$2+E1166</f>
        <v>19</v>
      </c>
      <c r="I1166" s="0" t="str">
        <f aca="false">INDEX(Laporan!$A$1:$AZ$300,G1166,1)</f>
        <v>Water Treatment</v>
      </c>
      <c r="J1166" s="0" t="str">
        <f aca="false">INDEX(Laporan!$A$1:$AZ$300,G1166,2)</f>
        <v>600 ml</v>
      </c>
      <c r="K1166" s="0" t="str">
        <f aca="false">INDEX(Laporan!$A$1:$AZ$300,G1166,3)</f>
        <v>Shift 2</v>
      </c>
      <c r="L1166" s="0" t="n">
        <f aca="false">INDEX(Laporan!$A$1:$AZ$300,G1166,4)</f>
        <v>2</v>
      </c>
      <c r="M1166" s="1" t="n">
        <f aca="false">DATE(Pemetaan!$B$1,VALUE(RIGHT(INDEX(Laporan!$A$1:$AZ$300,F1166+1,H1166),2)),VALUE(LEFT(INDEX(Laporan!$A$1:$AZ$300,F1166+1,H1166),2)))</f>
        <v>46101</v>
      </c>
      <c r="N1166" s="0" t="n">
        <f aca="false">INDEX(Laporan!$A$1:$AZ$300,G1166,H1166)</f>
        <v>8</v>
      </c>
      <c r="O1166" s="0" t="n">
        <f aca="false">IF(N1166="","",IFERROR(VALUE(SUBSTITUTE(SUBSTITUTE(N1166," btl",""),".","")),""))</f>
        <v>8</v>
      </c>
      <c r="P1166" s="0" t="str">
        <f aca="false">IF(B1166="PRODUKSI","produced","reject")</f>
        <v>reject</v>
      </c>
    </row>
    <row r="1167" customFormat="false" ht="15" hidden="false" customHeight="false" outlineLevel="0" collapsed="false">
      <c r="A1167" s="0" t="n">
        <v>1166</v>
      </c>
      <c r="B1167" s="0" t="str">
        <f aca="false">IF(A1167&lt;=36*25,"PRODUKSI","REJECT")</f>
        <v>REJECT</v>
      </c>
      <c r="C1167" s="0" t="n">
        <f aca="false">MOD(A1167-1,Pemetaan!$B$3*Pemetaan!$B$4)</f>
        <v>265</v>
      </c>
      <c r="D1167" s="0" t="n">
        <f aca="false">INT(C1167/Pemetaan!$B$4)</f>
        <v>10</v>
      </c>
      <c r="E1167" s="0" t="n">
        <f aca="false">MOD(C1167,Pemetaan!$B$4)</f>
        <v>15</v>
      </c>
      <c r="F1167" s="0" t="n">
        <f aca="false">IF(B1167="PRODUKSI",Pemetaan!$B$5,Pemetaan!$B$6)</f>
        <v>46</v>
      </c>
      <c r="G1167" s="0" t="n">
        <f aca="false">F1167+2+D1167</f>
        <v>58</v>
      </c>
      <c r="H1167" s="0" t="n">
        <f aca="false">Pemetaan!$B$2+E1167</f>
        <v>20</v>
      </c>
      <c r="I1167" s="0" t="str">
        <f aca="false">INDEX(Laporan!$A$1:$AZ$300,G1167,1)</f>
        <v>Water Treatment</v>
      </c>
      <c r="J1167" s="0" t="str">
        <f aca="false">INDEX(Laporan!$A$1:$AZ$300,G1167,2)</f>
        <v>600 ml</v>
      </c>
      <c r="K1167" s="0" t="str">
        <f aca="false">INDEX(Laporan!$A$1:$AZ$300,G1167,3)</f>
        <v>Shift 2</v>
      </c>
      <c r="L1167" s="0" t="n">
        <f aca="false">INDEX(Laporan!$A$1:$AZ$300,G1167,4)</f>
        <v>2</v>
      </c>
      <c r="M1167" s="1" t="n">
        <f aca="false">DATE(Pemetaan!$B$1,VALUE(RIGHT(INDEX(Laporan!$A$1:$AZ$300,F1167+1,H1167),2)),VALUE(LEFT(INDEX(Laporan!$A$1:$AZ$300,F1167+1,H1167),2)))</f>
        <v>46104</v>
      </c>
      <c r="N1167" s="0" t="n">
        <f aca="false">INDEX(Laporan!$A$1:$AZ$300,G1167,H1167)</f>
        <v>10</v>
      </c>
      <c r="O1167" s="0" t="n">
        <f aca="false">IF(N1167="","",IFERROR(VALUE(SUBSTITUTE(SUBSTITUTE(N1167," btl",""),".","")),""))</f>
        <v>10</v>
      </c>
      <c r="P1167" s="0" t="str">
        <f aca="false">IF(B1167="PRODUKSI","produced","reject")</f>
        <v>reject</v>
      </c>
    </row>
    <row r="1168" customFormat="false" ht="15" hidden="false" customHeight="false" outlineLevel="0" collapsed="false">
      <c r="A1168" s="0" t="n">
        <v>1167</v>
      </c>
      <c r="B1168" s="0" t="str">
        <f aca="false">IF(A1168&lt;=36*25,"PRODUKSI","REJECT")</f>
        <v>REJECT</v>
      </c>
      <c r="C1168" s="0" t="n">
        <f aca="false">MOD(A1168-1,Pemetaan!$B$3*Pemetaan!$B$4)</f>
        <v>266</v>
      </c>
      <c r="D1168" s="0" t="n">
        <f aca="false">INT(C1168/Pemetaan!$B$4)</f>
        <v>10</v>
      </c>
      <c r="E1168" s="0" t="n">
        <f aca="false">MOD(C1168,Pemetaan!$B$4)</f>
        <v>16</v>
      </c>
      <c r="F1168" s="0" t="n">
        <f aca="false">IF(B1168="PRODUKSI",Pemetaan!$B$5,Pemetaan!$B$6)</f>
        <v>46</v>
      </c>
      <c r="G1168" s="0" t="n">
        <f aca="false">F1168+2+D1168</f>
        <v>58</v>
      </c>
      <c r="H1168" s="0" t="n">
        <f aca="false">Pemetaan!$B$2+E1168</f>
        <v>21</v>
      </c>
      <c r="I1168" s="0" t="str">
        <f aca="false">INDEX(Laporan!$A$1:$AZ$300,G1168,1)</f>
        <v>Water Treatment</v>
      </c>
      <c r="J1168" s="0" t="str">
        <f aca="false">INDEX(Laporan!$A$1:$AZ$300,G1168,2)</f>
        <v>600 ml</v>
      </c>
      <c r="K1168" s="0" t="str">
        <f aca="false">INDEX(Laporan!$A$1:$AZ$300,G1168,3)</f>
        <v>Shift 2</v>
      </c>
      <c r="L1168" s="0" t="n">
        <f aca="false">INDEX(Laporan!$A$1:$AZ$300,G1168,4)</f>
        <v>2</v>
      </c>
      <c r="M1168" s="1" t="n">
        <f aca="false">DATE(Pemetaan!$B$1,VALUE(RIGHT(INDEX(Laporan!$A$1:$AZ$300,F1168+1,H1168),2)),VALUE(LEFT(INDEX(Laporan!$A$1:$AZ$300,F1168+1,H1168),2)))</f>
        <v>46105</v>
      </c>
      <c r="N1168" s="0" t="n">
        <f aca="false">INDEX(Laporan!$A$1:$AZ$300,G1168,H1168)</f>
        <v>6</v>
      </c>
      <c r="O1168" s="0" t="n">
        <f aca="false">IF(N1168="","",IFERROR(VALUE(SUBSTITUTE(SUBSTITUTE(N1168," btl",""),".","")),""))</f>
        <v>6</v>
      </c>
      <c r="P1168" s="0" t="str">
        <f aca="false">IF(B1168="PRODUKSI","produced","reject")</f>
        <v>reject</v>
      </c>
    </row>
    <row r="1169" customFormat="false" ht="15" hidden="false" customHeight="false" outlineLevel="0" collapsed="false">
      <c r="A1169" s="0" t="n">
        <v>1168</v>
      </c>
      <c r="B1169" s="0" t="str">
        <f aca="false">IF(A1169&lt;=36*25,"PRODUKSI","REJECT")</f>
        <v>REJECT</v>
      </c>
      <c r="C1169" s="0" t="n">
        <f aca="false">MOD(A1169-1,Pemetaan!$B$3*Pemetaan!$B$4)</f>
        <v>267</v>
      </c>
      <c r="D1169" s="0" t="n">
        <f aca="false">INT(C1169/Pemetaan!$B$4)</f>
        <v>10</v>
      </c>
      <c r="E1169" s="0" t="n">
        <f aca="false">MOD(C1169,Pemetaan!$B$4)</f>
        <v>17</v>
      </c>
      <c r="F1169" s="0" t="n">
        <f aca="false">IF(B1169="PRODUKSI",Pemetaan!$B$5,Pemetaan!$B$6)</f>
        <v>46</v>
      </c>
      <c r="G1169" s="0" t="n">
        <f aca="false">F1169+2+D1169</f>
        <v>58</v>
      </c>
      <c r="H1169" s="0" t="n">
        <f aca="false">Pemetaan!$B$2+E1169</f>
        <v>22</v>
      </c>
      <c r="I1169" s="0" t="str">
        <f aca="false">INDEX(Laporan!$A$1:$AZ$300,G1169,1)</f>
        <v>Water Treatment</v>
      </c>
      <c r="J1169" s="0" t="str">
        <f aca="false">INDEX(Laporan!$A$1:$AZ$300,G1169,2)</f>
        <v>600 ml</v>
      </c>
      <c r="K1169" s="0" t="str">
        <f aca="false">INDEX(Laporan!$A$1:$AZ$300,G1169,3)</f>
        <v>Shift 2</v>
      </c>
      <c r="L1169" s="0" t="n">
        <f aca="false">INDEX(Laporan!$A$1:$AZ$300,G1169,4)</f>
        <v>2</v>
      </c>
      <c r="M1169" s="1" t="n">
        <f aca="false">DATE(Pemetaan!$B$1,VALUE(RIGHT(INDEX(Laporan!$A$1:$AZ$300,F1169+1,H1169),2)),VALUE(LEFT(INDEX(Laporan!$A$1:$AZ$300,F1169+1,H1169),2)))</f>
        <v>46106</v>
      </c>
      <c r="N1169" s="0" t="n">
        <f aca="false">INDEX(Laporan!$A$1:$AZ$300,G1169,H1169)</f>
        <v>10</v>
      </c>
      <c r="O1169" s="0" t="n">
        <f aca="false">IF(N1169="","",IFERROR(VALUE(SUBSTITUTE(SUBSTITUTE(N1169," btl",""),".","")),""))</f>
        <v>10</v>
      </c>
      <c r="P1169" s="0" t="str">
        <f aca="false">IF(B1169="PRODUKSI","produced","reject")</f>
        <v>reject</v>
      </c>
    </row>
    <row r="1170" customFormat="false" ht="15" hidden="false" customHeight="false" outlineLevel="0" collapsed="false">
      <c r="A1170" s="0" t="n">
        <v>1169</v>
      </c>
      <c r="B1170" s="0" t="str">
        <f aca="false">IF(A1170&lt;=36*25,"PRODUKSI","REJECT")</f>
        <v>REJECT</v>
      </c>
      <c r="C1170" s="0" t="n">
        <f aca="false">MOD(A1170-1,Pemetaan!$B$3*Pemetaan!$B$4)</f>
        <v>268</v>
      </c>
      <c r="D1170" s="0" t="n">
        <f aca="false">INT(C1170/Pemetaan!$B$4)</f>
        <v>10</v>
      </c>
      <c r="E1170" s="0" t="n">
        <f aca="false">MOD(C1170,Pemetaan!$B$4)</f>
        <v>18</v>
      </c>
      <c r="F1170" s="0" t="n">
        <f aca="false">IF(B1170="PRODUKSI",Pemetaan!$B$5,Pemetaan!$B$6)</f>
        <v>46</v>
      </c>
      <c r="G1170" s="0" t="n">
        <f aca="false">F1170+2+D1170</f>
        <v>58</v>
      </c>
      <c r="H1170" s="0" t="n">
        <f aca="false">Pemetaan!$B$2+E1170</f>
        <v>23</v>
      </c>
      <c r="I1170" s="0" t="str">
        <f aca="false">INDEX(Laporan!$A$1:$AZ$300,G1170,1)</f>
        <v>Water Treatment</v>
      </c>
      <c r="J1170" s="0" t="str">
        <f aca="false">INDEX(Laporan!$A$1:$AZ$300,G1170,2)</f>
        <v>600 ml</v>
      </c>
      <c r="K1170" s="0" t="str">
        <f aca="false">INDEX(Laporan!$A$1:$AZ$300,G1170,3)</f>
        <v>Shift 2</v>
      </c>
      <c r="L1170" s="0" t="n">
        <f aca="false">INDEX(Laporan!$A$1:$AZ$300,G1170,4)</f>
        <v>2</v>
      </c>
      <c r="M1170" s="1" t="n">
        <f aca="false">DATE(Pemetaan!$B$1,VALUE(RIGHT(INDEX(Laporan!$A$1:$AZ$300,F1170+1,H1170),2)),VALUE(LEFT(INDEX(Laporan!$A$1:$AZ$300,F1170+1,H1170),2)))</f>
        <v>46107</v>
      </c>
      <c r="N1170" s="0" t="n">
        <f aca="false">INDEX(Laporan!$A$1:$AZ$300,G1170,H1170)</f>
        <v>13</v>
      </c>
      <c r="O1170" s="0" t="n">
        <f aca="false">IF(N1170="","",IFERROR(VALUE(SUBSTITUTE(SUBSTITUTE(N1170," btl",""),".","")),""))</f>
        <v>13</v>
      </c>
      <c r="P1170" s="0" t="str">
        <f aca="false">IF(B1170="PRODUKSI","produced","reject")</f>
        <v>reject</v>
      </c>
    </row>
    <row r="1171" customFormat="false" ht="15" hidden="false" customHeight="false" outlineLevel="0" collapsed="false">
      <c r="A1171" s="0" t="n">
        <v>1170</v>
      </c>
      <c r="B1171" s="0" t="str">
        <f aca="false">IF(A1171&lt;=36*25,"PRODUKSI","REJECT")</f>
        <v>REJECT</v>
      </c>
      <c r="C1171" s="0" t="n">
        <f aca="false">MOD(A1171-1,Pemetaan!$B$3*Pemetaan!$B$4)</f>
        <v>269</v>
      </c>
      <c r="D1171" s="0" t="n">
        <f aca="false">INT(C1171/Pemetaan!$B$4)</f>
        <v>10</v>
      </c>
      <c r="E1171" s="0" t="n">
        <f aca="false">MOD(C1171,Pemetaan!$B$4)</f>
        <v>19</v>
      </c>
      <c r="F1171" s="0" t="n">
        <f aca="false">IF(B1171="PRODUKSI",Pemetaan!$B$5,Pemetaan!$B$6)</f>
        <v>46</v>
      </c>
      <c r="G1171" s="0" t="n">
        <f aca="false">F1171+2+D1171</f>
        <v>58</v>
      </c>
      <c r="H1171" s="0" t="n">
        <f aca="false">Pemetaan!$B$2+E1171</f>
        <v>24</v>
      </c>
      <c r="I1171" s="0" t="str">
        <f aca="false">INDEX(Laporan!$A$1:$AZ$300,G1171,1)</f>
        <v>Water Treatment</v>
      </c>
      <c r="J1171" s="0" t="str">
        <f aca="false">INDEX(Laporan!$A$1:$AZ$300,G1171,2)</f>
        <v>600 ml</v>
      </c>
      <c r="K1171" s="0" t="str">
        <f aca="false">INDEX(Laporan!$A$1:$AZ$300,G1171,3)</f>
        <v>Shift 2</v>
      </c>
      <c r="L1171" s="0" t="n">
        <f aca="false">INDEX(Laporan!$A$1:$AZ$300,G1171,4)</f>
        <v>2</v>
      </c>
      <c r="M1171" s="1" t="n">
        <f aca="false">DATE(Pemetaan!$B$1,VALUE(RIGHT(INDEX(Laporan!$A$1:$AZ$300,F1171+1,H1171),2)),VALUE(LEFT(INDEX(Laporan!$A$1:$AZ$300,F1171+1,H1171),2)))</f>
        <v>46108</v>
      </c>
      <c r="N1171" s="0" t="n">
        <f aca="false">INDEX(Laporan!$A$1:$AZ$300,G1171,H1171)</f>
        <v>12</v>
      </c>
      <c r="O1171" s="0" t="n">
        <f aca="false">IF(N1171="","",IFERROR(VALUE(SUBSTITUTE(SUBSTITUTE(N1171," btl",""),".","")),""))</f>
        <v>12</v>
      </c>
      <c r="P1171" s="0" t="str">
        <f aca="false">IF(B1171="PRODUKSI","produced","reject")</f>
        <v>reject</v>
      </c>
    </row>
    <row r="1172" customFormat="false" ht="15" hidden="false" customHeight="false" outlineLevel="0" collapsed="false">
      <c r="A1172" s="0" t="n">
        <v>1171</v>
      </c>
      <c r="B1172" s="0" t="str">
        <f aca="false">IF(A1172&lt;=36*25,"PRODUKSI","REJECT")</f>
        <v>REJECT</v>
      </c>
      <c r="C1172" s="0" t="n">
        <f aca="false">MOD(A1172-1,Pemetaan!$B$3*Pemetaan!$B$4)</f>
        <v>270</v>
      </c>
      <c r="D1172" s="0" t="n">
        <f aca="false">INT(C1172/Pemetaan!$B$4)</f>
        <v>10</v>
      </c>
      <c r="E1172" s="0" t="n">
        <f aca="false">MOD(C1172,Pemetaan!$B$4)</f>
        <v>20</v>
      </c>
      <c r="F1172" s="0" t="n">
        <f aca="false">IF(B1172="PRODUKSI",Pemetaan!$B$5,Pemetaan!$B$6)</f>
        <v>46</v>
      </c>
      <c r="G1172" s="0" t="n">
        <f aca="false">F1172+2+D1172</f>
        <v>58</v>
      </c>
      <c r="H1172" s="0" t="n">
        <f aca="false">Pemetaan!$B$2+E1172</f>
        <v>25</v>
      </c>
      <c r="I1172" s="0" t="str">
        <f aca="false">INDEX(Laporan!$A$1:$AZ$300,G1172,1)</f>
        <v>Water Treatment</v>
      </c>
      <c r="J1172" s="0" t="str">
        <f aca="false">INDEX(Laporan!$A$1:$AZ$300,G1172,2)</f>
        <v>600 ml</v>
      </c>
      <c r="K1172" s="0" t="str">
        <f aca="false">INDEX(Laporan!$A$1:$AZ$300,G1172,3)</f>
        <v>Shift 2</v>
      </c>
      <c r="L1172" s="0" t="n">
        <f aca="false">INDEX(Laporan!$A$1:$AZ$300,G1172,4)</f>
        <v>2</v>
      </c>
      <c r="M1172" s="1" t="n">
        <f aca="false">DATE(Pemetaan!$B$1,VALUE(RIGHT(INDEX(Laporan!$A$1:$AZ$300,F1172+1,H1172),2)),VALUE(LEFT(INDEX(Laporan!$A$1:$AZ$300,F1172+1,H1172),2)))</f>
        <v>46111</v>
      </c>
      <c r="N1172" s="0" t="n">
        <f aca="false">INDEX(Laporan!$A$1:$AZ$300,G1172,H1172)</f>
        <v>9</v>
      </c>
      <c r="O1172" s="0" t="n">
        <f aca="false">IF(N1172="","",IFERROR(VALUE(SUBSTITUTE(SUBSTITUTE(N1172," btl",""),".","")),""))</f>
        <v>9</v>
      </c>
      <c r="P1172" s="0" t="str">
        <f aca="false">IF(B1172="PRODUKSI","produced","reject")</f>
        <v>reject</v>
      </c>
    </row>
    <row r="1173" customFormat="false" ht="15" hidden="false" customHeight="false" outlineLevel="0" collapsed="false">
      <c r="A1173" s="0" t="n">
        <v>1172</v>
      </c>
      <c r="B1173" s="0" t="str">
        <f aca="false">IF(A1173&lt;=36*25,"PRODUKSI","REJECT")</f>
        <v>REJECT</v>
      </c>
      <c r="C1173" s="0" t="n">
        <f aca="false">MOD(A1173-1,Pemetaan!$B$3*Pemetaan!$B$4)</f>
        <v>271</v>
      </c>
      <c r="D1173" s="0" t="n">
        <f aca="false">INT(C1173/Pemetaan!$B$4)</f>
        <v>10</v>
      </c>
      <c r="E1173" s="0" t="n">
        <f aca="false">MOD(C1173,Pemetaan!$B$4)</f>
        <v>21</v>
      </c>
      <c r="F1173" s="0" t="n">
        <f aca="false">IF(B1173="PRODUKSI",Pemetaan!$B$5,Pemetaan!$B$6)</f>
        <v>46</v>
      </c>
      <c r="G1173" s="0" t="n">
        <f aca="false">F1173+2+D1173</f>
        <v>58</v>
      </c>
      <c r="H1173" s="0" t="n">
        <f aca="false">Pemetaan!$B$2+E1173</f>
        <v>26</v>
      </c>
      <c r="I1173" s="0" t="str">
        <f aca="false">INDEX(Laporan!$A$1:$AZ$300,G1173,1)</f>
        <v>Water Treatment</v>
      </c>
      <c r="J1173" s="0" t="str">
        <f aca="false">INDEX(Laporan!$A$1:$AZ$300,G1173,2)</f>
        <v>600 ml</v>
      </c>
      <c r="K1173" s="0" t="str">
        <f aca="false">INDEX(Laporan!$A$1:$AZ$300,G1173,3)</f>
        <v>Shift 2</v>
      </c>
      <c r="L1173" s="0" t="n">
        <f aca="false">INDEX(Laporan!$A$1:$AZ$300,G1173,4)</f>
        <v>2</v>
      </c>
      <c r="M1173" s="1" t="n">
        <f aca="false">DATE(Pemetaan!$B$1,VALUE(RIGHT(INDEX(Laporan!$A$1:$AZ$300,F1173+1,H1173),2)),VALUE(LEFT(INDEX(Laporan!$A$1:$AZ$300,F1173+1,H1173),2)))</f>
        <v>46112</v>
      </c>
      <c r="N1173" s="0" t="n">
        <f aca="false">INDEX(Laporan!$A$1:$AZ$300,G1173,H1173)</f>
        <v>12</v>
      </c>
      <c r="O1173" s="0" t="n">
        <f aca="false">IF(N1173="","",IFERROR(VALUE(SUBSTITUTE(SUBSTITUTE(N1173," btl",""),".","")),""))</f>
        <v>12</v>
      </c>
      <c r="P1173" s="0" t="str">
        <f aca="false">IF(B1173="PRODUKSI","produced","reject")</f>
        <v>reject</v>
      </c>
    </row>
    <row r="1174" customFormat="false" ht="15" hidden="false" customHeight="false" outlineLevel="0" collapsed="false">
      <c r="A1174" s="0" t="n">
        <v>1173</v>
      </c>
      <c r="B1174" s="0" t="str">
        <f aca="false">IF(A1174&lt;=36*25,"PRODUKSI","REJECT")</f>
        <v>REJECT</v>
      </c>
      <c r="C1174" s="0" t="n">
        <f aca="false">MOD(A1174-1,Pemetaan!$B$3*Pemetaan!$B$4)</f>
        <v>272</v>
      </c>
      <c r="D1174" s="0" t="n">
        <f aca="false">INT(C1174/Pemetaan!$B$4)</f>
        <v>10</v>
      </c>
      <c r="E1174" s="0" t="n">
        <f aca="false">MOD(C1174,Pemetaan!$B$4)</f>
        <v>22</v>
      </c>
      <c r="F1174" s="0" t="n">
        <f aca="false">IF(B1174="PRODUKSI",Pemetaan!$B$5,Pemetaan!$B$6)</f>
        <v>46</v>
      </c>
      <c r="G1174" s="0" t="n">
        <f aca="false">F1174+2+D1174</f>
        <v>58</v>
      </c>
      <c r="H1174" s="0" t="n">
        <f aca="false">Pemetaan!$B$2+E1174</f>
        <v>27</v>
      </c>
      <c r="I1174" s="0" t="str">
        <f aca="false">INDEX(Laporan!$A$1:$AZ$300,G1174,1)</f>
        <v>Water Treatment</v>
      </c>
      <c r="J1174" s="0" t="str">
        <f aca="false">INDEX(Laporan!$A$1:$AZ$300,G1174,2)</f>
        <v>600 ml</v>
      </c>
      <c r="K1174" s="0" t="str">
        <f aca="false">INDEX(Laporan!$A$1:$AZ$300,G1174,3)</f>
        <v>Shift 2</v>
      </c>
      <c r="L1174" s="0" t="n">
        <f aca="false">INDEX(Laporan!$A$1:$AZ$300,G1174,4)</f>
        <v>2</v>
      </c>
      <c r="M1174" s="1" t="n">
        <f aca="false">DATE(Pemetaan!$B$1,VALUE(RIGHT(INDEX(Laporan!$A$1:$AZ$300,F1174+1,H1174),2)),VALUE(LEFT(INDEX(Laporan!$A$1:$AZ$300,F1174+1,H1174),2)))</f>
        <v>46113</v>
      </c>
      <c r="N1174" s="0" t="n">
        <f aca="false">INDEX(Laporan!$A$1:$AZ$300,G1174,H1174)</f>
        <v>14</v>
      </c>
      <c r="O1174" s="0" t="n">
        <f aca="false">IF(N1174="","",IFERROR(VALUE(SUBSTITUTE(SUBSTITUTE(N1174," btl",""),".","")),""))</f>
        <v>14</v>
      </c>
      <c r="P1174" s="0" t="str">
        <f aca="false">IF(B1174="PRODUKSI","produced","reject")</f>
        <v>reject</v>
      </c>
    </row>
    <row r="1175" customFormat="false" ht="15" hidden="false" customHeight="false" outlineLevel="0" collapsed="false">
      <c r="A1175" s="0" t="n">
        <v>1174</v>
      </c>
      <c r="B1175" s="0" t="str">
        <f aca="false">IF(A1175&lt;=36*25,"PRODUKSI","REJECT")</f>
        <v>REJECT</v>
      </c>
      <c r="C1175" s="0" t="n">
        <f aca="false">MOD(A1175-1,Pemetaan!$B$3*Pemetaan!$B$4)</f>
        <v>273</v>
      </c>
      <c r="D1175" s="0" t="n">
        <f aca="false">INT(C1175/Pemetaan!$B$4)</f>
        <v>10</v>
      </c>
      <c r="E1175" s="0" t="n">
        <f aca="false">MOD(C1175,Pemetaan!$B$4)</f>
        <v>23</v>
      </c>
      <c r="F1175" s="0" t="n">
        <f aca="false">IF(B1175="PRODUKSI",Pemetaan!$B$5,Pemetaan!$B$6)</f>
        <v>46</v>
      </c>
      <c r="G1175" s="0" t="n">
        <f aca="false">F1175+2+D1175</f>
        <v>58</v>
      </c>
      <c r="H1175" s="0" t="n">
        <f aca="false">Pemetaan!$B$2+E1175</f>
        <v>28</v>
      </c>
      <c r="I1175" s="0" t="str">
        <f aca="false">INDEX(Laporan!$A$1:$AZ$300,G1175,1)</f>
        <v>Water Treatment</v>
      </c>
      <c r="J1175" s="0" t="str">
        <f aca="false">INDEX(Laporan!$A$1:$AZ$300,G1175,2)</f>
        <v>600 ml</v>
      </c>
      <c r="K1175" s="0" t="str">
        <f aca="false">INDEX(Laporan!$A$1:$AZ$300,G1175,3)</f>
        <v>Shift 2</v>
      </c>
      <c r="L1175" s="0" t="n">
        <f aca="false">INDEX(Laporan!$A$1:$AZ$300,G1175,4)</f>
        <v>2</v>
      </c>
      <c r="M1175" s="1" t="n">
        <f aca="false">DATE(Pemetaan!$B$1,VALUE(RIGHT(INDEX(Laporan!$A$1:$AZ$300,F1175+1,H1175),2)),VALUE(LEFT(INDEX(Laporan!$A$1:$AZ$300,F1175+1,H1175),2)))</f>
        <v>46114</v>
      </c>
      <c r="N1175" s="0" t="n">
        <f aca="false">INDEX(Laporan!$A$1:$AZ$300,G1175,H1175)</f>
        <v>14</v>
      </c>
      <c r="O1175" s="0" t="n">
        <f aca="false">IF(N1175="","",IFERROR(VALUE(SUBSTITUTE(SUBSTITUTE(N1175," btl",""),".","")),""))</f>
        <v>14</v>
      </c>
      <c r="P1175" s="0" t="str">
        <f aca="false">IF(B1175="PRODUKSI","produced","reject")</f>
        <v>reject</v>
      </c>
    </row>
    <row r="1176" customFormat="false" ht="15" hidden="false" customHeight="false" outlineLevel="0" collapsed="false">
      <c r="A1176" s="0" t="n">
        <v>1175</v>
      </c>
      <c r="B1176" s="0" t="str">
        <f aca="false">IF(A1176&lt;=36*25,"PRODUKSI","REJECT")</f>
        <v>REJECT</v>
      </c>
      <c r="C1176" s="0" t="n">
        <f aca="false">MOD(A1176-1,Pemetaan!$B$3*Pemetaan!$B$4)</f>
        <v>274</v>
      </c>
      <c r="D1176" s="0" t="n">
        <f aca="false">INT(C1176/Pemetaan!$B$4)</f>
        <v>10</v>
      </c>
      <c r="E1176" s="0" t="n">
        <f aca="false">MOD(C1176,Pemetaan!$B$4)</f>
        <v>24</v>
      </c>
      <c r="F1176" s="0" t="n">
        <f aca="false">IF(B1176="PRODUKSI",Pemetaan!$B$5,Pemetaan!$B$6)</f>
        <v>46</v>
      </c>
      <c r="G1176" s="0" t="n">
        <f aca="false">F1176+2+D1176</f>
        <v>58</v>
      </c>
      <c r="H1176" s="0" t="n">
        <f aca="false">Pemetaan!$B$2+E1176</f>
        <v>29</v>
      </c>
      <c r="I1176" s="0" t="str">
        <f aca="false">INDEX(Laporan!$A$1:$AZ$300,G1176,1)</f>
        <v>Water Treatment</v>
      </c>
      <c r="J1176" s="0" t="str">
        <f aca="false">INDEX(Laporan!$A$1:$AZ$300,G1176,2)</f>
        <v>600 ml</v>
      </c>
      <c r="K1176" s="0" t="str">
        <f aca="false">INDEX(Laporan!$A$1:$AZ$300,G1176,3)</f>
        <v>Shift 2</v>
      </c>
      <c r="L1176" s="0" t="n">
        <f aca="false">INDEX(Laporan!$A$1:$AZ$300,G1176,4)</f>
        <v>2</v>
      </c>
      <c r="M1176" s="1" t="n">
        <f aca="false">DATE(Pemetaan!$B$1,VALUE(RIGHT(INDEX(Laporan!$A$1:$AZ$300,F1176+1,H1176),2)),VALUE(LEFT(INDEX(Laporan!$A$1:$AZ$300,F1176+1,H1176),2)))</f>
        <v>46115</v>
      </c>
      <c r="N1176" s="0" t="n">
        <f aca="false">INDEX(Laporan!$A$1:$AZ$300,G1176,H1176)</f>
        <v>11</v>
      </c>
      <c r="O1176" s="0" t="n">
        <f aca="false">IF(N1176="","",IFERROR(VALUE(SUBSTITUTE(SUBSTITUTE(N1176," btl",""),".","")),""))</f>
        <v>11</v>
      </c>
      <c r="P1176" s="0" t="str">
        <f aca="false">IF(B1176="PRODUKSI","produced","reject")</f>
        <v>reject</v>
      </c>
    </row>
    <row r="1177" customFormat="false" ht="15" hidden="false" customHeight="false" outlineLevel="0" collapsed="false">
      <c r="A1177" s="0" t="n">
        <v>1176</v>
      </c>
      <c r="B1177" s="0" t="str">
        <f aca="false">IF(A1177&lt;=36*25,"PRODUKSI","REJECT")</f>
        <v>REJECT</v>
      </c>
      <c r="C1177" s="0" t="n">
        <f aca="false">MOD(A1177-1,Pemetaan!$B$3*Pemetaan!$B$4)</f>
        <v>275</v>
      </c>
      <c r="D1177" s="0" t="n">
        <f aca="false">INT(C1177/Pemetaan!$B$4)</f>
        <v>11</v>
      </c>
      <c r="E1177" s="0" t="n">
        <f aca="false">MOD(C1177,Pemetaan!$B$4)</f>
        <v>0</v>
      </c>
      <c r="F1177" s="0" t="n">
        <f aca="false">IF(B1177="PRODUKSI",Pemetaan!$B$5,Pemetaan!$B$6)</f>
        <v>46</v>
      </c>
      <c r="G1177" s="0" t="n">
        <f aca="false">F1177+2+D1177</f>
        <v>59</v>
      </c>
      <c r="H1177" s="0" t="n">
        <f aca="false">Pemetaan!$B$2+E1177</f>
        <v>5</v>
      </c>
      <c r="I1177" s="0" t="str">
        <f aca="false">INDEX(Laporan!$A$1:$AZ$300,G1177,1)</f>
        <v>Water Treatment</v>
      </c>
      <c r="J1177" s="0" t="str">
        <f aca="false">INDEX(Laporan!$A$1:$AZ$300,G1177,2)</f>
        <v>600 ml</v>
      </c>
      <c r="K1177" s="0" t="str">
        <f aca="false">INDEX(Laporan!$A$1:$AZ$300,G1177,3)</f>
        <v>Shift 2</v>
      </c>
      <c r="L1177" s="0" t="n">
        <f aca="false">INDEX(Laporan!$A$1:$AZ$300,G1177,4)</f>
        <v>3</v>
      </c>
      <c r="M1177" s="1" t="n">
        <f aca="false">DATE(Pemetaan!$B$1,VALUE(RIGHT(INDEX(Laporan!$A$1:$AZ$300,F1177+1,H1177),2)),VALUE(LEFT(INDEX(Laporan!$A$1:$AZ$300,F1177+1,H1177),2)))</f>
        <v>46083</v>
      </c>
      <c r="N1177" s="0" t="n">
        <f aca="false">INDEX(Laporan!$A$1:$AZ$300,G1177,H1177)</f>
        <v>13</v>
      </c>
      <c r="O1177" s="0" t="n">
        <f aca="false">IF(N1177="","",IFERROR(VALUE(SUBSTITUTE(SUBSTITUTE(N1177," btl",""),".","")),""))</f>
        <v>13</v>
      </c>
      <c r="P1177" s="0" t="str">
        <f aca="false">IF(B1177="PRODUKSI","produced","reject")</f>
        <v>reject</v>
      </c>
    </row>
    <row r="1178" customFormat="false" ht="15" hidden="false" customHeight="false" outlineLevel="0" collapsed="false">
      <c r="A1178" s="0" t="n">
        <v>1177</v>
      </c>
      <c r="B1178" s="0" t="str">
        <f aca="false">IF(A1178&lt;=36*25,"PRODUKSI","REJECT")</f>
        <v>REJECT</v>
      </c>
      <c r="C1178" s="0" t="n">
        <f aca="false">MOD(A1178-1,Pemetaan!$B$3*Pemetaan!$B$4)</f>
        <v>276</v>
      </c>
      <c r="D1178" s="0" t="n">
        <f aca="false">INT(C1178/Pemetaan!$B$4)</f>
        <v>11</v>
      </c>
      <c r="E1178" s="0" t="n">
        <f aca="false">MOD(C1178,Pemetaan!$B$4)</f>
        <v>1</v>
      </c>
      <c r="F1178" s="0" t="n">
        <f aca="false">IF(B1178="PRODUKSI",Pemetaan!$B$5,Pemetaan!$B$6)</f>
        <v>46</v>
      </c>
      <c r="G1178" s="0" t="n">
        <f aca="false">F1178+2+D1178</f>
        <v>59</v>
      </c>
      <c r="H1178" s="0" t="n">
        <f aca="false">Pemetaan!$B$2+E1178</f>
        <v>6</v>
      </c>
      <c r="I1178" s="0" t="str">
        <f aca="false">INDEX(Laporan!$A$1:$AZ$300,G1178,1)</f>
        <v>Water Treatment</v>
      </c>
      <c r="J1178" s="0" t="str">
        <f aca="false">INDEX(Laporan!$A$1:$AZ$300,G1178,2)</f>
        <v>600 ml</v>
      </c>
      <c r="K1178" s="0" t="str">
        <f aca="false">INDEX(Laporan!$A$1:$AZ$300,G1178,3)</f>
        <v>Shift 2</v>
      </c>
      <c r="L1178" s="0" t="n">
        <f aca="false">INDEX(Laporan!$A$1:$AZ$300,G1178,4)</f>
        <v>3</v>
      </c>
      <c r="M1178" s="1" t="n">
        <f aca="false">DATE(Pemetaan!$B$1,VALUE(RIGHT(INDEX(Laporan!$A$1:$AZ$300,F1178+1,H1178),2)),VALUE(LEFT(INDEX(Laporan!$A$1:$AZ$300,F1178+1,H1178),2)))</f>
        <v>46084</v>
      </c>
      <c r="N1178" s="0" t="n">
        <f aca="false">INDEX(Laporan!$A$1:$AZ$300,G1178,H1178)</f>
        <v>12</v>
      </c>
      <c r="O1178" s="0" t="n">
        <f aca="false">IF(N1178="","",IFERROR(VALUE(SUBSTITUTE(SUBSTITUTE(N1178," btl",""),".","")),""))</f>
        <v>12</v>
      </c>
      <c r="P1178" s="0" t="str">
        <f aca="false">IF(B1178="PRODUKSI","produced","reject")</f>
        <v>reject</v>
      </c>
    </row>
    <row r="1179" customFormat="false" ht="15" hidden="false" customHeight="false" outlineLevel="0" collapsed="false">
      <c r="A1179" s="0" t="n">
        <v>1178</v>
      </c>
      <c r="B1179" s="0" t="str">
        <f aca="false">IF(A1179&lt;=36*25,"PRODUKSI","REJECT")</f>
        <v>REJECT</v>
      </c>
      <c r="C1179" s="0" t="n">
        <f aca="false">MOD(A1179-1,Pemetaan!$B$3*Pemetaan!$B$4)</f>
        <v>277</v>
      </c>
      <c r="D1179" s="0" t="n">
        <f aca="false">INT(C1179/Pemetaan!$B$4)</f>
        <v>11</v>
      </c>
      <c r="E1179" s="0" t="n">
        <f aca="false">MOD(C1179,Pemetaan!$B$4)</f>
        <v>2</v>
      </c>
      <c r="F1179" s="0" t="n">
        <f aca="false">IF(B1179="PRODUKSI",Pemetaan!$B$5,Pemetaan!$B$6)</f>
        <v>46</v>
      </c>
      <c r="G1179" s="0" t="n">
        <f aca="false">F1179+2+D1179</f>
        <v>59</v>
      </c>
      <c r="H1179" s="0" t="n">
        <f aca="false">Pemetaan!$B$2+E1179</f>
        <v>7</v>
      </c>
      <c r="I1179" s="0" t="str">
        <f aca="false">INDEX(Laporan!$A$1:$AZ$300,G1179,1)</f>
        <v>Water Treatment</v>
      </c>
      <c r="J1179" s="0" t="str">
        <f aca="false">INDEX(Laporan!$A$1:$AZ$300,G1179,2)</f>
        <v>600 ml</v>
      </c>
      <c r="K1179" s="0" t="str">
        <f aca="false">INDEX(Laporan!$A$1:$AZ$300,G1179,3)</f>
        <v>Shift 2</v>
      </c>
      <c r="L1179" s="0" t="n">
        <f aca="false">INDEX(Laporan!$A$1:$AZ$300,G1179,4)</f>
        <v>3</v>
      </c>
      <c r="M1179" s="1" t="n">
        <f aca="false">DATE(Pemetaan!$B$1,VALUE(RIGHT(INDEX(Laporan!$A$1:$AZ$300,F1179+1,H1179),2)),VALUE(LEFT(INDEX(Laporan!$A$1:$AZ$300,F1179+1,H1179),2)))</f>
        <v>46085</v>
      </c>
      <c r="N1179" s="0" t="n">
        <f aca="false">INDEX(Laporan!$A$1:$AZ$300,G1179,H1179)</f>
        <v>13</v>
      </c>
      <c r="O1179" s="0" t="n">
        <f aca="false">IF(N1179="","",IFERROR(VALUE(SUBSTITUTE(SUBSTITUTE(N1179," btl",""),".","")),""))</f>
        <v>13</v>
      </c>
      <c r="P1179" s="0" t="str">
        <f aca="false">IF(B1179="PRODUKSI","produced","reject")</f>
        <v>reject</v>
      </c>
    </row>
    <row r="1180" customFormat="false" ht="15" hidden="false" customHeight="false" outlineLevel="0" collapsed="false">
      <c r="A1180" s="0" t="n">
        <v>1179</v>
      </c>
      <c r="B1180" s="0" t="str">
        <f aca="false">IF(A1180&lt;=36*25,"PRODUKSI","REJECT")</f>
        <v>REJECT</v>
      </c>
      <c r="C1180" s="0" t="n">
        <f aca="false">MOD(A1180-1,Pemetaan!$B$3*Pemetaan!$B$4)</f>
        <v>278</v>
      </c>
      <c r="D1180" s="0" t="n">
        <f aca="false">INT(C1180/Pemetaan!$B$4)</f>
        <v>11</v>
      </c>
      <c r="E1180" s="0" t="n">
        <f aca="false">MOD(C1180,Pemetaan!$B$4)</f>
        <v>3</v>
      </c>
      <c r="F1180" s="0" t="n">
        <f aca="false">IF(B1180="PRODUKSI",Pemetaan!$B$5,Pemetaan!$B$6)</f>
        <v>46</v>
      </c>
      <c r="G1180" s="0" t="n">
        <f aca="false">F1180+2+D1180</f>
        <v>59</v>
      </c>
      <c r="H1180" s="0" t="n">
        <f aca="false">Pemetaan!$B$2+E1180</f>
        <v>8</v>
      </c>
      <c r="I1180" s="0" t="str">
        <f aca="false">INDEX(Laporan!$A$1:$AZ$300,G1180,1)</f>
        <v>Water Treatment</v>
      </c>
      <c r="J1180" s="0" t="str">
        <f aca="false">INDEX(Laporan!$A$1:$AZ$300,G1180,2)</f>
        <v>600 ml</v>
      </c>
      <c r="K1180" s="0" t="str">
        <f aca="false">INDEX(Laporan!$A$1:$AZ$300,G1180,3)</f>
        <v>Shift 2</v>
      </c>
      <c r="L1180" s="0" t="n">
        <f aca="false">INDEX(Laporan!$A$1:$AZ$300,G1180,4)</f>
        <v>3</v>
      </c>
      <c r="M1180" s="1" t="n">
        <f aca="false">DATE(Pemetaan!$B$1,VALUE(RIGHT(INDEX(Laporan!$A$1:$AZ$300,F1180+1,H1180),2)),VALUE(LEFT(INDEX(Laporan!$A$1:$AZ$300,F1180+1,H1180),2)))</f>
        <v>46086</v>
      </c>
      <c r="N1180" s="0" t="n">
        <f aca="false">INDEX(Laporan!$A$1:$AZ$300,G1180,H1180)</f>
        <v>6</v>
      </c>
      <c r="O1180" s="0" t="n">
        <f aca="false">IF(N1180="","",IFERROR(VALUE(SUBSTITUTE(SUBSTITUTE(N1180," btl",""),".","")),""))</f>
        <v>6</v>
      </c>
      <c r="P1180" s="0" t="str">
        <f aca="false">IF(B1180="PRODUKSI","produced","reject")</f>
        <v>reject</v>
      </c>
    </row>
    <row r="1181" customFormat="false" ht="15" hidden="false" customHeight="false" outlineLevel="0" collapsed="false">
      <c r="A1181" s="0" t="n">
        <v>1180</v>
      </c>
      <c r="B1181" s="0" t="str">
        <f aca="false">IF(A1181&lt;=36*25,"PRODUKSI","REJECT")</f>
        <v>REJECT</v>
      </c>
      <c r="C1181" s="0" t="n">
        <f aca="false">MOD(A1181-1,Pemetaan!$B$3*Pemetaan!$B$4)</f>
        <v>279</v>
      </c>
      <c r="D1181" s="0" t="n">
        <f aca="false">INT(C1181/Pemetaan!$B$4)</f>
        <v>11</v>
      </c>
      <c r="E1181" s="0" t="n">
        <f aca="false">MOD(C1181,Pemetaan!$B$4)</f>
        <v>4</v>
      </c>
      <c r="F1181" s="0" t="n">
        <f aca="false">IF(B1181="PRODUKSI",Pemetaan!$B$5,Pemetaan!$B$6)</f>
        <v>46</v>
      </c>
      <c r="G1181" s="0" t="n">
        <f aca="false">F1181+2+D1181</f>
        <v>59</v>
      </c>
      <c r="H1181" s="0" t="n">
        <f aca="false">Pemetaan!$B$2+E1181</f>
        <v>9</v>
      </c>
      <c r="I1181" s="0" t="str">
        <f aca="false">INDEX(Laporan!$A$1:$AZ$300,G1181,1)</f>
        <v>Water Treatment</v>
      </c>
      <c r="J1181" s="0" t="str">
        <f aca="false">INDEX(Laporan!$A$1:$AZ$300,G1181,2)</f>
        <v>600 ml</v>
      </c>
      <c r="K1181" s="0" t="str">
        <f aca="false">INDEX(Laporan!$A$1:$AZ$300,G1181,3)</f>
        <v>Shift 2</v>
      </c>
      <c r="L1181" s="0" t="n">
        <f aca="false">INDEX(Laporan!$A$1:$AZ$300,G1181,4)</f>
        <v>3</v>
      </c>
      <c r="M1181" s="1" t="n">
        <f aca="false">DATE(Pemetaan!$B$1,VALUE(RIGHT(INDEX(Laporan!$A$1:$AZ$300,F1181+1,H1181),2)),VALUE(LEFT(INDEX(Laporan!$A$1:$AZ$300,F1181+1,H1181),2)))</f>
        <v>46087</v>
      </c>
      <c r="N1181" s="0" t="n">
        <f aca="false">INDEX(Laporan!$A$1:$AZ$300,G1181,H1181)</f>
        <v>8</v>
      </c>
      <c r="O1181" s="0" t="n">
        <f aca="false">IF(N1181="","",IFERROR(VALUE(SUBSTITUTE(SUBSTITUTE(N1181," btl",""),".","")),""))</f>
        <v>8</v>
      </c>
      <c r="P1181" s="0" t="str">
        <f aca="false">IF(B1181="PRODUKSI","produced","reject")</f>
        <v>reject</v>
      </c>
    </row>
    <row r="1182" customFormat="false" ht="15" hidden="false" customHeight="false" outlineLevel="0" collapsed="false">
      <c r="A1182" s="0" t="n">
        <v>1181</v>
      </c>
      <c r="B1182" s="0" t="str">
        <f aca="false">IF(A1182&lt;=36*25,"PRODUKSI","REJECT")</f>
        <v>REJECT</v>
      </c>
      <c r="C1182" s="0" t="n">
        <f aca="false">MOD(A1182-1,Pemetaan!$B$3*Pemetaan!$B$4)</f>
        <v>280</v>
      </c>
      <c r="D1182" s="0" t="n">
        <f aca="false">INT(C1182/Pemetaan!$B$4)</f>
        <v>11</v>
      </c>
      <c r="E1182" s="0" t="n">
        <f aca="false">MOD(C1182,Pemetaan!$B$4)</f>
        <v>5</v>
      </c>
      <c r="F1182" s="0" t="n">
        <f aca="false">IF(B1182="PRODUKSI",Pemetaan!$B$5,Pemetaan!$B$6)</f>
        <v>46</v>
      </c>
      <c r="G1182" s="0" t="n">
        <f aca="false">F1182+2+D1182</f>
        <v>59</v>
      </c>
      <c r="H1182" s="0" t="n">
        <f aca="false">Pemetaan!$B$2+E1182</f>
        <v>10</v>
      </c>
      <c r="I1182" s="0" t="str">
        <f aca="false">INDEX(Laporan!$A$1:$AZ$300,G1182,1)</f>
        <v>Water Treatment</v>
      </c>
      <c r="J1182" s="0" t="str">
        <f aca="false">INDEX(Laporan!$A$1:$AZ$300,G1182,2)</f>
        <v>600 ml</v>
      </c>
      <c r="K1182" s="0" t="str">
        <f aca="false">INDEX(Laporan!$A$1:$AZ$300,G1182,3)</f>
        <v>Shift 2</v>
      </c>
      <c r="L1182" s="0" t="n">
        <f aca="false">INDEX(Laporan!$A$1:$AZ$300,G1182,4)</f>
        <v>3</v>
      </c>
      <c r="M1182" s="1" t="n">
        <f aca="false">DATE(Pemetaan!$B$1,VALUE(RIGHT(INDEX(Laporan!$A$1:$AZ$300,F1182+1,H1182),2)),VALUE(LEFT(INDEX(Laporan!$A$1:$AZ$300,F1182+1,H1182),2)))</f>
        <v>46090</v>
      </c>
      <c r="N1182" s="0" t="n">
        <f aca="false">INDEX(Laporan!$A$1:$AZ$300,G1182,H1182)</f>
        <v>10</v>
      </c>
      <c r="O1182" s="0" t="n">
        <f aca="false">IF(N1182="","",IFERROR(VALUE(SUBSTITUTE(SUBSTITUTE(N1182," btl",""),".","")),""))</f>
        <v>10</v>
      </c>
      <c r="P1182" s="0" t="str">
        <f aca="false">IF(B1182="PRODUKSI","produced","reject")</f>
        <v>reject</v>
      </c>
    </row>
    <row r="1183" customFormat="false" ht="15" hidden="false" customHeight="false" outlineLevel="0" collapsed="false">
      <c r="A1183" s="0" t="n">
        <v>1182</v>
      </c>
      <c r="B1183" s="0" t="str">
        <f aca="false">IF(A1183&lt;=36*25,"PRODUKSI","REJECT")</f>
        <v>REJECT</v>
      </c>
      <c r="C1183" s="0" t="n">
        <f aca="false">MOD(A1183-1,Pemetaan!$B$3*Pemetaan!$B$4)</f>
        <v>281</v>
      </c>
      <c r="D1183" s="0" t="n">
        <f aca="false">INT(C1183/Pemetaan!$B$4)</f>
        <v>11</v>
      </c>
      <c r="E1183" s="0" t="n">
        <f aca="false">MOD(C1183,Pemetaan!$B$4)</f>
        <v>6</v>
      </c>
      <c r="F1183" s="0" t="n">
        <f aca="false">IF(B1183="PRODUKSI",Pemetaan!$B$5,Pemetaan!$B$6)</f>
        <v>46</v>
      </c>
      <c r="G1183" s="0" t="n">
        <f aca="false">F1183+2+D1183</f>
        <v>59</v>
      </c>
      <c r="H1183" s="0" t="n">
        <f aca="false">Pemetaan!$B$2+E1183</f>
        <v>11</v>
      </c>
      <c r="I1183" s="0" t="str">
        <f aca="false">INDEX(Laporan!$A$1:$AZ$300,G1183,1)</f>
        <v>Water Treatment</v>
      </c>
      <c r="J1183" s="0" t="str">
        <f aca="false">INDEX(Laporan!$A$1:$AZ$300,G1183,2)</f>
        <v>600 ml</v>
      </c>
      <c r="K1183" s="0" t="str">
        <f aca="false">INDEX(Laporan!$A$1:$AZ$300,G1183,3)</f>
        <v>Shift 2</v>
      </c>
      <c r="L1183" s="0" t="n">
        <f aca="false">INDEX(Laporan!$A$1:$AZ$300,G1183,4)</f>
        <v>3</v>
      </c>
      <c r="M1183" s="1" t="n">
        <f aca="false">DATE(Pemetaan!$B$1,VALUE(RIGHT(INDEX(Laporan!$A$1:$AZ$300,F1183+1,H1183),2)),VALUE(LEFT(INDEX(Laporan!$A$1:$AZ$300,F1183+1,H1183),2)))</f>
        <v>46091</v>
      </c>
      <c r="N1183" s="0" t="n">
        <f aca="false">INDEX(Laporan!$A$1:$AZ$300,G1183,H1183)</f>
        <v>13</v>
      </c>
      <c r="O1183" s="0" t="n">
        <f aca="false">IF(N1183="","",IFERROR(VALUE(SUBSTITUTE(SUBSTITUTE(N1183," btl",""),".","")),""))</f>
        <v>13</v>
      </c>
      <c r="P1183" s="0" t="str">
        <f aca="false">IF(B1183="PRODUKSI","produced","reject")</f>
        <v>reject</v>
      </c>
    </row>
    <row r="1184" customFormat="false" ht="15" hidden="false" customHeight="false" outlineLevel="0" collapsed="false">
      <c r="A1184" s="0" t="n">
        <v>1183</v>
      </c>
      <c r="B1184" s="0" t="str">
        <f aca="false">IF(A1184&lt;=36*25,"PRODUKSI","REJECT")</f>
        <v>REJECT</v>
      </c>
      <c r="C1184" s="0" t="n">
        <f aca="false">MOD(A1184-1,Pemetaan!$B$3*Pemetaan!$B$4)</f>
        <v>282</v>
      </c>
      <c r="D1184" s="0" t="n">
        <f aca="false">INT(C1184/Pemetaan!$B$4)</f>
        <v>11</v>
      </c>
      <c r="E1184" s="0" t="n">
        <f aca="false">MOD(C1184,Pemetaan!$B$4)</f>
        <v>7</v>
      </c>
      <c r="F1184" s="0" t="n">
        <f aca="false">IF(B1184="PRODUKSI",Pemetaan!$B$5,Pemetaan!$B$6)</f>
        <v>46</v>
      </c>
      <c r="G1184" s="0" t="n">
        <f aca="false">F1184+2+D1184</f>
        <v>59</v>
      </c>
      <c r="H1184" s="0" t="n">
        <f aca="false">Pemetaan!$B$2+E1184</f>
        <v>12</v>
      </c>
      <c r="I1184" s="0" t="str">
        <f aca="false">INDEX(Laporan!$A$1:$AZ$300,G1184,1)</f>
        <v>Water Treatment</v>
      </c>
      <c r="J1184" s="0" t="str">
        <f aca="false">INDEX(Laporan!$A$1:$AZ$300,G1184,2)</f>
        <v>600 ml</v>
      </c>
      <c r="K1184" s="0" t="str">
        <f aca="false">INDEX(Laporan!$A$1:$AZ$300,G1184,3)</f>
        <v>Shift 2</v>
      </c>
      <c r="L1184" s="0" t="n">
        <f aca="false">INDEX(Laporan!$A$1:$AZ$300,G1184,4)</f>
        <v>3</v>
      </c>
      <c r="M1184" s="1" t="n">
        <f aca="false">DATE(Pemetaan!$B$1,VALUE(RIGHT(INDEX(Laporan!$A$1:$AZ$300,F1184+1,H1184),2)),VALUE(LEFT(INDEX(Laporan!$A$1:$AZ$300,F1184+1,H1184),2)))</f>
        <v>46092</v>
      </c>
      <c r="N1184" s="0" t="n">
        <f aca="false">INDEX(Laporan!$A$1:$AZ$300,G1184,H1184)</f>
        <v>11</v>
      </c>
      <c r="O1184" s="0" t="n">
        <f aca="false">IF(N1184="","",IFERROR(VALUE(SUBSTITUTE(SUBSTITUTE(N1184," btl",""),".","")),""))</f>
        <v>11</v>
      </c>
      <c r="P1184" s="0" t="str">
        <f aca="false">IF(B1184="PRODUKSI","produced","reject")</f>
        <v>reject</v>
      </c>
    </row>
    <row r="1185" customFormat="false" ht="15" hidden="false" customHeight="false" outlineLevel="0" collapsed="false">
      <c r="A1185" s="0" t="n">
        <v>1184</v>
      </c>
      <c r="B1185" s="0" t="str">
        <f aca="false">IF(A1185&lt;=36*25,"PRODUKSI","REJECT")</f>
        <v>REJECT</v>
      </c>
      <c r="C1185" s="0" t="n">
        <f aca="false">MOD(A1185-1,Pemetaan!$B$3*Pemetaan!$B$4)</f>
        <v>283</v>
      </c>
      <c r="D1185" s="0" t="n">
        <f aca="false">INT(C1185/Pemetaan!$B$4)</f>
        <v>11</v>
      </c>
      <c r="E1185" s="0" t="n">
        <f aca="false">MOD(C1185,Pemetaan!$B$4)</f>
        <v>8</v>
      </c>
      <c r="F1185" s="0" t="n">
        <f aca="false">IF(B1185="PRODUKSI",Pemetaan!$B$5,Pemetaan!$B$6)</f>
        <v>46</v>
      </c>
      <c r="G1185" s="0" t="n">
        <f aca="false">F1185+2+D1185</f>
        <v>59</v>
      </c>
      <c r="H1185" s="0" t="n">
        <f aca="false">Pemetaan!$B$2+E1185</f>
        <v>13</v>
      </c>
      <c r="I1185" s="0" t="str">
        <f aca="false">INDEX(Laporan!$A$1:$AZ$300,G1185,1)</f>
        <v>Water Treatment</v>
      </c>
      <c r="J1185" s="0" t="str">
        <f aca="false">INDEX(Laporan!$A$1:$AZ$300,G1185,2)</f>
        <v>600 ml</v>
      </c>
      <c r="K1185" s="0" t="str">
        <f aca="false">INDEX(Laporan!$A$1:$AZ$300,G1185,3)</f>
        <v>Shift 2</v>
      </c>
      <c r="L1185" s="0" t="n">
        <f aca="false">INDEX(Laporan!$A$1:$AZ$300,G1185,4)</f>
        <v>3</v>
      </c>
      <c r="M1185" s="1" t="n">
        <f aca="false">DATE(Pemetaan!$B$1,VALUE(RIGHT(INDEX(Laporan!$A$1:$AZ$300,F1185+1,H1185),2)),VALUE(LEFT(INDEX(Laporan!$A$1:$AZ$300,F1185+1,H1185),2)))</f>
        <v>46093</v>
      </c>
      <c r="N1185" s="0" t="n">
        <f aca="false">INDEX(Laporan!$A$1:$AZ$300,G1185,H1185)</f>
        <v>11</v>
      </c>
      <c r="O1185" s="0" t="n">
        <f aca="false">IF(N1185="","",IFERROR(VALUE(SUBSTITUTE(SUBSTITUTE(N1185," btl",""),".","")),""))</f>
        <v>11</v>
      </c>
      <c r="P1185" s="0" t="str">
        <f aca="false">IF(B1185="PRODUKSI","produced","reject")</f>
        <v>reject</v>
      </c>
    </row>
    <row r="1186" customFormat="false" ht="15" hidden="false" customHeight="false" outlineLevel="0" collapsed="false">
      <c r="A1186" s="0" t="n">
        <v>1185</v>
      </c>
      <c r="B1186" s="0" t="str">
        <f aca="false">IF(A1186&lt;=36*25,"PRODUKSI","REJECT")</f>
        <v>REJECT</v>
      </c>
      <c r="C1186" s="0" t="n">
        <f aca="false">MOD(A1186-1,Pemetaan!$B$3*Pemetaan!$B$4)</f>
        <v>284</v>
      </c>
      <c r="D1186" s="0" t="n">
        <f aca="false">INT(C1186/Pemetaan!$B$4)</f>
        <v>11</v>
      </c>
      <c r="E1186" s="0" t="n">
        <f aca="false">MOD(C1186,Pemetaan!$B$4)</f>
        <v>9</v>
      </c>
      <c r="F1186" s="0" t="n">
        <f aca="false">IF(B1186="PRODUKSI",Pemetaan!$B$5,Pemetaan!$B$6)</f>
        <v>46</v>
      </c>
      <c r="G1186" s="0" t="n">
        <f aca="false">F1186+2+D1186</f>
        <v>59</v>
      </c>
      <c r="H1186" s="0" t="n">
        <f aca="false">Pemetaan!$B$2+E1186</f>
        <v>14</v>
      </c>
      <c r="I1186" s="0" t="str">
        <f aca="false">INDEX(Laporan!$A$1:$AZ$300,G1186,1)</f>
        <v>Water Treatment</v>
      </c>
      <c r="J1186" s="0" t="str">
        <f aca="false">INDEX(Laporan!$A$1:$AZ$300,G1186,2)</f>
        <v>600 ml</v>
      </c>
      <c r="K1186" s="0" t="str">
        <f aca="false">INDEX(Laporan!$A$1:$AZ$300,G1186,3)</f>
        <v>Shift 2</v>
      </c>
      <c r="L1186" s="0" t="n">
        <f aca="false">INDEX(Laporan!$A$1:$AZ$300,G1186,4)</f>
        <v>3</v>
      </c>
      <c r="M1186" s="1" t="n">
        <f aca="false">DATE(Pemetaan!$B$1,VALUE(RIGHT(INDEX(Laporan!$A$1:$AZ$300,F1186+1,H1186),2)),VALUE(LEFT(INDEX(Laporan!$A$1:$AZ$300,F1186+1,H1186),2)))</f>
        <v>46094</v>
      </c>
      <c r="N1186" s="0" t="n">
        <f aca="false">INDEX(Laporan!$A$1:$AZ$300,G1186,H1186)</f>
        <v>11</v>
      </c>
      <c r="O1186" s="0" t="n">
        <f aca="false">IF(N1186="","",IFERROR(VALUE(SUBSTITUTE(SUBSTITUTE(N1186," btl",""),".","")),""))</f>
        <v>11</v>
      </c>
      <c r="P1186" s="0" t="str">
        <f aca="false">IF(B1186="PRODUKSI","produced","reject")</f>
        <v>reject</v>
      </c>
    </row>
    <row r="1187" customFormat="false" ht="15" hidden="false" customHeight="false" outlineLevel="0" collapsed="false">
      <c r="A1187" s="0" t="n">
        <v>1186</v>
      </c>
      <c r="B1187" s="0" t="str">
        <f aca="false">IF(A1187&lt;=36*25,"PRODUKSI","REJECT")</f>
        <v>REJECT</v>
      </c>
      <c r="C1187" s="0" t="n">
        <f aca="false">MOD(A1187-1,Pemetaan!$B$3*Pemetaan!$B$4)</f>
        <v>285</v>
      </c>
      <c r="D1187" s="0" t="n">
        <f aca="false">INT(C1187/Pemetaan!$B$4)</f>
        <v>11</v>
      </c>
      <c r="E1187" s="0" t="n">
        <f aca="false">MOD(C1187,Pemetaan!$B$4)</f>
        <v>10</v>
      </c>
      <c r="F1187" s="0" t="n">
        <f aca="false">IF(B1187="PRODUKSI",Pemetaan!$B$5,Pemetaan!$B$6)</f>
        <v>46</v>
      </c>
      <c r="G1187" s="0" t="n">
        <f aca="false">F1187+2+D1187</f>
        <v>59</v>
      </c>
      <c r="H1187" s="0" t="n">
        <f aca="false">Pemetaan!$B$2+E1187</f>
        <v>15</v>
      </c>
      <c r="I1187" s="0" t="str">
        <f aca="false">INDEX(Laporan!$A$1:$AZ$300,G1187,1)</f>
        <v>Water Treatment</v>
      </c>
      <c r="J1187" s="0" t="str">
        <f aca="false">INDEX(Laporan!$A$1:$AZ$300,G1187,2)</f>
        <v>600 ml</v>
      </c>
      <c r="K1187" s="0" t="str">
        <f aca="false">INDEX(Laporan!$A$1:$AZ$300,G1187,3)</f>
        <v>Shift 2</v>
      </c>
      <c r="L1187" s="0" t="n">
        <f aca="false">INDEX(Laporan!$A$1:$AZ$300,G1187,4)</f>
        <v>3</v>
      </c>
      <c r="M1187" s="1" t="n">
        <f aca="false">DATE(Pemetaan!$B$1,VALUE(RIGHT(INDEX(Laporan!$A$1:$AZ$300,F1187+1,H1187),2)),VALUE(LEFT(INDEX(Laporan!$A$1:$AZ$300,F1187+1,H1187),2)))</f>
        <v>46097</v>
      </c>
      <c r="N1187" s="0" t="n">
        <f aca="false">INDEX(Laporan!$A$1:$AZ$300,G1187,H1187)</f>
        <v>13</v>
      </c>
      <c r="O1187" s="0" t="n">
        <f aca="false">IF(N1187="","",IFERROR(VALUE(SUBSTITUTE(SUBSTITUTE(N1187," btl",""),".","")),""))</f>
        <v>13</v>
      </c>
      <c r="P1187" s="0" t="str">
        <f aca="false">IF(B1187="PRODUKSI","produced","reject")</f>
        <v>reject</v>
      </c>
    </row>
    <row r="1188" customFormat="false" ht="15" hidden="false" customHeight="false" outlineLevel="0" collapsed="false">
      <c r="A1188" s="0" t="n">
        <v>1187</v>
      </c>
      <c r="B1188" s="0" t="str">
        <f aca="false">IF(A1188&lt;=36*25,"PRODUKSI","REJECT")</f>
        <v>REJECT</v>
      </c>
      <c r="C1188" s="0" t="n">
        <f aca="false">MOD(A1188-1,Pemetaan!$B$3*Pemetaan!$B$4)</f>
        <v>286</v>
      </c>
      <c r="D1188" s="0" t="n">
        <f aca="false">INT(C1188/Pemetaan!$B$4)</f>
        <v>11</v>
      </c>
      <c r="E1188" s="0" t="n">
        <f aca="false">MOD(C1188,Pemetaan!$B$4)</f>
        <v>11</v>
      </c>
      <c r="F1188" s="0" t="n">
        <f aca="false">IF(B1188="PRODUKSI",Pemetaan!$B$5,Pemetaan!$B$6)</f>
        <v>46</v>
      </c>
      <c r="G1188" s="0" t="n">
        <f aca="false">F1188+2+D1188</f>
        <v>59</v>
      </c>
      <c r="H1188" s="0" t="n">
        <f aca="false">Pemetaan!$B$2+E1188</f>
        <v>16</v>
      </c>
      <c r="I1188" s="0" t="str">
        <f aca="false">INDEX(Laporan!$A$1:$AZ$300,G1188,1)</f>
        <v>Water Treatment</v>
      </c>
      <c r="J1188" s="0" t="str">
        <f aca="false">INDEX(Laporan!$A$1:$AZ$300,G1188,2)</f>
        <v>600 ml</v>
      </c>
      <c r="K1188" s="0" t="str">
        <f aca="false">INDEX(Laporan!$A$1:$AZ$300,G1188,3)</f>
        <v>Shift 2</v>
      </c>
      <c r="L1188" s="0" t="n">
        <f aca="false">INDEX(Laporan!$A$1:$AZ$300,G1188,4)</f>
        <v>3</v>
      </c>
      <c r="M1188" s="1" t="n">
        <f aca="false">DATE(Pemetaan!$B$1,VALUE(RIGHT(INDEX(Laporan!$A$1:$AZ$300,F1188+1,H1188),2)),VALUE(LEFT(INDEX(Laporan!$A$1:$AZ$300,F1188+1,H1188),2)))</f>
        <v>46098</v>
      </c>
      <c r="N1188" s="0" t="n">
        <f aca="false">INDEX(Laporan!$A$1:$AZ$300,G1188,H1188)</f>
        <v>11</v>
      </c>
      <c r="O1188" s="0" t="n">
        <f aca="false">IF(N1188="","",IFERROR(VALUE(SUBSTITUTE(SUBSTITUTE(N1188," btl",""),".","")),""))</f>
        <v>11</v>
      </c>
      <c r="P1188" s="0" t="str">
        <f aca="false">IF(B1188="PRODUKSI","produced","reject")</f>
        <v>reject</v>
      </c>
    </row>
    <row r="1189" customFormat="false" ht="15" hidden="false" customHeight="false" outlineLevel="0" collapsed="false">
      <c r="A1189" s="0" t="n">
        <v>1188</v>
      </c>
      <c r="B1189" s="0" t="str">
        <f aca="false">IF(A1189&lt;=36*25,"PRODUKSI","REJECT")</f>
        <v>REJECT</v>
      </c>
      <c r="C1189" s="0" t="n">
        <f aca="false">MOD(A1189-1,Pemetaan!$B$3*Pemetaan!$B$4)</f>
        <v>287</v>
      </c>
      <c r="D1189" s="0" t="n">
        <f aca="false">INT(C1189/Pemetaan!$B$4)</f>
        <v>11</v>
      </c>
      <c r="E1189" s="0" t="n">
        <f aca="false">MOD(C1189,Pemetaan!$B$4)</f>
        <v>12</v>
      </c>
      <c r="F1189" s="0" t="n">
        <f aca="false">IF(B1189="PRODUKSI",Pemetaan!$B$5,Pemetaan!$B$6)</f>
        <v>46</v>
      </c>
      <c r="G1189" s="0" t="n">
        <f aca="false">F1189+2+D1189</f>
        <v>59</v>
      </c>
      <c r="H1189" s="0" t="n">
        <f aca="false">Pemetaan!$B$2+E1189</f>
        <v>17</v>
      </c>
      <c r="I1189" s="0" t="str">
        <f aca="false">INDEX(Laporan!$A$1:$AZ$300,G1189,1)</f>
        <v>Water Treatment</v>
      </c>
      <c r="J1189" s="0" t="str">
        <f aca="false">INDEX(Laporan!$A$1:$AZ$300,G1189,2)</f>
        <v>600 ml</v>
      </c>
      <c r="K1189" s="0" t="str">
        <f aca="false">INDEX(Laporan!$A$1:$AZ$300,G1189,3)</f>
        <v>Shift 2</v>
      </c>
      <c r="L1189" s="0" t="n">
        <f aca="false">INDEX(Laporan!$A$1:$AZ$300,G1189,4)</f>
        <v>3</v>
      </c>
      <c r="M1189" s="1" t="n">
        <f aca="false">DATE(Pemetaan!$B$1,VALUE(RIGHT(INDEX(Laporan!$A$1:$AZ$300,F1189+1,H1189),2)),VALUE(LEFT(INDEX(Laporan!$A$1:$AZ$300,F1189+1,H1189),2)))</f>
        <v>46099</v>
      </c>
      <c r="N1189" s="0" t="n">
        <f aca="false">INDEX(Laporan!$A$1:$AZ$300,G1189,H1189)</f>
        <v>11</v>
      </c>
      <c r="O1189" s="0" t="n">
        <f aca="false">IF(N1189="","",IFERROR(VALUE(SUBSTITUTE(SUBSTITUTE(N1189," btl",""),".","")),""))</f>
        <v>11</v>
      </c>
      <c r="P1189" s="0" t="str">
        <f aca="false">IF(B1189="PRODUKSI","produced","reject")</f>
        <v>reject</v>
      </c>
    </row>
    <row r="1190" customFormat="false" ht="15" hidden="false" customHeight="false" outlineLevel="0" collapsed="false">
      <c r="A1190" s="0" t="n">
        <v>1189</v>
      </c>
      <c r="B1190" s="0" t="str">
        <f aca="false">IF(A1190&lt;=36*25,"PRODUKSI","REJECT")</f>
        <v>REJECT</v>
      </c>
      <c r="C1190" s="0" t="n">
        <f aca="false">MOD(A1190-1,Pemetaan!$B$3*Pemetaan!$B$4)</f>
        <v>288</v>
      </c>
      <c r="D1190" s="0" t="n">
        <f aca="false">INT(C1190/Pemetaan!$B$4)</f>
        <v>11</v>
      </c>
      <c r="E1190" s="0" t="n">
        <f aca="false">MOD(C1190,Pemetaan!$B$4)</f>
        <v>13</v>
      </c>
      <c r="F1190" s="0" t="n">
        <f aca="false">IF(B1190="PRODUKSI",Pemetaan!$B$5,Pemetaan!$B$6)</f>
        <v>46</v>
      </c>
      <c r="G1190" s="0" t="n">
        <f aca="false">F1190+2+D1190</f>
        <v>59</v>
      </c>
      <c r="H1190" s="0" t="n">
        <f aca="false">Pemetaan!$B$2+E1190</f>
        <v>18</v>
      </c>
      <c r="I1190" s="0" t="str">
        <f aca="false">INDEX(Laporan!$A$1:$AZ$300,G1190,1)</f>
        <v>Water Treatment</v>
      </c>
      <c r="J1190" s="0" t="str">
        <f aca="false">INDEX(Laporan!$A$1:$AZ$300,G1190,2)</f>
        <v>600 ml</v>
      </c>
      <c r="K1190" s="0" t="str">
        <f aca="false">INDEX(Laporan!$A$1:$AZ$300,G1190,3)</f>
        <v>Shift 2</v>
      </c>
      <c r="L1190" s="0" t="n">
        <f aca="false">INDEX(Laporan!$A$1:$AZ$300,G1190,4)</f>
        <v>3</v>
      </c>
      <c r="M1190" s="1" t="n">
        <f aca="false">DATE(Pemetaan!$B$1,VALUE(RIGHT(INDEX(Laporan!$A$1:$AZ$300,F1190+1,H1190),2)),VALUE(LEFT(INDEX(Laporan!$A$1:$AZ$300,F1190+1,H1190),2)))</f>
        <v>46100</v>
      </c>
      <c r="N1190" s="0" t="n">
        <f aca="false">INDEX(Laporan!$A$1:$AZ$300,G1190,H1190)</f>
        <v>14</v>
      </c>
      <c r="O1190" s="0" t="n">
        <f aca="false">IF(N1190="","",IFERROR(VALUE(SUBSTITUTE(SUBSTITUTE(N1190," btl",""),".","")),""))</f>
        <v>14</v>
      </c>
      <c r="P1190" s="0" t="str">
        <f aca="false">IF(B1190="PRODUKSI","produced","reject")</f>
        <v>reject</v>
      </c>
    </row>
    <row r="1191" customFormat="false" ht="15" hidden="false" customHeight="false" outlineLevel="0" collapsed="false">
      <c r="A1191" s="0" t="n">
        <v>1190</v>
      </c>
      <c r="B1191" s="0" t="str">
        <f aca="false">IF(A1191&lt;=36*25,"PRODUKSI","REJECT")</f>
        <v>REJECT</v>
      </c>
      <c r="C1191" s="0" t="n">
        <f aca="false">MOD(A1191-1,Pemetaan!$B$3*Pemetaan!$B$4)</f>
        <v>289</v>
      </c>
      <c r="D1191" s="0" t="n">
        <f aca="false">INT(C1191/Pemetaan!$B$4)</f>
        <v>11</v>
      </c>
      <c r="E1191" s="0" t="n">
        <f aca="false">MOD(C1191,Pemetaan!$B$4)</f>
        <v>14</v>
      </c>
      <c r="F1191" s="0" t="n">
        <f aca="false">IF(B1191="PRODUKSI",Pemetaan!$B$5,Pemetaan!$B$6)</f>
        <v>46</v>
      </c>
      <c r="G1191" s="0" t="n">
        <f aca="false">F1191+2+D1191</f>
        <v>59</v>
      </c>
      <c r="H1191" s="0" t="n">
        <f aca="false">Pemetaan!$B$2+E1191</f>
        <v>19</v>
      </c>
      <c r="I1191" s="0" t="str">
        <f aca="false">INDEX(Laporan!$A$1:$AZ$300,G1191,1)</f>
        <v>Water Treatment</v>
      </c>
      <c r="J1191" s="0" t="str">
        <f aca="false">INDEX(Laporan!$A$1:$AZ$300,G1191,2)</f>
        <v>600 ml</v>
      </c>
      <c r="K1191" s="0" t="str">
        <f aca="false">INDEX(Laporan!$A$1:$AZ$300,G1191,3)</f>
        <v>Shift 2</v>
      </c>
      <c r="L1191" s="0" t="n">
        <f aca="false">INDEX(Laporan!$A$1:$AZ$300,G1191,4)</f>
        <v>3</v>
      </c>
      <c r="M1191" s="1" t="n">
        <f aca="false">DATE(Pemetaan!$B$1,VALUE(RIGHT(INDEX(Laporan!$A$1:$AZ$300,F1191+1,H1191),2)),VALUE(LEFT(INDEX(Laporan!$A$1:$AZ$300,F1191+1,H1191),2)))</f>
        <v>46101</v>
      </c>
      <c r="N1191" s="0" t="n">
        <f aca="false">INDEX(Laporan!$A$1:$AZ$300,G1191,H1191)</f>
        <v>11</v>
      </c>
      <c r="O1191" s="0" t="n">
        <f aca="false">IF(N1191="","",IFERROR(VALUE(SUBSTITUTE(SUBSTITUTE(N1191," btl",""),".","")),""))</f>
        <v>11</v>
      </c>
      <c r="P1191" s="0" t="str">
        <f aca="false">IF(B1191="PRODUKSI","produced","reject")</f>
        <v>reject</v>
      </c>
    </row>
    <row r="1192" customFormat="false" ht="15" hidden="false" customHeight="false" outlineLevel="0" collapsed="false">
      <c r="A1192" s="0" t="n">
        <v>1191</v>
      </c>
      <c r="B1192" s="0" t="str">
        <f aca="false">IF(A1192&lt;=36*25,"PRODUKSI","REJECT")</f>
        <v>REJECT</v>
      </c>
      <c r="C1192" s="0" t="n">
        <f aca="false">MOD(A1192-1,Pemetaan!$B$3*Pemetaan!$B$4)</f>
        <v>290</v>
      </c>
      <c r="D1192" s="0" t="n">
        <f aca="false">INT(C1192/Pemetaan!$B$4)</f>
        <v>11</v>
      </c>
      <c r="E1192" s="0" t="n">
        <f aca="false">MOD(C1192,Pemetaan!$B$4)</f>
        <v>15</v>
      </c>
      <c r="F1192" s="0" t="n">
        <f aca="false">IF(B1192="PRODUKSI",Pemetaan!$B$5,Pemetaan!$B$6)</f>
        <v>46</v>
      </c>
      <c r="G1192" s="0" t="n">
        <f aca="false">F1192+2+D1192</f>
        <v>59</v>
      </c>
      <c r="H1192" s="0" t="n">
        <f aca="false">Pemetaan!$B$2+E1192</f>
        <v>20</v>
      </c>
      <c r="I1192" s="0" t="str">
        <f aca="false">INDEX(Laporan!$A$1:$AZ$300,G1192,1)</f>
        <v>Water Treatment</v>
      </c>
      <c r="J1192" s="0" t="str">
        <f aca="false">INDEX(Laporan!$A$1:$AZ$300,G1192,2)</f>
        <v>600 ml</v>
      </c>
      <c r="K1192" s="0" t="str">
        <f aca="false">INDEX(Laporan!$A$1:$AZ$300,G1192,3)</f>
        <v>Shift 2</v>
      </c>
      <c r="L1192" s="0" t="n">
        <f aca="false">INDEX(Laporan!$A$1:$AZ$300,G1192,4)</f>
        <v>3</v>
      </c>
      <c r="M1192" s="1" t="n">
        <f aca="false">DATE(Pemetaan!$B$1,VALUE(RIGHT(INDEX(Laporan!$A$1:$AZ$300,F1192+1,H1192),2)),VALUE(LEFT(INDEX(Laporan!$A$1:$AZ$300,F1192+1,H1192),2)))</f>
        <v>46104</v>
      </c>
      <c r="N1192" s="0" t="n">
        <f aca="false">INDEX(Laporan!$A$1:$AZ$300,G1192,H1192)</f>
        <v>14</v>
      </c>
      <c r="O1192" s="0" t="n">
        <f aca="false">IF(N1192="","",IFERROR(VALUE(SUBSTITUTE(SUBSTITUTE(N1192," btl",""),".","")),""))</f>
        <v>14</v>
      </c>
      <c r="P1192" s="0" t="str">
        <f aca="false">IF(B1192="PRODUKSI","produced","reject")</f>
        <v>reject</v>
      </c>
    </row>
    <row r="1193" customFormat="false" ht="15" hidden="false" customHeight="false" outlineLevel="0" collapsed="false">
      <c r="A1193" s="0" t="n">
        <v>1192</v>
      </c>
      <c r="B1193" s="0" t="str">
        <f aca="false">IF(A1193&lt;=36*25,"PRODUKSI","REJECT")</f>
        <v>REJECT</v>
      </c>
      <c r="C1193" s="0" t="n">
        <f aca="false">MOD(A1193-1,Pemetaan!$B$3*Pemetaan!$B$4)</f>
        <v>291</v>
      </c>
      <c r="D1193" s="0" t="n">
        <f aca="false">INT(C1193/Pemetaan!$B$4)</f>
        <v>11</v>
      </c>
      <c r="E1193" s="0" t="n">
        <f aca="false">MOD(C1193,Pemetaan!$B$4)</f>
        <v>16</v>
      </c>
      <c r="F1193" s="0" t="n">
        <f aca="false">IF(B1193="PRODUKSI",Pemetaan!$B$5,Pemetaan!$B$6)</f>
        <v>46</v>
      </c>
      <c r="G1193" s="0" t="n">
        <f aca="false">F1193+2+D1193</f>
        <v>59</v>
      </c>
      <c r="H1193" s="0" t="n">
        <f aca="false">Pemetaan!$B$2+E1193</f>
        <v>21</v>
      </c>
      <c r="I1193" s="0" t="str">
        <f aca="false">INDEX(Laporan!$A$1:$AZ$300,G1193,1)</f>
        <v>Water Treatment</v>
      </c>
      <c r="J1193" s="0" t="str">
        <f aca="false">INDEX(Laporan!$A$1:$AZ$300,G1193,2)</f>
        <v>600 ml</v>
      </c>
      <c r="K1193" s="0" t="str">
        <f aca="false">INDEX(Laporan!$A$1:$AZ$300,G1193,3)</f>
        <v>Shift 2</v>
      </c>
      <c r="L1193" s="0" t="n">
        <f aca="false">INDEX(Laporan!$A$1:$AZ$300,G1193,4)</f>
        <v>3</v>
      </c>
      <c r="M1193" s="1" t="n">
        <f aca="false">DATE(Pemetaan!$B$1,VALUE(RIGHT(INDEX(Laporan!$A$1:$AZ$300,F1193+1,H1193),2)),VALUE(LEFT(INDEX(Laporan!$A$1:$AZ$300,F1193+1,H1193),2)))</f>
        <v>46105</v>
      </c>
      <c r="N1193" s="0" t="n">
        <f aca="false">INDEX(Laporan!$A$1:$AZ$300,G1193,H1193)</f>
        <v>12</v>
      </c>
      <c r="O1193" s="0" t="n">
        <f aca="false">IF(N1193="","",IFERROR(VALUE(SUBSTITUTE(SUBSTITUTE(N1193," btl",""),".","")),""))</f>
        <v>12</v>
      </c>
      <c r="P1193" s="0" t="str">
        <f aca="false">IF(B1193="PRODUKSI","produced","reject")</f>
        <v>reject</v>
      </c>
    </row>
    <row r="1194" customFormat="false" ht="15" hidden="false" customHeight="false" outlineLevel="0" collapsed="false">
      <c r="A1194" s="0" t="n">
        <v>1193</v>
      </c>
      <c r="B1194" s="0" t="str">
        <f aca="false">IF(A1194&lt;=36*25,"PRODUKSI","REJECT")</f>
        <v>REJECT</v>
      </c>
      <c r="C1194" s="0" t="n">
        <f aca="false">MOD(A1194-1,Pemetaan!$B$3*Pemetaan!$B$4)</f>
        <v>292</v>
      </c>
      <c r="D1194" s="0" t="n">
        <f aca="false">INT(C1194/Pemetaan!$B$4)</f>
        <v>11</v>
      </c>
      <c r="E1194" s="0" t="n">
        <f aca="false">MOD(C1194,Pemetaan!$B$4)</f>
        <v>17</v>
      </c>
      <c r="F1194" s="0" t="n">
        <f aca="false">IF(B1194="PRODUKSI",Pemetaan!$B$5,Pemetaan!$B$6)</f>
        <v>46</v>
      </c>
      <c r="G1194" s="0" t="n">
        <f aca="false">F1194+2+D1194</f>
        <v>59</v>
      </c>
      <c r="H1194" s="0" t="n">
        <f aca="false">Pemetaan!$B$2+E1194</f>
        <v>22</v>
      </c>
      <c r="I1194" s="0" t="str">
        <f aca="false">INDEX(Laporan!$A$1:$AZ$300,G1194,1)</f>
        <v>Water Treatment</v>
      </c>
      <c r="J1194" s="0" t="str">
        <f aca="false">INDEX(Laporan!$A$1:$AZ$300,G1194,2)</f>
        <v>600 ml</v>
      </c>
      <c r="K1194" s="0" t="str">
        <f aca="false">INDEX(Laporan!$A$1:$AZ$300,G1194,3)</f>
        <v>Shift 2</v>
      </c>
      <c r="L1194" s="0" t="n">
        <f aca="false">INDEX(Laporan!$A$1:$AZ$300,G1194,4)</f>
        <v>3</v>
      </c>
      <c r="M1194" s="1" t="n">
        <f aca="false">DATE(Pemetaan!$B$1,VALUE(RIGHT(INDEX(Laporan!$A$1:$AZ$300,F1194+1,H1194),2)),VALUE(LEFT(INDEX(Laporan!$A$1:$AZ$300,F1194+1,H1194),2)))</f>
        <v>46106</v>
      </c>
      <c r="N1194" s="0" t="n">
        <f aca="false">INDEX(Laporan!$A$1:$AZ$300,G1194,H1194)</f>
        <v>7</v>
      </c>
      <c r="O1194" s="0" t="n">
        <f aca="false">IF(N1194="","",IFERROR(VALUE(SUBSTITUTE(SUBSTITUTE(N1194," btl",""),".","")),""))</f>
        <v>7</v>
      </c>
      <c r="P1194" s="0" t="str">
        <f aca="false">IF(B1194="PRODUKSI","produced","reject")</f>
        <v>reject</v>
      </c>
    </row>
    <row r="1195" customFormat="false" ht="15" hidden="false" customHeight="false" outlineLevel="0" collapsed="false">
      <c r="A1195" s="0" t="n">
        <v>1194</v>
      </c>
      <c r="B1195" s="0" t="str">
        <f aca="false">IF(A1195&lt;=36*25,"PRODUKSI","REJECT")</f>
        <v>REJECT</v>
      </c>
      <c r="C1195" s="0" t="n">
        <f aca="false">MOD(A1195-1,Pemetaan!$B$3*Pemetaan!$B$4)</f>
        <v>293</v>
      </c>
      <c r="D1195" s="0" t="n">
        <f aca="false">INT(C1195/Pemetaan!$B$4)</f>
        <v>11</v>
      </c>
      <c r="E1195" s="0" t="n">
        <f aca="false">MOD(C1195,Pemetaan!$B$4)</f>
        <v>18</v>
      </c>
      <c r="F1195" s="0" t="n">
        <f aca="false">IF(B1195="PRODUKSI",Pemetaan!$B$5,Pemetaan!$B$6)</f>
        <v>46</v>
      </c>
      <c r="G1195" s="0" t="n">
        <f aca="false">F1195+2+D1195</f>
        <v>59</v>
      </c>
      <c r="H1195" s="0" t="n">
        <f aca="false">Pemetaan!$B$2+E1195</f>
        <v>23</v>
      </c>
      <c r="I1195" s="0" t="str">
        <f aca="false">INDEX(Laporan!$A$1:$AZ$300,G1195,1)</f>
        <v>Water Treatment</v>
      </c>
      <c r="J1195" s="0" t="str">
        <f aca="false">INDEX(Laporan!$A$1:$AZ$300,G1195,2)</f>
        <v>600 ml</v>
      </c>
      <c r="K1195" s="0" t="str">
        <f aca="false">INDEX(Laporan!$A$1:$AZ$300,G1195,3)</f>
        <v>Shift 2</v>
      </c>
      <c r="L1195" s="0" t="n">
        <f aca="false">INDEX(Laporan!$A$1:$AZ$300,G1195,4)</f>
        <v>3</v>
      </c>
      <c r="M1195" s="1" t="n">
        <f aca="false">DATE(Pemetaan!$B$1,VALUE(RIGHT(INDEX(Laporan!$A$1:$AZ$300,F1195+1,H1195),2)),VALUE(LEFT(INDEX(Laporan!$A$1:$AZ$300,F1195+1,H1195),2)))</f>
        <v>46107</v>
      </c>
      <c r="N1195" s="0" t="n">
        <f aca="false">INDEX(Laporan!$A$1:$AZ$300,G1195,H1195)</f>
        <v>9</v>
      </c>
      <c r="O1195" s="0" t="n">
        <f aca="false">IF(N1195="","",IFERROR(VALUE(SUBSTITUTE(SUBSTITUTE(N1195," btl",""),".","")),""))</f>
        <v>9</v>
      </c>
      <c r="P1195" s="0" t="str">
        <f aca="false">IF(B1195="PRODUKSI","produced","reject")</f>
        <v>reject</v>
      </c>
    </row>
    <row r="1196" customFormat="false" ht="15" hidden="false" customHeight="false" outlineLevel="0" collapsed="false">
      <c r="A1196" s="0" t="n">
        <v>1195</v>
      </c>
      <c r="B1196" s="0" t="str">
        <f aca="false">IF(A1196&lt;=36*25,"PRODUKSI","REJECT")</f>
        <v>REJECT</v>
      </c>
      <c r="C1196" s="0" t="n">
        <f aca="false">MOD(A1196-1,Pemetaan!$B$3*Pemetaan!$B$4)</f>
        <v>294</v>
      </c>
      <c r="D1196" s="0" t="n">
        <f aca="false">INT(C1196/Pemetaan!$B$4)</f>
        <v>11</v>
      </c>
      <c r="E1196" s="0" t="n">
        <f aca="false">MOD(C1196,Pemetaan!$B$4)</f>
        <v>19</v>
      </c>
      <c r="F1196" s="0" t="n">
        <f aca="false">IF(B1196="PRODUKSI",Pemetaan!$B$5,Pemetaan!$B$6)</f>
        <v>46</v>
      </c>
      <c r="G1196" s="0" t="n">
        <f aca="false">F1196+2+D1196</f>
        <v>59</v>
      </c>
      <c r="H1196" s="0" t="n">
        <f aca="false">Pemetaan!$B$2+E1196</f>
        <v>24</v>
      </c>
      <c r="I1196" s="0" t="str">
        <f aca="false">INDEX(Laporan!$A$1:$AZ$300,G1196,1)</f>
        <v>Water Treatment</v>
      </c>
      <c r="J1196" s="0" t="str">
        <f aca="false">INDEX(Laporan!$A$1:$AZ$300,G1196,2)</f>
        <v>600 ml</v>
      </c>
      <c r="K1196" s="0" t="str">
        <f aca="false">INDEX(Laporan!$A$1:$AZ$300,G1196,3)</f>
        <v>Shift 2</v>
      </c>
      <c r="L1196" s="0" t="n">
        <f aca="false">INDEX(Laporan!$A$1:$AZ$300,G1196,4)</f>
        <v>3</v>
      </c>
      <c r="M1196" s="1" t="n">
        <f aca="false">DATE(Pemetaan!$B$1,VALUE(RIGHT(INDEX(Laporan!$A$1:$AZ$300,F1196+1,H1196),2)),VALUE(LEFT(INDEX(Laporan!$A$1:$AZ$300,F1196+1,H1196),2)))</f>
        <v>46108</v>
      </c>
      <c r="N1196" s="0" t="n">
        <f aca="false">INDEX(Laporan!$A$1:$AZ$300,G1196,H1196)</f>
        <v>8</v>
      </c>
      <c r="O1196" s="0" t="n">
        <f aca="false">IF(N1196="","",IFERROR(VALUE(SUBSTITUTE(SUBSTITUTE(N1196," btl",""),".","")),""))</f>
        <v>8</v>
      </c>
      <c r="P1196" s="0" t="str">
        <f aca="false">IF(B1196="PRODUKSI","produced","reject")</f>
        <v>reject</v>
      </c>
    </row>
    <row r="1197" customFormat="false" ht="15" hidden="false" customHeight="false" outlineLevel="0" collapsed="false">
      <c r="A1197" s="0" t="n">
        <v>1196</v>
      </c>
      <c r="B1197" s="0" t="str">
        <f aca="false">IF(A1197&lt;=36*25,"PRODUKSI","REJECT")</f>
        <v>REJECT</v>
      </c>
      <c r="C1197" s="0" t="n">
        <f aca="false">MOD(A1197-1,Pemetaan!$B$3*Pemetaan!$B$4)</f>
        <v>295</v>
      </c>
      <c r="D1197" s="0" t="n">
        <f aca="false">INT(C1197/Pemetaan!$B$4)</f>
        <v>11</v>
      </c>
      <c r="E1197" s="0" t="n">
        <f aca="false">MOD(C1197,Pemetaan!$B$4)</f>
        <v>20</v>
      </c>
      <c r="F1197" s="0" t="n">
        <f aca="false">IF(B1197="PRODUKSI",Pemetaan!$B$5,Pemetaan!$B$6)</f>
        <v>46</v>
      </c>
      <c r="G1197" s="0" t="n">
        <f aca="false">F1197+2+D1197</f>
        <v>59</v>
      </c>
      <c r="H1197" s="0" t="n">
        <f aca="false">Pemetaan!$B$2+E1197</f>
        <v>25</v>
      </c>
      <c r="I1197" s="0" t="str">
        <f aca="false">INDEX(Laporan!$A$1:$AZ$300,G1197,1)</f>
        <v>Water Treatment</v>
      </c>
      <c r="J1197" s="0" t="str">
        <f aca="false">INDEX(Laporan!$A$1:$AZ$300,G1197,2)</f>
        <v>600 ml</v>
      </c>
      <c r="K1197" s="0" t="str">
        <f aca="false">INDEX(Laporan!$A$1:$AZ$300,G1197,3)</f>
        <v>Shift 2</v>
      </c>
      <c r="L1197" s="0" t="n">
        <f aca="false">INDEX(Laporan!$A$1:$AZ$300,G1197,4)</f>
        <v>3</v>
      </c>
      <c r="M1197" s="1" t="n">
        <f aca="false">DATE(Pemetaan!$B$1,VALUE(RIGHT(INDEX(Laporan!$A$1:$AZ$300,F1197+1,H1197),2)),VALUE(LEFT(INDEX(Laporan!$A$1:$AZ$300,F1197+1,H1197),2)))</f>
        <v>46111</v>
      </c>
      <c r="N1197" s="0" t="n">
        <f aca="false">INDEX(Laporan!$A$1:$AZ$300,G1197,H1197)</f>
        <v>10</v>
      </c>
      <c r="O1197" s="0" t="n">
        <f aca="false">IF(N1197="","",IFERROR(VALUE(SUBSTITUTE(SUBSTITUTE(N1197," btl",""),".","")),""))</f>
        <v>10</v>
      </c>
      <c r="P1197" s="0" t="str">
        <f aca="false">IF(B1197="PRODUKSI","produced","reject")</f>
        <v>reject</v>
      </c>
    </row>
    <row r="1198" customFormat="false" ht="15" hidden="false" customHeight="false" outlineLevel="0" collapsed="false">
      <c r="A1198" s="0" t="n">
        <v>1197</v>
      </c>
      <c r="B1198" s="0" t="str">
        <f aca="false">IF(A1198&lt;=36*25,"PRODUKSI","REJECT")</f>
        <v>REJECT</v>
      </c>
      <c r="C1198" s="0" t="n">
        <f aca="false">MOD(A1198-1,Pemetaan!$B$3*Pemetaan!$B$4)</f>
        <v>296</v>
      </c>
      <c r="D1198" s="0" t="n">
        <f aca="false">INT(C1198/Pemetaan!$B$4)</f>
        <v>11</v>
      </c>
      <c r="E1198" s="0" t="n">
        <f aca="false">MOD(C1198,Pemetaan!$B$4)</f>
        <v>21</v>
      </c>
      <c r="F1198" s="0" t="n">
        <f aca="false">IF(B1198="PRODUKSI",Pemetaan!$B$5,Pemetaan!$B$6)</f>
        <v>46</v>
      </c>
      <c r="G1198" s="0" t="n">
        <f aca="false">F1198+2+D1198</f>
        <v>59</v>
      </c>
      <c r="H1198" s="0" t="n">
        <f aca="false">Pemetaan!$B$2+E1198</f>
        <v>26</v>
      </c>
      <c r="I1198" s="0" t="str">
        <f aca="false">INDEX(Laporan!$A$1:$AZ$300,G1198,1)</f>
        <v>Water Treatment</v>
      </c>
      <c r="J1198" s="0" t="str">
        <f aca="false">INDEX(Laporan!$A$1:$AZ$300,G1198,2)</f>
        <v>600 ml</v>
      </c>
      <c r="K1198" s="0" t="str">
        <f aca="false">INDEX(Laporan!$A$1:$AZ$300,G1198,3)</f>
        <v>Shift 2</v>
      </c>
      <c r="L1198" s="0" t="n">
        <f aca="false">INDEX(Laporan!$A$1:$AZ$300,G1198,4)</f>
        <v>3</v>
      </c>
      <c r="M1198" s="1" t="n">
        <f aca="false">DATE(Pemetaan!$B$1,VALUE(RIGHT(INDEX(Laporan!$A$1:$AZ$300,F1198+1,H1198),2)),VALUE(LEFT(INDEX(Laporan!$A$1:$AZ$300,F1198+1,H1198),2)))</f>
        <v>46112</v>
      </c>
      <c r="N1198" s="0" t="n">
        <f aca="false">INDEX(Laporan!$A$1:$AZ$300,G1198,H1198)</f>
        <v>14</v>
      </c>
      <c r="O1198" s="0" t="n">
        <f aca="false">IF(N1198="","",IFERROR(VALUE(SUBSTITUTE(SUBSTITUTE(N1198," btl",""),".","")),""))</f>
        <v>14</v>
      </c>
      <c r="P1198" s="0" t="str">
        <f aca="false">IF(B1198="PRODUKSI","produced","reject")</f>
        <v>reject</v>
      </c>
    </row>
    <row r="1199" customFormat="false" ht="15" hidden="false" customHeight="false" outlineLevel="0" collapsed="false">
      <c r="A1199" s="0" t="n">
        <v>1198</v>
      </c>
      <c r="B1199" s="0" t="str">
        <f aca="false">IF(A1199&lt;=36*25,"PRODUKSI","REJECT")</f>
        <v>REJECT</v>
      </c>
      <c r="C1199" s="0" t="n">
        <f aca="false">MOD(A1199-1,Pemetaan!$B$3*Pemetaan!$B$4)</f>
        <v>297</v>
      </c>
      <c r="D1199" s="0" t="n">
        <f aca="false">INT(C1199/Pemetaan!$B$4)</f>
        <v>11</v>
      </c>
      <c r="E1199" s="0" t="n">
        <f aca="false">MOD(C1199,Pemetaan!$B$4)</f>
        <v>22</v>
      </c>
      <c r="F1199" s="0" t="n">
        <f aca="false">IF(B1199="PRODUKSI",Pemetaan!$B$5,Pemetaan!$B$6)</f>
        <v>46</v>
      </c>
      <c r="G1199" s="0" t="n">
        <f aca="false">F1199+2+D1199</f>
        <v>59</v>
      </c>
      <c r="H1199" s="0" t="n">
        <f aca="false">Pemetaan!$B$2+E1199</f>
        <v>27</v>
      </c>
      <c r="I1199" s="0" t="str">
        <f aca="false">INDEX(Laporan!$A$1:$AZ$300,G1199,1)</f>
        <v>Water Treatment</v>
      </c>
      <c r="J1199" s="0" t="str">
        <f aca="false">INDEX(Laporan!$A$1:$AZ$300,G1199,2)</f>
        <v>600 ml</v>
      </c>
      <c r="K1199" s="0" t="str">
        <f aca="false">INDEX(Laporan!$A$1:$AZ$300,G1199,3)</f>
        <v>Shift 2</v>
      </c>
      <c r="L1199" s="0" t="n">
        <f aca="false">INDEX(Laporan!$A$1:$AZ$300,G1199,4)</f>
        <v>3</v>
      </c>
      <c r="M1199" s="1" t="n">
        <f aca="false">DATE(Pemetaan!$B$1,VALUE(RIGHT(INDEX(Laporan!$A$1:$AZ$300,F1199+1,H1199),2)),VALUE(LEFT(INDEX(Laporan!$A$1:$AZ$300,F1199+1,H1199),2)))</f>
        <v>46113</v>
      </c>
      <c r="N1199" s="0" t="n">
        <f aca="false">INDEX(Laporan!$A$1:$AZ$300,G1199,H1199)</f>
        <v>10</v>
      </c>
      <c r="O1199" s="0" t="n">
        <f aca="false">IF(N1199="","",IFERROR(VALUE(SUBSTITUTE(SUBSTITUTE(N1199," btl",""),".","")),""))</f>
        <v>10</v>
      </c>
      <c r="P1199" s="0" t="str">
        <f aca="false">IF(B1199="PRODUKSI","produced","reject")</f>
        <v>reject</v>
      </c>
    </row>
    <row r="1200" customFormat="false" ht="15" hidden="false" customHeight="false" outlineLevel="0" collapsed="false">
      <c r="A1200" s="0" t="n">
        <v>1199</v>
      </c>
      <c r="B1200" s="0" t="str">
        <f aca="false">IF(A1200&lt;=36*25,"PRODUKSI","REJECT")</f>
        <v>REJECT</v>
      </c>
      <c r="C1200" s="0" t="n">
        <f aca="false">MOD(A1200-1,Pemetaan!$B$3*Pemetaan!$B$4)</f>
        <v>298</v>
      </c>
      <c r="D1200" s="0" t="n">
        <f aca="false">INT(C1200/Pemetaan!$B$4)</f>
        <v>11</v>
      </c>
      <c r="E1200" s="0" t="n">
        <f aca="false">MOD(C1200,Pemetaan!$B$4)</f>
        <v>23</v>
      </c>
      <c r="F1200" s="0" t="n">
        <f aca="false">IF(B1200="PRODUKSI",Pemetaan!$B$5,Pemetaan!$B$6)</f>
        <v>46</v>
      </c>
      <c r="G1200" s="0" t="n">
        <f aca="false">F1200+2+D1200</f>
        <v>59</v>
      </c>
      <c r="H1200" s="0" t="n">
        <f aca="false">Pemetaan!$B$2+E1200</f>
        <v>28</v>
      </c>
      <c r="I1200" s="0" t="str">
        <f aca="false">INDEX(Laporan!$A$1:$AZ$300,G1200,1)</f>
        <v>Water Treatment</v>
      </c>
      <c r="J1200" s="0" t="str">
        <f aca="false">INDEX(Laporan!$A$1:$AZ$300,G1200,2)</f>
        <v>600 ml</v>
      </c>
      <c r="K1200" s="0" t="str">
        <f aca="false">INDEX(Laporan!$A$1:$AZ$300,G1200,3)</f>
        <v>Shift 2</v>
      </c>
      <c r="L1200" s="0" t="n">
        <f aca="false">INDEX(Laporan!$A$1:$AZ$300,G1200,4)</f>
        <v>3</v>
      </c>
      <c r="M1200" s="1" t="n">
        <f aca="false">DATE(Pemetaan!$B$1,VALUE(RIGHT(INDEX(Laporan!$A$1:$AZ$300,F1200+1,H1200),2)),VALUE(LEFT(INDEX(Laporan!$A$1:$AZ$300,F1200+1,H1200),2)))</f>
        <v>46114</v>
      </c>
      <c r="N1200" s="0" t="n">
        <f aca="false">INDEX(Laporan!$A$1:$AZ$300,G1200,H1200)</f>
        <v>8</v>
      </c>
      <c r="O1200" s="0" t="n">
        <f aca="false">IF(N1200="","",IFERROR(VALUE(SUBSTITUTE(SUBSTITUTE(N1200," btl",""),".","")),""))</f>
        <v>8</v>
      </c>
      <c r="P1200" s="0" t="str">
        <f aca="false">IF(B1200="PRODUKSI","produced","reject")</f>
        <v>reject</v>
      </c>
    </row>
    <row r="1201" customFormat="false" ht="15" hidden="false" customHeight="false" outlineLevel="0" collapsed="false">
      <c r="A1201" s="0" t="n">
        <v>1200</v>
      </c>
      <c r="B1201" s="0" t="str">
        <f aca="false">IF(A1201&lt;=36*25,"PRODUKSI","REJECT")</f>
        <v>REJECT</v>
      </c>
      <c r="C1201" s="0" t="n">
        <f aca="false">MOD(A1201-1,Pemetaan!$B$3*Pemetaan!$B$4)</f>
        <v>299</v>
      </c>
      <c r="D1201" s="0" t="n">
        <f aca="false">INT(C1201/Pemetaan!$B$4)</f>
        <v>11</v>
      </c>
      <c r="E1201" s="0" t="n">
        <f aca="false">MOD(C1201,Pemetaan!$B$4)</f>
        <v>24</v>
      </c>
      <c r="F1201" s="0" t="n">
        <f aca="false">IF(B1201="PRODUKSI",Pemetaan!$B$5,Pemetaan!$B$6)</f>
        <v>46</v>
      </c>
      <c r="G1201" s="0" t="n">
        <f aca="false">F1201+2+D1201</f>
        <v>59</v>
      </c>
      <c r="H1201" s="0" t="n">
        <f aca="false">Pemetaan!$B$2+E1201</f>
        <v>29</v>
      </c>
      <c r="I1201" s="0" t="str">
        <f aca="false">INDEX(Laporan!$A$1:$AZ$300,G1201,1)</f>
        <v>Water Treatment</v>
      </c>
      <c r="J1201" s="0" t="str">
        <f aca="false">INDEX(Laporan!$A$1:$AZ$300,G1201,2)</f>
        <v>600 ml</v>
      </c>
      <c r="K1201" s="0" t="str">
        <f aca="false">INDEX(Laporan!$A$1:$AZ$300,G1201,3)</f>
        <v>Shift 2</v>
      </c>
      <c r="L1201" s="0" t="n">
        <f aca="false">INDEX(Laporan!$A$1:$AZ$300,G1201,4)</f>
        <v>3</v>
      </c>
      <c r="M1201" s="1" t="n">
        <f aca="false">DATE(Pemetaan!$B$1,VALUE(RIGHT(INDEX(Laporan!$A$1:$AZ$300,F1201+1,H1201),2)),VALUE(LEFT(INDEX(Laporan!$A$1:$AZ$300,F1201+1,H1201),2)))</f>
        <v>46115</v>
      </c>
      <c r="N1201" s="0" t="n">
        <f aca="false">INDEX(Laporan!$A$1:$AZ$300,G1201,H1201)</f>
        <v>13</v>
      </c>
      <c r="O1201" s="0" t="n">
        <f aca="false">IF(N1201="","",IFERROR(VALUE(SUBSTITUTE(SUBSTITUTE(N1201," btl",""),".","")),""))</f>
        <v>13</v>
      </c>
      <c r="P1201" s="0" t="str">
        <f aca="false">IF(B1201="PRODUKSI","produced","reject")</f>
        <v>reject</v>
      </c>
    </row>
    <row r="1202" customFormat="false" ht="15" hidden="false" customHeight="false" outlineLevel="0" collapsed="false">
      <c r="A1202" s="0" t="n">
        <v>1201</v>
      </c>
      <c r="B1202" s="0" t="str">
        <f aca="false">IF(A1202&lt;=36*25,"PRODUKSI","REJECT")</f>
        <v>REJECT</v>
      </c>
      <c r="C1202" s="0" t="n">
        <f aca="false">MOD(A1202-1,Pemetaan!$B$3*Pemetaan!$B$4)</f>
        <v>300</v>
      </c>
      <c r="D1202" s="0" t="n">
        <f aca="false">INT(C1202/Pemetaan!$B$4)</f>
        <v>12</v>
      </c>
      <c r="E1202" s="0" t="n">
        <f aca="false">MOD(C1202,Pemetaan!$B$4)</f>
        <v>0</v>
      </c>
      <c r="F1202" s="0" t="n">
        <f aca="false">IF(B1202="PRODUKSI",Pemetaan!$B$5,Pemetaan!$B$6)</f>
        <v>46</v>
      </c>
      <c r="G1202" s="0" t="n">
        <f aca="false">F1202+2+D1202</f>
        <v>60</v>
      </c>
      <c r="H1202" s="0" t="n">
        <f aca="false">Pemetaan!$B$2+E1202</f>
        <v>5</v>
      </c>
      <c r="I1202" s="0" t="str">
        <f aca="false">INDEX(Laporan!$A$1:$AZ$300,G1202,1)</f>
        <v>Water Treatment</v>
      </c>
      <c r="J1202" s="0" t="str">
        <f aca="false">INDEX(Laporan!$A$1:$AZ$300,G1202,2)</f>
        <v>1,5 L</v>
      </c>
      <c r="K1202" s="0" t="str">
        <f aca="false">INDEX(Laporan!$A$1:$AZ$300,G1202,3)</f>
        <v>Shift 1</v>
      </c>
      <c r="L1202" s="0" t="n">
        <f aca="false">INDEX(Laporan!$A$1:$AZ$300,G1202,4)</f>
        <v>1</v>
      </c>
      <c r="M1202" s="1" t="n">
        <f aca="false">DATE(Pemetaan!$B$1,VALUE(RIGHT(INDEX(Laporan!$A$1:$AZ$300,F1202+1,H1202),2)),VALUE(LEFT(INDEX(Laporan!$A$1:$AZ$300,F1202+1,H1202),2)))</f>
        <v>46083</v>
      </c>
      <c r="N1202" s="0" t="n">
        <f aca="false">INDEX(Laporan!$A$1:$AZ$300,G1202,H1202)</f>
        <v>5</v>
      </c>
      <c r="O1202" s="0" t="n">
        <f aca="false">IF(N1202="","",IFERROR(VALUE(SUBSTITUTE(SUBSTITUTE(N1202," btl",""),".","")),""))</f>
        <v>5</v>
      </c>
      <c r="P1202" s="0" t="str">
        <f aca="false">IF(B1202="PRODUKSI","produced","reject")</f>
        <v>reject</v>
      </c>
    </row>
    <row r="1203" customFormat="false" ht="15" hidden="false" customHeight="false" outlineLevel="0" collapsed="false">
      <c r="A1203" s="0" t="n">
        <v>1202</v>
      </c>
      <c r="B1203" s="0" t="str">
        <f aca="false">IF(A1203&lt;=36*25,"PRODUKSI","REJECT")</f>
        <v>REJECT</v>
      </c>
      <c r="C1203" s="0" t="n">
        <f aca="false">MOD(A1203-1,Pemetaan!$B$3*Pemetaan!$B$4)</f>
        <v>301</v>
      </c>
      <c r="D1203" s="0" t="n">
        <f aca="false">INT(C1203/Pemetaan!$B$4)</f>
        <v>12</v>
      </c>
      <c r="E1203" s="0" t="n">
        <f aca="false">MOD(C1203,Pemetaan!$B$4)</f>
        <v>1</v>
      </c>
      <c r="F1203" s="0" t="n">
        <f aca="false">IF(B1203="PRODUKSI",Pemetaan!$B$5,Pemetaan!$B$6)</f>
        <v>46</v>
      </c>
      <c r="G1203" s="0" t="n">
        <f aca="false">F1203+2+D1203</f>
        <v>60</v>
      </c>
      <c r="H1203" s="0" t="n">
        <f aca="false">Pemetaan!$B$2+E1203</f>
        <v>6</v>
      </c>
      <c r="I1203" s="0" t="str">
        <f aca="false">INDEX(Laporan!$A$1:$AZ$300,G1203,1)</f>
        <v>Water Treatment</v>
      </c>
      <c r="J1203" s="0" t="str">
        <f aca="false">INDEX(Laporan!$A$1:$AZ$300,G1203,2)</f>
        <v>1,5 L</v>
      </c>
      <c r="K1203" s="0" t="str">
        <f aca="false">INDEX(Laporan!$A$1:$AZ$300,G1203,3)</f>
        <v>Shift 1</v>
      </c>
      <c r="L1203" s="0" t="n">
        <f aca="false">INDEX(Laporan!$A$1:$AZ$300,G1203,4)</f>
        <v>1</v>
      </c>
      <c r="M1203" s="1" t="n">
        <f aca="false">DATE(Pemetaan!$B$1,VALUE(RIGHT(INDEX(Laporan!$A$1:$AZ$300,F1203+1,H1203),2)),VALUE(LEFT(INDEX(Laporan!$A$1:$AZ$300,F1203+1,H1203),2)))</f>
        <v>46084</v>
      </c>
      <c r="N1203" s="0" t="n">
        <f aca="false">INDEX(Laporan!$A$1:$AZ$300,G1203,H1203)</f>
        <v>7</v>
      </c>
      <c r="O1203" s="0" t="n">
        <f aca="false">IF(N1203="","",IFERROR(VALUE(SUBSTITUTE(SUBSTITUTE(N1203," btl",""),".","")),""))</f>
        <v>7</v>
      </c>
      <c r="P1203" s="0" t="str">
        <f aca="false">IF(B1203="PRODUKSI","produced","reject")</f>
        <v>reject</v>
      </c>
    </row>
    <row r="1204" customFormat="false" ht="15" hidden="false" customHeight="false" outlineLevel="0" collapsed="false">
      <c r="A1204" s="0" t="n">
        <v>1203</v>
      </c>
      <c r="B1204" s="0" t="str">
        <f aca="false">IF(A1204&lt;=36*25,"PRODUKSI","REJECT")</f>
        <v>REJECT</v>
      </c>
      <c r="C1204" s="0" t="n">
        <f aca="false">MOD(A1204-1,Pemetaan!$B$3*Pemetaan!$B$4)</f>
        <v>302</v>
      </c>
      <c r="D1204" s="0" t="n">
        <f aca="false">INT(C1204/Pemetaan!$B$4)</f>
        <v>12</v>
      </c>
      <c r="E1204" s="0" t="n">
        <f aca="false">MOD(C1204,Pemetaan!$B$4)</f>
        <v>2</v>
      </c>
      <c r="F1204" s="0" t="n">
        <f aca="false">IF(B1204="PRODUKSI",Pemetaan!$B$5,Pemetaan!$B$6)</f>
        <v>46</v>
      </c>
      <c r="G1204" s="0" t="n">
        <f aca="false">F1204+2+D1204</f>
        <v>60</v>
      </c>
      <c r="H1204" s="0" t="n">
        <f aca="false">Pemetaan!$B$2+E1204</f>
        <v>7</v>
      </c>
      <c r="I1204" s="0" t="str">
        <f aca="false">INDEX(Laporan!$A$1:$AZ$300,G1204,1)</f>
        <v>Water Treatment</v>
      </c>
      <c r="J1204" s="0" t="str">
        <f aca="false">INDEX(Laporan!$A$1:$AZ$300,G1204,2)</f>
        <v>1,5 L</v>
      </c>
      <c r="K1204" s="0" t="str">
        <f aca="false">INDEX(Laporan!$A$1:$AZ$300,G1204,3)</f>
        <v>Shift 1</v>
      </c>
      <c r="L1204" s="0" t="n">
        <f aca="false">INDEX(Laporan!$A$1:$AZ$300,G1204,4)</f>
        <v>1</v>
      </c>
      <c r="M1204" s="1" t="n">
        <f aca="false">DATE(Pemetaan!$B$1,VALUE(RIGHT(INDEX(Laporan!$A$1:$AZ$300,F1204+1,H1204),2)),VALUE(LEFT(INDEX(Laporan!$A$1:$AZ$300,F1204+1,H1204),2)))</f>
        <v>46085</v>
      </c>
      <c r="N1204" s="0" t="n">
        <f aca="false">INDEX(Laporan!$A$1:$AZ$300,G1204,H1204)</f>
        <v>4</v>
      </c>
      <c r="O1204" s="0" t="n">
        <f aca="false">IF(N1204="","",IFERROR(VALUE(SUBSTITUTE(SUBSTITUTE(N1204," btl",""),".","")),""))</f>
        <v>4</v>
      </c>
      <c r="P1204" s="0" t="str">
        <f aca="false">IF(B1204="PRODUKSI","produced","reject")</f>
        <v>reject</v>
      </c>
    </row>
    <row r="1205" customFormat="false" ht="15" hidden="false" customHeight="false" outlineLevel="0" collapsed="false">
      <c r="A1205" s="0" t="n">
        <v>1204</v>
      </c>
      <c r="B1205" s="0" t="str">
        <f aca="false">IF(A1205&lt;=36*25,"PRODUKSI","REJECT")</f>
        <v>REJECT</v>
      </c>
      <c r="C1205" s="0" t="n">
        <f aca="false">MOD(A1205-1,Pemetaan!$B$3*Pemetaan!$B$4)</f>
        <v>303</v>
      </c>
      <c r="D1205" s="0" t="n">
        <f aca="false">INT(C1205/Pemetaan!$B$4)</f>
        <v>12</v>
      </c>
      <c r="E1205" s="0" t="n">
        <f aca="false">MOD(C1205,Pemetaan!$B$4)</f>
        <v>3</v>
      </c>
      <c r="F1205" s="0" t="n">
        <f aca="false">IF(B1205="PRODUKSI",Pemetaan!$B$5,Pemetaan!$B$6)</f>
        <v>46</v>
      </c>
      <c r="G1205" s="0" t="n">
        <f aca="false">F1205+2+D1205</f>
        <v>60</v>
      </c>
      <c r="H1205" s="0" t="n">
        <f aca="false">Pemetaan!$B$2+E1205</f>
        <v>8</v>
      </c>
      <c r="I1205" s="0" t="str">
        <f aca="false">INDEX(Laporan!$A$1:$AZ$300,G1205,1)</f>
        <v>Water Treatment</v>
      </c>
      <c r="J1205" s="0" t="str">
        <f aca="false">INDEX(Laporan!$A$1:$AZ$300,G1205,2)</f>
        <v>1,5 L</v>
      </c>
      <c r="K1205" s="0" t="str">
        <f aca="false">INDEX(Laporan!$A$1:$AZ$300,G1205,3)</f>
        <v>Shift 1</v>
      </c>
      <c r="L1205" s="0" t="n">
        <f aca="false">INDEX(Laporan!$A$1:$AZ$300,G1205,4)</f>
        <v>1</v>
      </c>
      <c r="M1205" s="1" t="n">
        <f aca="false">DATE(Pemetaan!$B$1,VALUE(RIGHT(INDEX(Laporan!$A$1:$AZ$300,F1205+1,H1205),2)),VALUE(LEFT(INDEX(Laporan!$A$1:$AZ$300,F1205+1,H1205),2)))</f>
        <v>46086</v>
      </c>
      <c r="N1205" s="0" t="n">
        <f aca="false">INDEX(Laporan!$A$1:$AZ$300,G1205,H1205)</f>
        <v>9</v>
      </c>
      <c r="O1205" s="0" t="n">
        <f aca="false">IF(N1205="","",IFERROR(VALUE(SUBSTITUTE(SUBSTITUTE(N1205," btl",""),".","")),""))</f>
        <v>9</v>
      </c>
      <c r="P1205" s="0" t="str">
        <f aca="false">IF(B1205="PRODUKSI","produced","reject")</f>
        <v>reject</v>
      </c>
    </row>
    <row r="1206" customFormat="false" ht="15" hidden="false" customHeight="false" outlineLevel="0" collapsed="false">
      <c r="A1206" s="0" t="n">
        <v>1205</v>
      </c>
      <c r="B1206" s="0" t="str">
        <f aca="false">IF(A1206&lt;=36*25,"PRODUKSI","REJECT")</f>
        <v>REJECT</v>
      </c>
      <c r="C1206" s="0" t="n">
        <f aca="false">MOD(A1206-1,Pemetaan!$B$3*Pemetaan!$B$4)</f>
        <v>304</v>
      </c>
      <c r="D1206" s="0" t="n">
        <f aca="false">INT(C1206/Pemetaan!$B$4)</f>
        <v>12</v>
      </c>
      <c r="E1206" s="0" t="n">
        <f aca="false">MOD(C1206,Pemetaan!$B$4)</f>
        <v>4</v>
      </c>
      <c r="F1206" s="0" t="n">
        <f aca="false">IF(B1206="PRODUKSI",Pemetaan!$B$5,Pemetaan!$B$6)</f>
        <v>46</v>
      </c>
      <c r="G1206" s="0" t="n">
        <f aca="false">F1206+2+D1206</f>
        <v>60</v>
      </c>
      <c r="H1206" s="0" t="n">
        <f aca="false">Pemetaan!$B$2+E1206</f>
        <v>9</v>
      </c>
      <c r="I1206" s="0" t="str">
        <f aca="false">INDEX(Laporan!$A$1:$AZ$300,G1206,1)</f>
        <v>Water Treatment</v>
      </c>
      <c r="J1206" s="0" t="str">
        <f aca="false">INDEX(Laporan!$A$1:$AZ$300,G1206,2)</f>
        <v>1,5 L</v>
      </c>
      <c r="K1206" s="0" t="str">
        <f aca="false">INDEX(Laporan!$A$1:$AZ$300,G1206,3)</f>
        <v>Shift 1</v>
      </c>
      <c r="L1206" s="0" t="n">
        <f aca="false">INDEX(Laporan!$A$1:$AZ$300,G1206,4)</f>
        <v>1</v>
      </c>
      <c r="M1206" s="1" t="n">
        <f aca="false">DATE(Pemetaan!$B$1,VALUE(RIGHT(INDEX(Laporan!$A$1:$AZ$300,F1206+1,H1206),2)),VALUE(LEFT(INDEX(Laporan!$A$1:$AZ$300,F1206+1,H1206),2)))</f>
        <v>46087</v>
      </c>
      <c r="N1206" s="0" t="n">
        <f aca="false">INDEX(Laporan!$A$1:$AZ$300,G1206,H1206)</f>
        <v>6</v>
      </c>
      <c r="O1206" s="0" t="n">
        <f aca="false">IF(N1206="","",IFERROR(VALUE(SUBSTITUTE(SUBSTITUTE(N1206," btl",""),".","")),""))</f>
        <v>6</v>
      </c>
      <c r="P1206" s="0" t="str">
        <f aca="false">IF(B1206="PRODUKSI","produced","reject")</f>
        <v>reject</v>
      </c>
    </row>
    <row r="1207" customFormat="false" ht="15" hidden="false" customHeight="false" outlineLevel="0" collapsed="false">
      <c r="A1207" s="0" t="n">
        <v>1206</v>
      </c>
      <c r="B1207" s="0" t="str">
        <f aca="false">IF(A1207&lt;=36*25,"PRODUKSI","REJECT")</f>
        <v>REJECT</v>
      </c>
      <c r="C1207" s="0" t="n">
        <f aca="false">MOD(A1207-1,Pemetaan!$B$3*Pemetaan!$B$4)</f>
        <v>305</v>
      </c>
      <c r="D1207" s="0" t="n">
        <f aca="false">INT(C1207/Pemetaan!$B$4)</f>
        <v>12</v>
      </c>
      <c r="E1207" s="0" t="n">
        <f aca="false">MOD(C1207,Pemetaan!$B$4)</f>
        <v>5</v>
      </c>
      <c r="F1207" s="0" t="n">
        <f aca="false">IF(B1207="PRODUKSI",Pemetaan!$B$5,Pemetaan!$B$6)</f>
        <v>46</v>
      </c>
      <c r="G1207" s="0" t="n">
        <f aca="false">F1207+2+D1207</f>
        <v>60</v>
      </c>
      <c r="H1207" s="0" t="n">
        <f aca="false">Pemetaan!$B$2+E1207</f>
        <v>10</v>
      </c>
      <c r="I1207" s="0" t="str">
        <f aca="false">INDEX(Laporan!$A$1:$AZ$300,G1207,1)</f>
        <v>Water Treatment</v>
      </c>
      <c r="J1207" s="0" t="str">
        <f aca="false">INDEX(Laporan!$A$1:$AZ$300,G1207,2)</f>
        <v>1,5 L</v>
      </c>
      <c r="K1207" s="0" t="str">
        <f aca="false">INDEX(Laporan!$A$1:$AZ$300,G1207,3)</f>
        <v>Shift 1</v>
      </c>
      <c r="L1207" s="0" t="n">
        <f aca="false">INDEX(Laporan!$A$1:$AZ$300,G1207,4)</f>
        <v>1</v>
      </c>
      <c r="M1207" s="1" t="n">
        <f aca="false">DATE(Pemetaan!$B$1,VALUE(RIGHT(INDEX(Laporan!$A$1:$AZ$300,F1207+1,H1207),2)),VALUE(LEFT(INDEX(Laporan!$A$1:$AZ$300,F1207+1,H1207),2)))</f>
        <v>46090</v>
      </c>
      <c r="N1207" s="0" t="n">
        <f aca="false">INDEX(Laporan!$A$1:$AZ$300,G1207,H1207)</f>
        <v>5</v>
      </c>
      <c r="O1207" s="0" t="n">
        <f aca="false">IF(N1207="","",IFERROR(VALUE(SUBSTITUTE(SUBSTITUTE(N1207," btl",""),".","")),""))</f>
        <v>5</v>
      </c>
      <c r="P1207" s="0" t="str">
        <f aca="false">IF(B1207="PRODUKSI","produced","reject")</f>
        <v>reject</v>
      </c>
    </row>
    <row r="1208" customFormat="false" ht="15" hidden="false" customHeight="false" outlineLevel="0" collapsed="false">
      <c r="A1208" s="0" t="n">
        <v>1207</v>
      </c>
      <c r="B1208" s="0" t="str">
        <f aca="false">IF(A1208&lt;=36*25,"PRODUKSI","REJECT")</f>
        <v>REJECT</v>
      </c>
      <c r="C1208" s="0" t="n">
        <f aca="false">MOD(A1208-1,Pemetaan!$B$3*Pemetaan!$B$4)</f>
        <v>306</v>
      </c>
      <c r="D1208" s="0" t="n">
        <f aca="false">INT(C1208/Pemetaan!$B$4)</f>
        <v>12</v>
      </c>
      <c r="E1208" s="0" t="n">
        <f aca="false">MOD(C1208,Pemetaan!$B$4)</f>
        <v>6</v>
      </c>
      <c r="F1208" s="0" t="n">
        <f aca="false">IF(B1208="PRODUKSI",Pemetaan!$B$5,Pemetaan!$B$6)</f>
        <v>46</v>
      </c>
      <c r="G1208" s="0" t="n">
        <f aca="false">F1208+2+D1208</f>
        <v>60</v>
      </c>
      <c r="H1208" s="0" t="n">
        <f aca="false">Pemetaan!$B$2+E1208</f>
        <v>11</v>
      </c>
      <c r="I1208" s="0" t="str">
        <f aca="false">INDEX(Laporan!$A$1:$AZ$300,G1208,1)</f>
        <v>Water Treatment</v>
      </c>
      <c r="J1208" s="0" t="str">
        <f aca="false">INDEX(Laporan!$A$1:$AZ$300,G1208,2)</f>
        <v>1,5 L</v>
      </c>
      <c r="K1208" s="0" t="str">
        <f aca="false">INDEX(Laporan!$A$1:$AZ$300,G1208,3)</f>
        <v>Shift 1</v>
      </c>
      <c r="L1208" s="0" t="n">
        <f aca="false">INDEX(Laporan!$A$1:$AZ$300,G1208,4)</f>
        <v>1</v>
      </c>
      <c r="M1208" s="1" t="n">
        <f aca="false">DATE(Pemetaan!$B$1,VALUE(RIGHT(INDEX(Laporan!$A$1:$AZ$300,F1208+1,H1208),2)),VALUE(LEFT(INDEX(Laporan!$A$1:$AZ$300,F1208+1,H1208),2)))</f>
        <v>46091</v>
      </c>
      <c r="N1208" s="0" t="n">
        <f aca="false">INDEX(Laporan!$A$1:$AZ$300,G1208,H1208)</f>
        <v>7</v>
      </c>
      <c r="O1208" s="0" t="n">
        <f aca="false">IF(N1208="","",IFERROR(VALUE(SUBSTITUTE(SUBSTITUTE(N1208," btl",""),".","")),""))</f>
        <v>7</v>
      </c>
      <c r="P1208" s="0" t="str">
        <f aca="false">IF(B1208="PRODUKSI","produced","reject")</f>
        <v>reject</v>
      </c>
    </row>
    <row r="1209" customFormat="false" ht="15" hidden="false" customHeight="false" outlineLevel="0" collapsed="false">
      <c r="A1209" s="0" t="n">
        <v>1208</v>
      </c>
      <c r="B1209" s="0" t="str">
        <f aca="false">IF(A1209&lt;=36*25,"PRODUKSI","REJECT")</f>
        <v>REJECT</v>
      </c>
      <c r="C1209" s="0" t="n">
        <f aca="false">MOD(A1209-1,Pemetaan!$B$3*Pemetaan!$B$4)</f>
        <v>307</v>
      </c>
      <c r="D1209" s="0" t="n">
        <f aca="false">INT(C1209/Pemetaan!$B$4)</f>
        <v>12</v>
      </c>
      <c r="E1209" s="0" t="n">
        <f aca="false">MOD(C1209,Pemetaan!$B$4)</f>
        <v>7</v>
      </c>
      <c r="F1209" s="0" t="n">
        <f aca="false">IF(B1209="PRODUKSI",Pemetaan!$B$5,Pemetaan!$B$6)</f>
        <v>46</v>
      </c>
      <c r="G1209" s="0" t="n">
        <f aca="false">F1209+2+D1209</f>
        <v>60</v>
      </c>
      <c r="H1209" s="0" t="n">
        <f aca="false">Pemetaan!$B$2+E1209</f>
        <v>12</v>
      </c>
      <c r="I1209" s="0" t="str">
        <f aca="false">INDEX(Laporan!$A$1:$AZ$300,G1209,1)</f>
        <v>Water Treatment</v>
      </c>
      <c r="J1209" s="0" t="str">
        <f aca="false">INDEX(Laporan!$A$1:$AZ$300,G1209,2)</f>
        <v>1,5 L</v>
      </c>
      <c r="K1209" s="0" t="str">
        <f aca="false">INDEX(Laporan!$A$1:$AZ$300,G1209,3)</f>
        <v>Shift 1</v>
      </c>
      <c r="L1209" s="0" t="n">
        <f aca="false">INDEX(Laporan!$A$1:$AZ$300,G1209,4)</f>
        <v>1</v>
      </c>
      <c r="M1209" s="1" t="n">
        <f aca="false">DATE(Pemetaan!$B$1,VALUE(RIGHT(INDEX(Laporan!$A$1:$AZ$300,F1209+1,H1209),2)),VALUE(LEFT(INDEX(Laporan!$A$1:$AZ$300,F1209+1,H1209),2)))</f>
        <v>46092</v>
      </c>
      <c r="N1209" s="0" t="n">
        <f aca="false">INDEX(Laporan!$A$1:$AZ$300,G1209,H1209)</f>
        <v>7</v>
      </c>
      <c r="O1209" s="0" t="n">
        <f aca="false">IF(N1209="","",IFERROR(VALUE(SUBSTITUTE(SUBSTITUTE(N1209," btl",""),".","")),""))</f>
        <v>7</v>
      </c>
      <c r="P1209" s="0" t="str">
        <f aca="false">IF(B1209="PRODUKSI","produced","reject")</f>
        <v>reject</v>
      </c>
    </row>
    <row r="1210" customFormat="false" ht="15" hidden="false" customHeight="false" outlineLevel="0" collapsed="false">
      <c r="A1210" s="0" t="n">
        <v>1209</v>
      </c>
      <c r="B1210" s="0" t="str">
        <f aca="false">IF(A1210&lt;=36*25,"PRODUKSI","REJECT")</f>
        <v>REJECT</v>
      </c>
      <c r="C1210" s="0" t="n">
        <f aca="false">MOD(A1210-1,Pemetaan!$B$3*Pemetaan!$B$4)</f>
        <v>308</v>
      </c>
      <c r="D1210" s="0" t="n">
        <f aca="false">INT(C1210/Pemetaan!$B$4)</f>
        <v>12</v>
      </c>
      <c r="E1210" s="0" t="n">
        <f aca="false">MOD(C1210,Pemetaan!$B$4)</f>
        <v>8</v>
      </c>
      <c r="F1210" s="0" t="n">
        <f aca="false">IF(B1210="PRODUKSI",Pemetaan!$B$5,Pemetaan!$B$6)</f>
        <v>46</v>
      </c>
      <c r="G1210" s="0" t="n">
        <f aca="false">F1210+2+D1210</f>
        <v>60</v>
      </c>
      <c r="H1210" s="0" t="n">
        <f aca="false">Pemetaan!$B$2+E1210</f>
        <v>13</v>
      </c>
      <c r="I1210" s="0" t="str">
        <f aca="false">INDEX(Laporan!$A$1:$AZ$300,G1210,1)</f>
        <v>Water Treatment</v>
      </c>
      <c r="J1210" s="0" t="str">
        <f aca="false">INDEX(Laporan!$A$1:$AZ$300,G1210,2)</f>
        <v>1,5 L</v>
      </c>
      <c r="K1210" s="0" t="str">
        <f aca="false">INDEX(Laporan!$A$1:$AZ$300,G1210,3)</f>
        <v>Shift 1</v>
      </c>
      <c r="L1210" s="0" t="n">
        <f aca="false">INDEX(Laporan!$A$1:$AZ$300,G1210,4)</f>
        <v>1</v>
      </c>
      <c r="M1210" s="1" t="n">
        <f aca="false">DATE(Pemetaan!$B$1,VALUE(RIGHT(INDEX(Laporan!$A$1:$AZ$300,F1210+1,H1210),2)),VALUE(LEFT(INDEX(Laporan!$A$1:$AZ$300,F1210+1,H1210),2)))</f>
        <v>46093</v>
      </c>
      <c r="N1210" s="0" t="n">
        <f aca="false">INDEX(Laporan!$A$1:$AZ$300,G1210,H1210)</f>
        <v>3</v>
      </c>
      <c r="O1210" s="0" t="n">
        <f aca="false">IF(N1210="","",IFERROR(VALUE(SUBSTITUTE(SUBSTITUTE(N1210," btl",""),".","")),""))</f>
        <v>3</v>
      </c>
      <c r="P1210" s="0" t="str">
        <f aca="false">IF(B1210="PRODUKSI","produced","reject")</f>
        <v>reject</v>
      </c>
    </row>
    <row r="1211" customFormat="false" ht="15" hidden="false" customHeight="false" outlineLevel="0" collapsed="false">
      <c r="A1211" s="0" t="n">
        <v>1210</v>
      </c>
      <c r="B1211" s="0" t="str">
        <f aca="false">IF(A1211&lt;=36*25,"PRODUKSI","REJECT")</f>
        <v>REJECT</v>
      </c>
      <c r="C1211" s="0" t="n">
        <f aca="false">MOD(A1211-1,Pemetaan!$B$3*Pemetaan!$B$4)</f>
        <v>309</v>
      </c>
      <c r="D1211" s="0" t="n">
        <f aca="false">INT(C1211/Pemetaan!$B$4)</f>
        <v>12</v>
      </c>
      <c r="E1211" s="0" t="n">
        <f aca="false">MOD(C1211,Pemetaan!$B$4)</f>
        <v>9</v>
      </c>
      <c r="F1211" s="0" t="n">
        <f aca="false">IF(B1211="PRODUKSI",Pemetaan!$B$5,Pemetaan!$B$6)</f>
        <v>46</v>
      </c>
      <c r="G1211" s="0" t="n">
        <f aca="false">F1211+2+D1211</f>
        <v>60</v>
      </c>
      <c r="H1211" s="0" t="n">
        <f aca="false">Pemetaan!$B$2+E1211</f>
        <v>14</v>
      </c>
      <c r="I1211" s="0" t="str">
        <f aca="false">INDEX(Laporan!$A$1:$AZ$300,G1211,1)</f>
        <v>Water Treatment</v>
      </c>
      <c r="J1211" s="0" t="str">
        <f aca="false">INDEX(Laporan!$A$1:$AZ$300,G1211,2)</f>
        <v>1,5 L</v>
      </c>
      <c r="K1211" s="0" t="str">
        <f aca="false">INDEX(Laporan!$A$1:$AZ$300,G1211,3)</f>
        <v>Shift 1</v>
      </c>
      <c r="L1211" s="0" t="n">
        <f aca="false">INDEX(Laporan!$A$1:$AZ$300,G1211,4)</f>
        <v>1</v>
      </c>
      <c r="M1211" s="1" t="n">
        <f aca="false">DATE(Pemetaan!$B$1,VALUE(RIGHT(INDEX(Laporan!$A$1:$AZ$300,F1211+1,H1211),2)),VALUE(LEFT(INDEX(Laporan!$A$1:$AZ$300,F1211+1,H1211),2)))</f>
        <v>46094</v>
      </c>
      <c r="N1211" s="0" t="n">
        <f aca="false">INDEX(Laporan!$A$1:$AZ$300,G1211,H1211)</f>
        <v>8</v>
      </c>
      <c r="O1211" s="0" t="n">
        <f aca="false">IF(N1211="","",IFERROR(VALUE(SUBSTITUTE(SUBSTITUTE(N1211," btl",""),".","")),""))</f>
        <v>8</v>
      </c>
      <c r="P1211" s="0" t="str">
        <f aca="false">IF(B1211="PRODUKSI","produced","reject")</f>
        <v>reject</v>
      </c>
    </row>
    <row r="1212" customFormat="false" ht="15" hidden="false" customHeight="false" outlineLevel="0" collapsed="false">
      <c r="A1212" s="0" t="n">
        <v>1211</v>
      </c>
      <c r="B1212" s="0" t="str">
        <f aca="false">IF(A1212&lt;=36*25,"PRODUKSI","REJECT")</f>
        <v>REJECT</v>
      </c>
      <c r="C1212" s="0" t="n">
        <f aca="false">MOD(A1212-1,Pemetaan!$B$3*Pemetaan!$B$4)</f>
        <v>310</v>
      </c>
      <c r="D1212" s="0" t="n">
        <f aca="false">INT(C1212/Pemetaan!$B$4)</f>
        <v>12</v>
      </c>
      <c r="E1212" s="0" t="n">
        <f aca="false">MOD(C1212,Pemetaan!$B$4)</f>
        <v>10</v>
      </c>
      <c r="F1212" s="0" t="n">
        <f aca="false">IF(B1212="PRODUKSI",Pemetaan!$B$5,Pemetaan!$B$6)</f>
        <v>46</v>
      </c>
      <c r="G1212" s="0" t="n">
        <f aca="false">F1212+2+D1212</f>
        <v>60</v>
      </c>
      <c r="H1212" s="0" t="n">
        <f aca="false">Pemetaan!$B$2+E1212</f>
        <v>15</v>
      </c>
      <c r="I1212" s="0" t="str">
        <f aca="false">INDEX(Laporan!$A$1:$AZ$300,G1212,1)</f>
        <v>Water Treatment</v>
      </c>
      <c r="J1212" s="0" t="str">
        <f aca="false">INDEX(Laporan!$A$1:$AZ$300,G1212,2)</f>
        <v>1,5 L</v>
      </c>
      <c r="K1212" s="0" t="str">
        <f aca="false">INDEX(Laporan!$A$1:$AZ$300,G1212,3)</f>
        <v>Shift 1</v>
      </c>
      <c r="L1212" s="0" t="n">
        <f aca="false">INDEX(Laporan!$A$1:$AZ$300,G1212,4)</f>
        <v>1</v>
      </c>
      <c r="M1212" s="1" t="n">
        <f aca="false">DATE(Pemetaan!$B$1,VALUE(RIGHT(INDEX(Laporan!$A$1:$AZ$300,F1212+1,H1212),2)),VALUE(LEFT(INDEX(Laporan!$A$1:$AZ$300,F1212+1,H1212),2)))</f>
        <v>46097</v>
      </c>
      <c r="N1212" s="0" t="n">
        <f aca="false">INDEX(Laporan!$A$1:$AZ$300,G1212,H1212)</f>
        <v>3</v>
      </c>
      <c r="O1212" s="0" t="n">
        <f aca="false">IF(N1212="","",IFERROR(VALUE(SUBSTITUTE(SUBSTITUTE(N1212," btl",""),".","")),""))</f>
        <v>3</v>
      </c>
      <c r="P1212" s="0" t="str">
        <f aca="false">IF(B1212="PRODUKSI","produced","reject")</f>
        <v>reject</v>
      </c>
    </row>
    <row r="1213" customFormat="false" ht="15" hidden="false" customHeight="false" outlineLevel="0" collapsed="false">
      <c r="A1213" s="0" t="n">
        <v>1212</v>
      </c>
      <c r="B1213" s="0" t="str">
        <f aca="false">IF(A1213&lt;=36*25,"PRODUKSI","REJECT")</f>
        <v>REJECT</v>
      </c>
      <c r="C1213" s="0" t="n">
        <f aca="false">MOD(A1213-1,Pemetaan!$B$3*Pemetaan!$B$4)</f>
        <v>311</v>
      </c>
      <c r="D1213" s="0" t="n">
        <f aca="false">INT(C1213/Pemetaan!$B$4)</f>
        <v>12</v>
      </c>
      <c r="E1213" s="0" t="n">
        <f aca="false">MOD(C1213,Pemetaan!$B$4)</f>
        <v>11</v>
      </c>
      <c r="F1213" s="0" t="n">
        <f aca="false">IF(B1213="PRODUKSI",Pemetaan!$B$5,Pemetaan!$B$6)</f>
        <v>46</v>
      </c>
      <c r="G1213" s="0" t="n">
        <f aca="false">F1213+2+D1213</f>
        <v>60</v>
      </c>
      <c r="H1213" s="0" t="n">
        <f aca="false">Pemetaan!$B$2+E1213</f>
        <v>16</v>
      </c>
      <c r="I1213" s="0" t="str">
        <f aca="false">INDEX(Laporan!$A$1:$AZ$300,G1213,1)</f>
        <v>Water Treatment</v>
      </c>
      <c r="J1213" s="0" t="str">
        <f aca="false">INDEX(Laporan!$A$1:$AZ$300,G1213,2)</f>
        <v>1,5 L</v>
      </c>
      <c r="K1213" s="0" t="str">
        <f aca="false">INDEX(Laporan!$A$1:$AZ$300,G1213,3)</f>
        <v>Shift 1</v>
      </c>
      <c r="L1213" s="0" t="n">
        <f aca="false">INDEX(Laporan!$A$1:$AZ$300,G1213,4)</f>
        <v>1</v>
      </c>
      <c r="M1213" s="1" t="n">
        <f aca="false">DATE(Pemetaan!$B$1,VALUE(RIGHT(INDEX(Laporan!$A$1:$AZ$300,F1213+1,H1213),2)),VALUE(LEFT(INDEX(Laporan!$A$1:$AZ$300,F1213+1,H1213),2)))</f>
        <v>46098</v>
      </c>
      <c r="N1213" s="0" t="n">
        <f aca="false">INDEX(Laporan!$A$1:$AZ$300,G1213,H1213)</f>
        <v>1</v>
      </c>
      <c r="O1213" s="0" t="n">
        <f aca="false">IF(N1213="","",IFERROR(VALUE(SUBSTITUTE(SUBSTITUTE(N1213," btl",""),".","")),""))</f>
        <v>1</v>
      </c>
      <c r="P1213" s="0" t="str">
        <f aca="false">IF(B1213="PRODUKSI","produced","reject")</f>
        <v>reject</v>
      </c>
    </row>
    <row r="1214" customFormat="false" ht="15" hidden="false" customHeight="false" outlineLevel="0" collapsed="false">
      <c r="A1214" s="0" t="n">
        <v>1213</v>
      </c>
      <c r="B1214" s="0" t="str">
        <f aca="false">IF(A1214&lt;=36*25,"PRODUKSI","REJECT")</f>
        <v>REJECT</v>
      </c>
      <c r="C1214" s="0" t="n">
        <f aca="false">MOD(A1214-1,Pemetaan!$B$3*Pemetaan!$B$4)</f>
        <v>312</v>
      </c>
      <c r="D1214" s="0" t="n">
        <f aca="false">INT(C1214/Pemetaan!$B$4)</f>
        <v>12</v>
      </c>
      <c r="E1214" s="0" t="n">
        <f aca="false">MOD(C1214,Pemetaan!$B$4)</f>
        <v>12</v>
      </c>
      <c r="F1214" s="0" t="n">
        <f aca="false">IF(B1214="PRODUKSI",Pemetaan!$B$5,Pemetaan!$B$6)</f>
        <v>46</v>
      </c>
      <c r="G1214" s="0" t="n">
        <f aca="false">F1214+2+D1214</f>
        <v>60</v>
      </c>
      <c r="H1214" s="0" t="n">
        <f aca="false">Pemetaan!$B$2+E1214</f>
        <v>17</v>
      </c>
      <c r="I1214" s="0" t="str">
        <f aca="false">INDEX(Laporan!$A$1:$AZ$300,G1214,1)</f>
        <v>Water Treatment</v>
      </c>
      <c r="J1214" s="0" t="str">
        <f aca="false">INDEX(Laporan!$A$1:$AZ$300,G1214,2)</f>
        <v>1,5 L</v>
      </c>
      <c r="K1214" s="0" t="str">
        <f aca="false">INDEX(Laporan!$A$1:$AZ$300,G1214,3)</f>
        <v>Shift 1</v>
      </c>
      <c r="L1214" s="0" t="n">
        <f aca="false">INDEX(Laporan!$A$1:$AZ$300,G1214,4)</f>
        <v>1</v>
      </c>
      <c r="M1214" s="1" t="n">
        <f aca="false">DATE(Pemetaan!$B$1,VALUE(RIGHT(INDEX(Laporan!$A$1:$AZ$300,F1214+1,H1214),2)),VALUE(LEFT(INDEX(Laporan!$A$1:$AZ$300,F1214+1,H1214),2)))</f>
        <v>46099</v>
      </c>
      <c r="N1214" s="0" t="n">
        <f aca="false">INDEX(Laporan!$A$1:$AZ$300,G1214,H1214)</f>
        <v>4</v>
      </c>
      <c r="O1214" s="0" t="n">
        <f aca="false">IF(N1214="","",IFERROR(VALUE(SUBSTITUTE(SUBSTITUTE(N1214," btl",""),".","")),""))</f>
        <v>4</v>
      </c>
      <c r="P1214" s="0" t="str">
        <f aca="false">IF(B1214="PRODUKSI","produced","reject")</f>
        <v>reject</v>
      </c>
    </row>
    <row r="1215" customFormat="false" ht="15" hidden="false" customHeight="false" outlineLevel="0" collapsed="false">
      <c r="A1215" s="0" t="n">
        <v>1214</v>
      </c>
      <c r="B1215" s="0" t="str">
        <f aca="false">IF(A1215&lt;=36*25,"PRODUKSI","REJECT")</f>
        <v>REJECT</v>
      </c>
      <c r="C1215" s="0" t="n">
        <f aca="false">MOD(A1215-1,Pemetaan!$B$3*Pemetaan!$B$4)</f>
        <v>313</v>
      </c>
      <c r="D1215" s="0" t="n">
        <f aca="false">INT(C1215/Pemetaan!$B$4)</f>
        <v>12</v>
      </c>
      <c r="E1215" s="0" t="n">
        <f aca="false">MOD(C1215,Pemetaan!$B$4)</f>
        <v>13</v>
      </c>
      <c r="F1215" s="0" t="n">
        <f aca="false">IF(B1215="PRODUKSI",Pemetaan!$B$5,Pemetaan!$B$6)</f>
        <v>46</v>
      </c>
      <c r="G1215" s="0" t="n">
        <f aca="false">F1215+2+D1215</f>
        <v>60</v>
      </c>
      <c r="H1215" s="0" t="n">
        <f aca="false">Pemetaan!$B$2+E1215</f>
        <v>18</v>
      </c>
      <c r="I1215" s="0" t="str">
        <f aca="false">INDEX(Laporan!$A$1:$AZ$300,G1215,1)</f>
        <v>Water Treatment</v>
      </c>
      <c r="J1215" s="0" t="str">
        <f aca="false">INDEX(Laporan!$A$1:$AZ$300,G1215,2)</f>
        <v>1,5 L</v>
      </c>
      <c r="K1215" s="0" t="str">
        <f aca="false">INDEX(Laporan!$A$1:$AZ$300,G1215,3)</f>
        <v>Shift 1</v>
      </c>
      <c r="L1215" s="0" t="n">
        <f aca="false">INDEX(Laporan!$A$1:$AZ$300,G1215,4)</f>
        <v>1</v>
      </c>
      <c r="M1215" s="1" t="n">
        <f aca="false">DATE(Pemetaan!$B$1,VALUE(RIGHT(INDEX(Laporan!$A$1:$AZ$300,F1215+1,H1215),2)),VALUE(LEFT(INDEX(Laporan!$A$1:$AZ$300,F1215+1,H1215),2)))</f>
        <v>46100</v>
      </c>
      <c r="N1215" s="0" t="n">
        <f aca="false">INDEX(Laporan!$A$1:$AZ$300,G1215,H1215)</f>
        <v>8</v>
      </c>
      <c r="O1215" s="0" t="n">
        <f aca="false">IF(N1215="","",IFERROR(VALUE(SUBSTITUTE(SUBSTITUTE(N1215," btl",""),".","")),""))</f>
        <v>8</v>
      </c>
      <c r="P1215" s="0" t="str">
        <f aca="false">IF(B1215="PRODUKSI","produced","reject")</f>
        <v>reject</v>
      </c>
    </row>
    <row r="1216" customFormat="false" ht="15" hidden="false" customHeight="false" outlineLevel="0" collapsed="false">
      <c r="A1216" s="0" t="n">
        <v>1215</v>
      </c>
      <c r="B1216" s="0" t="str">
        <f aca="false">IF(A1216&lt;=36*25,"PRODUKSI","REJECT")</f>
        <v>REJECT</v>
      </c>
      <c r="C1216" s="0" t="n">
        <f aca="false">MOD(A1216-1,Pemetaan!$B$3*Pemetaan!$B$4)</f>
        <v>314</v>
      </c>
      <c r="D1216" s="0" t="n">
        <f aca="false">INT(C1216/Pemetaan!$B$4)</f>
        <v>12</v>
      </c>
      <c r="E1216" s="0" t="n">
        <f aca="false">MOD(C1216,Pemetaan!$B$4)</f>
        <v>14</v>
      </c>
      <c r="F1216" s="0" t="n">
        <f aca="false">IF(B1216="PRODUKSI",Pemetaan!$B$5,Pemetaan!$B$6)</f>
        <v>46</v>
      </c>
      <c r="G1216" s="0" t="n">
        <f aca="false">F1216+2+D1216</f>
        <v>60</v>
      </c>
      <c r="H1216" s="0" t="n">
        <f aca="false">Pemetaan!$B$2+E1216</f>
        <v>19</v>
      </c>
      <c r="I1216" s="0" t="str">
        <f aca="false">INDEX(Laporan!$A$1:$AZ$300,G1216,1)</f>
        <v>Water Treatment</v>
      </c>
      <c r="J1216" s="0" t="str">
        <f aca="false">INDEX(Laporan!$A$1:$AZ$300,G1216,2)</f>
        <v>1,5 L</v>
      </c>
      <c r="K1216" s="0" t="str">
        <f aca="false">INDEX(Laporan!$A$1:$AZ$300,G1216,3)</f>
        <v>Shift 1</v>
      </c>
      <c r="L1216" s="0" t="n">
        <f aca="false">INDEX(Laporan!$A$1:$AZ$300,G1216,4)</f>
        <v>1</v>
      </c>
      <c r="M1216" s="1" t="n">
        <f aca="false">DATE(Pemetaan!$B$1,VALUE(RIGHT(INDEX(Laporan!$A$1:$AZ$300,F1216+1,H1216),2)),VALUE(LEFT(INDEX(Laporan!$A$1:$AZ$300,F1216+1,H1216),2)))</f>
        <v>46101</v>
      </c>
      <c r="N1216" s="0" t="n">
        <f aca="false">INDEX(Laporan!$A$1:$AZ$300,G1216,H1216)</f>
        <v>5</v>
      </c>
      <c r="O1216" s="0" t="n">
        <f aca="false">IF(N1216="","",IFERROR(VALUE(SUBSTITUTE(SUBSTITUTE(N1216," btl",""),".","")),""))</f>
        <v>5</v>
      </c>
      <c r="P1216" s="0" t="str">
        <f aca="false">IF(B1216="PRODUKSI","produced","reject")</f>
        <v>reject</v>
      </c>
    </row>
    <row r="1217" customFormat="false" ht="15" hidden="false" customHeight="false" outlineLevel="0" collapsed="false">
      <c r="A1217" s="0" t="n">
        <v>1216</v>
      </c>
      <c r="B1217" s="0" t="str">
        <f aca="false">IF(A1217&lt;=36*25,"PRODUKSI","REJECT")</f>
        <v>REJECT</v>
      </c>
      <c r="C1217" s="0" t="n">
        <f aca="false">MOD(A1217-1,Pemetaan!$B$3*Pemetaan!$B$4)</f>
        <v>315</v>
      </c>
      <c r="D1217" s="0" t="n">
        <f aca="false">INT(C1217/Pemetaan!$B$4)</f>
        <v>12</v>
      </c>
      <c r="E1217" s="0" t="n">
        <f aca="false">MOD(C1217,Pemetaan!$B$4)</f>
        <v>15</v>
      </c>
      <c r="F1217" s="0" t="n">
        <f aca="false">IF(B1217="PRODUKSI",Pemetaan!$B$5,Pemetaan!$B$6)</f>
        <v>46</v>
      </c>
      <c r="G1217" s="0" t="n">
        <f aca="false">F1217+2+D1217</f>
        <v>60</v>
      </c>
      <c r="H1217" s="0" t="n">
        <f aca="false">Pemetaan!$B$2+E1217</f>
        <v>20</v>
      </c>
      <c r="I1217" s="0" t="str">
        <f aca="false">INDEX(Laporan!$A$1:$AZ$300,G1217,1)</f>
        <v>Water Treatment</v>
      </c>
      <c r="J1217" s="0" t="str">
        <f aca="false">INDEX(Laporan!$A$1:$AZ$300,G1217,2)</f>
        <v>1,5 L</v>
      </c>
      <c r="K1217" s="0" t="str">
        <f aca="false">INDEX(Laporan!$A$1:$AZ$300,G1217,3)</f>
        <v>Shift 1</v>
      </c>
      <c r="L1217" s="0" t="n">
        <f aca="false">INDEX(Laporan!$A$1:$AZ$300,G1217,4)</f>
        <v>1</v>
      </c>
      <c r="M1217" s="1" t="n">
        <f aca="false">DATE(Pemetaan!$B$1,VALUE(RIGHT(INDEX(Laporan!$A$1:$AZ$300,F1217+1,H1217),2)),VALUE(LEFT(INDEX(Laporan!$A$1:$AZ$300,F1217+1,H1217),2)))</f>
        <v>46104</v>
      </c>
      <c r="N1217" s="0" t="n">
        <f aca="false">INDEX(Laporan!$A$1:$AZ$300,G1217,H1217)</f>
        <v>8</v>
      </c>
      <c r="O1217" s="0" t="n">
        <f aca="false">IF(N1217="","",IFERROR(VALUE(SUBSTITUTE(SUBSTITUTE(N1217," btl",""),".","")),""))</f>
        <v>8</v>
      </c>
      <c r="P1217" s="0" t="str">
        <f aca="false">IF(B1217="PRODUKSI","produced","reject")</f>
        <v>reject</v>
      </c>
    </row>
    <row r="1218" customFormat="false" ht="15" hidden="false" customHeight="false" outlineLevel="0" collapsed="false">
      <c r="A1218" s="0" t="n">
        <v>1217</v>
      </c>
      <c r="B1218" s="0" t="str">
        <f aca="false">IF(A1218&lt;=36*25,"PRODUKSI","REJECT")</f>
        <v>REJECT</v>
      </c>
      <c r="C1218" s="0" t="n">
        <f aca="false">MOD(A1218-1,Pemetaan!$B$3*Pemetaan!$B$4)</f>
        <v>316</v>
      </c>
      <c r="D1218" s="0" t="n">
        <f aca="false">INT(C1218/Pemetaan!$B$4)</f>
        <v>12</v>
      </c>
      <c r="E1218" s="0" t="n">
        <f aca="false">MOD(C1218,Pemetaan!$B$4)</f>
        <v>16</v>
      </c>
      <c r="F1218" s="0" t="n">
        <f aca="false">IF(B1218="PRODUKSI",Pemetaan!$B$5,Pemetaan!$B$6)</f>
        <v>46</v>
      </c>
      <c r="G1218" s="0" t="n">
        <f aca="false">F1218+2+D1218</f>
        <v>60</v>
      </c>
      <c r="H1218" s="0" t="n">
        <f aca="false">Pemetaan!$B$2+E1218</f>
        <v>21</v>
      </c>
      <c r="I1218" s="0" t="str">
        <f aca="false">INDEX(Laporan!$A$1:$AZ$300,G1218,1)</f>
        <v>Water Treatment</v>
      </c>
      <c r="J1218" s="0" t="str">
        <f aca="false">INDEX(Laporan!$A$1:$AZ$300,G1218,2)</f>
        <v>1,5 L</v>
      </c>
      <c r="K1218" s="0" t="str">
        <f aca="false">INDEX(Laporan!$A$1:$AZ$300,G1218,3)</f>
        <v>Shift 1</v>
      </c>
      <c r="L1218" s="0" t="n">
        <f aca="false">INDEX(Laporan!$A$1:$AZ$300,G1218,4)</f>
        <v>1</v>
      </c>
      <c r="M1218" s="1" t="n">
        <f aca="false">DATE(Pemetaan!$B$1,VALUE(RIGHT(INDEX(Laporan!$A$1:$AZ$300,F1218+1,H1218),2)),VALUE(LEFT(INDEX(Laporan!$A$1:$AZ$300,F1218+1,H1218),2)))</f>
        <v>46105</v>
      </c>
      <c r="N1218" s="0" t="n">
        <f aca="false">INDEX(Laporan!$A$1:$AZ$300,G1218,H1218)</f>
        <v>7</v>
      </c>
      <c r="O1218" s="0" t="n">
        <f aca="false">IF(N1218="","",IFERROR(VALUE(SUBSTITUTE(SUBSTITUTE(N1218," btl",""),".","")),""))</f>
        <v>7</v>
      </c>
      <c r="P1218" s="0" t="str">
        <f aca="false">IF(B1218="PRODUKSI","produced","reject")</f>
        <v>reject</v>
      </c>
    </row>
    <row r="1219" customFormat="false" ht="15" hidden="false" customHeight="false" outlineLevel="0" collapsed="false">
      <c r="A1219" s="0" t="n">
        <v>1218</v>
      </c>
      <c r="B1219" s="0" t="str">
        <f aca="false">IF(A1219&lt;=36*25,"PRODUKSI","REJECT")</f>
        <v>REJECT</v>
      </c>
      <c r="C1219" s="0" t="n">
        <f aca="false">MOD(A1219-1,Pemetaan!$B$3*Pemetaan!$B$4)</f>
        <v>317</v>
      </c>
      <c r="D1219" s="0" t="n">
        <f aca="false">INT(C1219/Pemetaan!$B$4)</f>
        <v>12</v>
      </c>
      <c r="E1219" s="0" t="n">
        <f aca="false">MOD(C1219,Pemetaan!$B$4)</f>
        <v>17</v>
      </c>
      <c r="F1219" s="0" t="n">
        <f aca="false">IF(B1219="PRODUKSI",Pemetaan!$B$5,Pemetaan!$B$6)</f>
        <v>46</v>
      </c>
      <c r="G1219" s="0" t="n">
        <f aca="false">F1219+2+D1219</f>
        <v>60</v>
      </c>
      <c r="H1219" s="0" t="n">
        <f aca="false">Pemetaan!$B$2+E1219</f>
        <v>22</v>
      </c>
      <c r="I1219" s="0" t="str">
        <f aca="false">INDEX(Laporan!$A$1:$AZ$300,G1219,1)</f>
        <v>Water Treatment</v>
      </c>
      <c r="J1219" s="0" t="str">
        <f aca="false">INDEX(Laporan!$A$1:$AZ$300,G1219,2)</f>
        <v>1,5 L</v>
      </c>
      <c r="K1219" s="0" t="str">
        <f aca="false">INDEX(Laporan!$A$1:$AZ$300,G1219,3)</f>
        <v>Shift 1</v>
      </c>
      <c r="L1219" s="0" t="n">
        <f aca="false">INDEX(Laporan!$A$1:$AZ$300,G1219,4)</f>
        <v>1</v>
      </c>
      <c r="M1219" s="1" t="n">
        <f aca="false">DATE(Pemetaan!$B$1,VALUE(RIGHT(INDEX(Laporan!$A$1:$AZ$300,F1219+1,H1219),2)),VALUE(LEFT(INDEX(Laporan!$A$1:$AZ$300,F1219+1,H1219),2)))</f>
        <v>46106</v>
      </c>
      <c r="N1219" s="0" t="n">
        <f aca="false">INDEX(Laporan!$A$1:$AZ$300,G1219,H1219)</f>
        <v>7</v>
      </c>
      <c r="O1219" s="0" t="n">
        <f aca="false">IF(N1219="","",IFERROR(VALUE(SUBSTITUTE(SUBSTITUTE(N1219," btl",""),".","")),""))</f>
        <v>7</v>
      </c>
      <c r="P1219" s="0" t="str">
        <f aca="false">IF(B1219="PRODUKSI","produced","reject")</f>
        <v>reject</v>
      </c>
    </row>
    <row r="1220" customFormat="false" ht="15" hidden="false" customHeight="false" outlineLevel="0" collapsed="false">
      <c r="A1220" s="0" t="n">
        <v>1219</v>
      </c>
      <c r="B1220" s="0" t="str">
        <f aca="false">IF(A1220&lt;=36*25,"PRODUKSI","REJECT")</f>
        <v>REJECT</v>
      </c>
      <c r="C1220" s="0" t="n">
        <f aca="false">MOD(A1220-1,Pemetaan!$B$3*Pemetaan!$B$4)</f>
        <v>318</v>
      </c>
      <c r="D1220" s="0" t="n">
        <f aca="false">INT(C1220/Pemetaan!$B$4)</f>
        <v>12</v>
      </c>
      <c r="E1220" s="0" t="n">
        <f aca="false">MOD(C1220,Pemetaan!$B$4)</f>
        <v>18</v>
      </c>
      <c r="F1220" s="0" t="n">
        <f aca="false">IF(B1220="PRODUKSI",Pemetaan!$B$5,Pemetaan!$B$6)</f>
        <v>46</v>
      </c>
      <c r="G1220" s="0" t="n">
        <f aca="false">F1220+2+D1220</f>
        <v>60</v>
      </c>
      <c r="H1220" s="0" t="n">
        <f aca="false">Pemetaan!$B$2+E1220</f>
        <v>23</v>
      </c>
      <c r="I1220" s="0" t="str">
        <f aca="false">INDEX(Laporan!$A$1:$AZ$300,G1220,1)</f>
        <v>Water Treatment</v>
      </c>
      <c r="J1220" s="0" t="str">
        <f aca="false">INDEX(Laporan!$A$1:$AZ$300,G1220,2)</f>
        <v>1,5 L</v>
      </c>
      <c r="K1220" s="0" t="str">
        <f aca="false">INDEX(Laporan!$A$1:$AZ$300,G1220,3)</f>
        <v>Shift 1</v>
      </c>
      <c r="L1220" s="0" t="n">
        <f aca="false">INDEX(Laporan!$A$1:$AZ$300,G1220,4)</f>
        <v>1</v>
      </c>
      <c r="M1220" s="1" t="n">
        <f aca="false">DATE(Pemetaan!$B$1,VALUE(RIGHT(INDEX(Laporan!$A$1:$AZ$300,F1220+1,H1220),2)),VALUE(LEFT(INDEX(Laporan!$A$1:$AZ$300,F1220+1,H1220),2)))</f>
        <v>46107</v>
      </c>
      <c r="N1220" s="0" t="n">
        <f aca="false">INDEX(Laporan!$A$1:$AZ$300,G1220,H1220)</f>
        <v>9</v>
      </c>
      <c r="O1220" s="0" t="n">
        <f aca="false">IF(N1220="","",IFERROR(VALUE(SUBSTITUTE(SUBSTITUTE(N1220," btl",""),".","")),""))</f>
        <v>9</v>
      </c>
      <c r="P1220" s="0" t="str">
        <f aca="false">IF(B1220="PRODUKSI","produced","reject")</f>
        <v>reject</v>
      </c>
    </row>
    <row r="1221" customFormat="false" ht="15" hidden="false" customHeight="false" outlineLevel="0" collapsed="false">
      <c r="A1221" s="0" t="n">
        <v>1220</v>
      </c>
      <c r="B1221" s="0" t="str">
        <f aca="false">IF(A1221&lt;=36*25,"PRODUKSI","REJECT")</f>
        <v>REJECT</v>
      </c>
      <c r="C1221" s="0" t="n">
        <f aca="false">MOD(A1221-1,Pemetaan!$B$3*Pemetaan!$B$4)</f>
        <v>319</v>
      </c>
      <c r="D1221" s="0" t="n">
        <f aca="false">INT(C1221/Pemetaan!$B$4)</f>
        <v>12</v>
      </c>
      <c r="E1221" s="0" t="n">
        <f aca="false">MOD(C1221,Pemetaan!$B$4)</f>
        <v>19</v>
      </c>
      <c r="F1221" s="0" t="n">
        <f aca="false">IF(B1221="PRODUKSI",Pemetaan!$B$5,Pemetaan!$B$6)</f>
        <v>46</v>
      </c>
      <c r="G1221" s="0" t="n">
        <f aca="false">F1221+2+D1221</f>
        <v>60</v>
      </c>
      <c r="H1221" s="0" t="n">
        <f aca="false">Pemetaan!$B$2+E1221</f>
        <v>24</v>
      </c>
      <c r="I1221" s="0" t="str">
        <f aca="false">INDEX(Laporan!$A$1:$AZ$300,G1221,1)</f>
        <v>Water Treatment</v>
      </c>
      <c r="J1221" s="0" t="str">
        <f aca="false">INDEX(Laporan!$A$1:$AZ$300,G1221,2)</f>
        <v>1,5 L</v>
      </c>
      <c r="K1221" s="0" t="str">
        <f aca="false">INDEX(Laporan!$A$1:$AZ$300,G1221,3)</f>
        <v>Shift 1</v>
      </c>
      <c r="L1221" s="0" t="n">
        <f aca="false">INDEX(Laporan!$A$1:$AZ$300,G1221,4)</f>
        <v>1</v>
      </c>
      <c r="M1221" s="1" t="n">
        <f aca="false">DATE(Pemetaan!$B$1,VALUE(RIGHT(INDEX(Laporan!$A$1:$AZ$300,F1221+1,H1221),2)),VALUE(LEFT(INDEX(Laporan!$A$1:$AZ$300,F1221+1,H1221),2)))</f>
        <v>46108</v>
      </c>
      <c r="N1221" s="0" t="n">
        <f aca="false">INDEX(Laporan!$A$1:$AZ$300,G1221,H1221)</f>
        <v>11</v>
      </c>
      <c r="O1221" s="0" t="n">
        <f aca="false">IF(N1221="","",IFERROR(VALUE(SUBSTITUTE(SUBSTITUTE(N1221," btl",""),".","")),""))</f>
        <v>11</v>
      </c>
      <c r="P1221" s="0" t="str">
        <f aca="false">IF(B1221="PRODUKSI","produced","reject")</f>
        <v>reject</v>
      </c>
    </row>
    <row r="1222" customFormat="false" ht="15" hidden="false" customHeight="false" outlineLevel="0" collapsed="false">
      <c r="A1222" s="0" t="n">
        <v>1221</v>
      </c>
      <c r="B1222" s="0" t="str">
        <f aca="false">IF(A1222&lt;=36*25,"PRODUKSI","REJECT")</f>
        <v>REJECT</v>
      </c>
      <c r="C1222" s="0" t="n">
        <f aca="false">MOD(A1222-1,Pemetaan!$B$3*Pemetaan!$B$4)</f>
        <v>320</v>
      </c>
      <c r="D1222" s="0" t="n">
        <f aca="false">INT(C1222/Pemetaan!$B$4)</f>
        <v>12</v>
      </c>
      <c r="E1222" s="0" t="n">
        <f aca="false">MOD(C1222,Pemetaan!$B$4)</f>
        <v>20</v>
      </c>
      <c r="F1222" s="0" t="n">
        <f aca="false">IF(B1222="PRODUKSI",Pemetaan!$B$5,Pemetaan!$B$6)</f>
        <v>46</v>
      </c>
      <c r="G1222" s="0" t="n">
        <f aca="false">F1222+2+D1222</f>
        <v>60</v>
      </c>
      <c r="H1222" s="0" t="n">
        <f aca="false">Pemetaan!$B$2+E1222</f>
        <v>25</v>
      </c>
      <c r="I1222" s="0" t="str">
        <f aca="false">INDEX(Laporan!$A$1:$AZ$300,G1222,1)</f>
        <v>Water Treatment</v>
      </c>
      <c r="J1222" s="0" t="str">
        <f aca="false">INDEX(Laporan!$A$1:$AZ$300,G1222,2)</f>
        <v>1,5 L</v>
      </c>
      <c r="K1222" s="0" t="str">
        <f aca="false">INDEX(Laporan!$A$1:$AZ$300,G1222,3)</f>
        <v>Shift 1</v>
      </c>
      <c r="L1222" s="0" t="n">
        <f aca="false">INDEX(Laporan!$A$1:$AZ$300,G1222,4)</f>
        <v>1</v>
      </c>
      <c r="M1222" s="1" t="n">
        <f aca="false">DATE(Pemetaan!$B$1,VALUE(RIGHT(INDEX(Laporan!$A$1:$AZ$300,F1222+1,H1222),2)),VALUE(LEFT(INDEX(Laporan!$A$1:$AZ$300,F1222+1,H1222),2)))</f>
        <v>46111</v>
      </c>
      <c r="N1222" s="0" t="n">
        <f aca="false">INDEX(Laporan!$A$1:$AZ$300,G1222,H1222)</f>
        <v>4</v>
      </c>
      <c r="O1222" s="0" t="n">
        <f aca="false">IF(N1222="","",IFERROR(VALUE(SUBSTITUTE(SUBSTITUTE(N1222," btl",""),".","")),""))</f>
        <v>4</v>
      </c>
      <c r="P1222" s="0" t="str">
        <f aca="false">IF(B1222="PRODUKSI","produced","reject")</f>
        <v>reject</v>
      </c>
    </row>
    <row r="1223" customFormat="false" ht="15" hidden="false" customHeight="false" outlineLevel="0" collapsed="false">
      <c r="A1223" s="0" t="n">
        <v>1222</v>
      </c>
      <c r="B1223" s="0" t="str">
        <f aca="false">IF(A1223&lt;=36*25,"PRODUKSI","REJECT")</f>
        <v>REJECT</v>
      </c>
      <c r="C1223" s="0" t="n">
        <f aca="false">MOD(A1223-1,Pemetaan!$B$3*Pemetaan!$B$4)</f>
        <v>321</v>
      </c>
      <c r="D1223" s="0" t="n">
        <f aca="false">INT(C1223/Pemetaan!$B$4)</f>
        <v>12</v>
      </c>
      <c r="E1223" s="0" t="n">
        <f aca="false">MOD(C1223,Pemetaan!$B$4)</f>
        <v>21</v>
      </c>
      <c r="F1223" s="0" t="n">
        <f aca="false">IF(B1223="PRODUKSI",Pemetaan!$B$5,Pemetaan!$B$6)</f>
        <v>46</v>
      </c>
      <c r="G1223" s="0" t="n">
        <f aca="false">F1223+2+D1223</f>
        <v>60</v>
      </c>
      <c r="H1223" s="0" t="n">
        <f aca="false">Pemetaan!$B$2+E1223</f>
        <v>26</v>
      </c>
      <c r="I1223" s="0" t="str">
        <f aca="false">INDEX(Laporan!$A$1:$AZ$300,G1223,1)</f>
        <v>Water Treatment</v>
      </c>
      <c r="J1223" s="0" t="str">
        <f aca="false">INDEX(Laporan!$A$1:$AZ$300,G1223,2)</f>
        <v>1,5 L</v>
      </c>
      <c r="K1223" s="0" t="str">
        <f aca="false">INDEX(Laporan!$A$1:$AZ$300,G1223,3)</f>
        <v>Shift 1</v>
      </c>
      <c r="L1223" s="0" t="n">
        <f aca="false">INDEX(Laporan!$A$1:$AZ$300,G1223,4)</f>
        <v>1</v>
      </c>
      <c r="M1223" s="1" t="n">
        <f aca="false">DATE(Pemetaan!$B$1,VALUE(RIGHT(INDEX(Laporan!$A$1:$AZ$300,F1223+1,H1223),2)),VALUE(LEFT(INDEX(Laporan!$A$1:$AZ$300,F1223+1,H1223),2)))</f>
        <v>46112</v>
      </c>
      <c r="N1223" s="0" t="n">
        <f aca="false">INDEX(Laporan!$A$1:$AZ$300,G1223,H1223)</f>
        <v>4</v>
      </c>
      <c r="O1223" s="0" t="n">
        <f aca="false">IF(N1223="","",IFERROR(VALUE(SUBSTITUTE(SUBSTITUTE(N1223," btl",""),".","")),""))</f>
        <v>4</v>
      </c>
      <c r="P1223" s="0" t="str">
        <f aca="false">IF(B1223="PRODUKSI","produced","reject")</f>
        <v>reject</v>
      </c>
    </row>
    <row r="1224" customFormat="false" ht="15" hidden="false" customHeight="false" outlineLevel="0" collapsed="false">
      <c r="A1224" s="0" t="n">
        <v>1223</v>
      </c>
      <c r="B1224" s="0" t="str">
        <f aca="false">IF(A1224&lt;=36*25,"PRODUKSI","REJECT")</f>
        <v>REJECT</v>
      </c>
      <c r="C1224" s="0" t="n">
        <f aca="false">MOD(A1224-1,Pemetaan!$B$3*Pemetaan!$B$4)</f>
        <v>322</v>
      </c>
      <c r="D1224" s="0" t="n">
        <f aca="false">INT(C1224/Pemetaan!$B$4)</f>
        <v>12</v>
      </c>
      <c r="E1224" s="0" t="n">
        <f aca="false">MOD(C1224,Pemetaan!$B$4)</f>
        <v>22</v>
      </c>
      <c r="F1224" s="0" t="n">
        <f aca="false">IF(B1224="PRODUKSI",Pemetaan!$B$5,Pemetaan!$B$6)</f>
        <v>46</v>
      </c>
      <c r="G1224" s="0" t="n">
        <f aca="false">F1224+2+D1224</f>
        <v>60</v>
      </c>
      <c r="H1224" s="0" t="n">
        <f aca="false">Pemetaan!$B$2+E1224</f>
        <v>27</v>
      </c>
      <c r="I1224" s="0" t="str">
        <f aca="false">INDEX(Laporan!$A$1:$AZ$300,G1224,1)</f>
        <v>Water Treatment</v>
      </c>
      <c r="J1224" s="0" t="str">
        <f aca="false">INDEX(Laporan!$A$1:$AZ$300,G1224,2)</f>
        <v>1,5 L</v>
      </c>
      <c r="K1224" s="0" t="str">
        <f aca="false">INDEX(Laporan!$A$1:$AZ$300,G1224,3)</f>
        <v>Shift 1</v>
      </c>
      <c r="L1224" s="0" t="n">
        <f aca="false">INDEX(Laporan!$A$1:$AZ$300,G1224,4)</f>
        <v>1</v>
      </c>
      <c r="M1224" s="1" t="n">
        <f aca="false">DATE(Pemetaan!$B$1,VALUE(RIGHT(INDEX(Laporan!$A$1:$AZ$300,F1224+1,H1224),2)),VALUE(LEFT(INDEX(Laporan!$A$1:$AZ$300,F1224+1,H1224),2)))</f>
        <v>46113</v>
      </c>
      <c r="N1224" s="0" t="n">
        <f aca="false">INDEX(Laporan!$A$1:$AZ$300,G1224,H1224)</f>
        <v>4</v>
      </c>
      <c r="O1224" s="0" t="n">
        <f aca="false">IF(N1224="","",IFERROR(VALUE(SUBSTITUTE(SUBSTITUTE(N1224," btl",""),".","")),""))</f>
        <v>4</v>
      </c>
      <c r="P1224" s="0" t="str">
        <f aca="false">IF(B1224="PRODUKSI","produced","reject")</f>
        <v>reject</v>
      </c>
    </row>
    <row r="1225" customFormat="false" ht="15" hidden="false" customHeight="false" outlineLevel="0" collapsed="false">
      <c r="A1225" s="0" t="n">
        <v>1224</v>
      </c>
      <c r="B1225" s="0" t="str">
        <f aca="false">IF(A1225&lt;=36*25,"PRODUKSI","REJECT")</f>
        <v>REJECT</v>
      </c>
      <c r="C1225" s="0" t="n">
        <f aca="false">MOD(A1225-1,Pemetaan!$B$3*Pemetaan!$B$4)</f>
        <v>323</v>
      </c>
      <c r="D1225" s="0" t="n">
        <f aca="false">INT(C1225/Pemetaan!$B$4)</f>
        <v>12</v>
      </c>
      <c r="E1225" s="0" t="n">
        <f aca="false">MOD(C1225,Pemetaan!$B$4)</f>
        <v>23</v>
      </c>
      <c r="F1225" s="0" t="n">
        <f aca="false">IF(B1225="PRODUKSI",Pemetaan!$B$5,Pemetaan!$B$6)</f>
        <v>46</v>
      </c>
      <c r="G1225" s="0" t="n">
        <f aca="false">F1225+2+D1225</f>
        <v>60</v>
      </c>
      <c r="H1225" s="0" t="n">
        <f aca="false">Pemetaan!$B$2+E1225</f>
        <v>28</v>
      </c>
      <c r="I1225" s="0" t="str">
        <f aca="false">INDEX(Laporan!$A$1:$AZ$300,G1225,1)</f>
        <v>Water Treatment</v>
      </c>
      <c r="J1225" s="0" t="str">
        <f aca="false">INDEX(Laporan!$A$1:$AZ$300,G1225,2)</f>
        <v>1,5 L</v>
      </c>
      <c r="K1225" s="0" t="str">
        <f aca="false">INDEX(Laporan!$A$1:$AZ$300,G1225,3)</f>
        <v>Shift 1</v>
      </c>
      <c r="L1225" s="0" t="n">
        <f aca="false">INDEX(Laporan!$A$1:$AZ$300,G1225,4)</f>
        <v>1</v>
      </c>
      <c r="M1225" s="1" t="n">
        <f aca="false">DATE(Pemetaan!$B$1,VALUE(RIGHT(INDEX(Laporan!$A$1:$AZ$300,F1225+1,H1225),2)),VALUE(LEFT(INDEX(Laporan!$A$1:$AZ$300,F1225+1,H1225),2)))</f>
        <v>46114</v>
      </c>
      <c r="N1225" s="0" t="n">
        <f aca="false">INDEX(Laporan!$A$1:$AZ$300,G1225,H1225)</f>
        <v>10</v>
      </c>
      <c r="O1225" s="0" t="n">
        <f aca="false">IF(N1225="","",IFERROR(VALUE(SUBSTITUTE(SUBSTITUTE(N1225," btl",""),".","")),""))</f>
        <v>10</v>
      </c>
      <c r="P1225" s="0" t="str">
        <f aca="false">IF(B1225="PRODUKSI","produced","reject")</f>
        <v>reject</v>
      </c>
    </row>
    <row r="1226" customFormat="false" ht="15" hidden="false" customHeight="false" outlineLevel="0" collapsed="false">
      <c r="A1226" s="0" t="n">
        <v>1225</v>
      </c>
      <c r="B1226" s="0" t="str">
        <f aca="false">IF(A1226&lt;=36*25,"PRODUKSI","REJECT")</f>
        <v>REJECT</v>
      </c>
      <c r="C1226" s="0" t="n">
        <f aca="false">MOD(A1226-1,Pemetaan!$B$3*Pemetaan!$B$4)</f>
        <v>324</v>
      </c>
      <c r="D1226" s="0" t="n">
        <f aca="false">INT(C1226/Pemetaan!$B$4)</f>
        <v>12</v>
      </c>
      <c r="E1226" s="0" t="n">
        <f aca="false">MOD(C1226,Pemetaan!$B$4)</f>
        <v>24</v>
      </c>
      <c r="F1226" s="0" t="n">
        <f aca="false">IF(B1226="PRODUKSI",Pemetaan!$B$5,Pemetaan!$B$6)</f>
        <v>46</v>
      </c>
      <c r="G1226" s="0" t="n">
        <f aca="false">F1226+2+D1226</f>
        <v>60</v>
      </c>
      <c r="H1226" s="0" t="n">
        <f aca="false">Pemetaan!$B$2+E1226</f>
        <v>29</v>
      </c>
      <c r="I1226" s="0" t="str">
        <f aca="false">INDEX(Laporan!$A$1:$AZ$300,G1226,1)</f>
        <v>Water Treatment</v>
      </c>
      <c r="J1226" s="0" t="str">
        <f aca="false">INDEX(Laporan!$A$1:$AZ$300,G1226,2)</f>
        <v>1,5 L</v>
      </c>
      <c r="K1226" s="0" t="str">
        <f aca="false">INDEX(Laporan!$A$1:$AZ$300,G1226,3)</f>
        <v>Shift 1</v>
      </c>
      <c r="L1226" s="0" t="n">
        <f aca="false">INDEX(Laporan!$A$1:$AZ$300,G1226,4)</f>
        <v>1</v>
      </c>
      <c r="M1226" s="1" t="n">
        <f aca="false">DATE(Pemetaan!$B$1,VALUE(RIGHT(INDEX(Laporan!$A$1:$AZ$300,F1226+1,H1226),2)),VALUE(LEFT(INDEX(Laporan!$A$1:$AZ$300,F1226+1,H1226),2)))</f>
        <v>46115</v>
      </c>
      <c r="N1226" s="0" t="n">
        <f aca="false">INDEX(Laporan!$A$1:$AZ$300,G1226,H1226)</f>
        <v>4</v>
      </c>
      <c r="O1226" s="0" t="n">
        <f aca="false">IF(N1226="","",IFERROR(VALUE(SUBSTITUTE(SUBSTITUTE(N1226," btl",""),".","")),""))</f>
        <v>4</v>
      </c>
      <c r="P1226" s="0" t="str">
        <f aca="false">IF(B1226="PRODUKSI","produced","reject")</f>
        <v>reject</v>
      </c>
    </row>
    <row r="1227" customFormat="false" ht="15" hidden="false" customHeight="false" outlineLevel="0" collapsed="false">
      <c r="A1227" s="0" t="n">
        <v>1226</v>
      </c>
      <c r="B1227" s="0" t="str">
        <f aca="false">IF(A1227&lt;=36*25,"PRODUKSI","REJECT")</f>
        <v>REJECT</v>
      </c>
      <c r="C1227" s="0" t="n">
        <f aca="false">MOD(A1227-1,Pemetaan!$B$3*Pemetaan!$B$4)</f>
        <v>325</v>
      </c>
      <c r="D1227" s="0" t="n">
        <f aca="false">INT(C1227/Pemetaan!$B$4)</f>
        <v>13</v>
      </c>
      <c r="E1227" s="0" t="n">
        <f aca="false">MOD(C1227,Pemetaan!$B$4)</f>
        <v>0</v>
      </c>
      <c r="F1227" s="0" t="n">
        <f aca="false">IF(B1227="PRODUKSI",Pemetaan!$B$5,Pemetaan!$B$6)</f>
        <v>46</v>
      </c>
      <c r="G1227" s="0" t="n">
        <f aca="false">F1227+2+D1227</f>
        <v>61</v>
      </c>
      <c r="H1227" s="0" t="n">
        <f aca="false">Pemetaan!$B$2+E1227</f>
        <v>5</v>
      </c>
      <c r="I1227" s="0" t="str">
        <f aca="false">INDEX(Laporan!$A$1:$AZ$300,G1227,1)</f>
        <v>Water Treatment</v>
      </c>
      <c r="J1227" s="0" t="str">
        <f aca="false">INDEX(Laporan!$A$1:$AZ$300,G1227,2)</f>
        <v>1,5 L</v>
      </c>
      <c r="K1227" s="0" t="str">
        <f aca="false">INDEX(Laporan!$A$1:$AZ$300,G1227,3)</f>
        <v>Shift 1</v>
      </c>
      <c r="L1227" s="0" t="n">
        <f aca="false">INDEX(Laporan!$A$1:$AZ$300,G1227,4)</f>
        <v>2</v>
      </c>
      <c r="M1227" s="1" t="n">
        <f aca="false">DATE(Pemetaan!$B$1,VALUE(RIGHT(INDEX(Laporan!$A$1:$AZ$300,F1227+1,H1227),2)),VALUE(LEFT(INDEX(Laporan!$A$1:$AZ$300,F1227+1,H1227),2)))</f>
        <v>46083</v>
      </c>
      <c r="N1227" s="0" t="n">
        <f aca="false">INDEX(Laporan!$A$1:$AZ$300,G1227,H1227)</f>
        <v>4</v>
      </c>
      <c r="O1227" s="0" t="n">
        <f aca="false">IF(N1227="","",IFERROR(VALUE(SUBSTITUTE(SUBSTITUTE(N1227," btl",""),".","")),""))</f>
        <v>4</v>
      </c>
      <c r="P1227" s="0" t="str">
        <f aca="false">IF(B1227="PRODUKSI","produced","reject")</f>
        <v>reject</v>
      </c>
    </row>
    <row r="1228" customFormat="false" ht="15" hidden="false" customHeight="false" outlineLevel="0" collapsed="false">
      <c r="A1228" s="0" t="n">
        <v>1227</v>
      </c>
      <c r="B1228" s="0" t="str">
        <f aca="false">IF(A1228&lt;=36*25,"PRODUKSI","REJECT")</f>
        <v>REJECT</v>
      </c>
      <c r="C1228" s="0" t="n">
        <f aca="false">MOD(A1228-1,Pemetaan!$B$3*Pemetaan!$B$4)</f>
        <v>326</v>
      </c>
      <c r="D1228" s="0" t="n">
        <f aca="false">INT(C1228/Pemetaan!$B$4)</f>
        <v>13</v>
      </c>
      <c r="E1228" s="0" t="n">
        <f aca="false">MOD(C1228,Pemetaan!$B$4)</f>
        <v>1</v>
      </c>
      <c r="F1228" s="0" t="n">
        <f aca="false">IF(B1228="PRODUKSI",Pemetaan!$B$5,Pemetaan!$B$6)</f>
        <v>46</v>
      </c>
      <c r="G1228" s="0" t="n">
        <f aca="false">F1228+2+D1228</f>
        <v>61</v>
      </c>
      <c r="H1228" s="0" t="n">
        <f aca="false">Pemetaan!$B$2+E1228</f>
        <v>6</v>
      </c>
      <c r="I1228" s="0" t="str">
        <f aca="false">INDEX(Laporan!$A$1:$AZ$300,G1228,1)</f>
        <v>Water Treatment</v>
      </c>
      <c r="J1228" s="0" t="str">
        <f aca="false">INDEX(Laporan!$A$1:$AZ$300,G1228,2)</f>
        <v>1,5 L</v>
      </c>
      <c r="K1228" s="0" t="str">
        <f aca="false">INDEX(Laporan!$A$1:$AZ$300,G1228,3)</f>
        <v>Shift 1</v>
      </c>
      <c r="L1228" s="0" t="n">
        <f aca="false">INDEX(Laporan!$A$1:$AZ$300,G1228,4)</f>
        <v>2</v>
      </c>
      <c r="M1228" s="1" t="n">
        <f aca="false">DATE(Pemetaan!$B$1,VALUE(RIGHT(INDEX(Laporan!$A$1:$AZ$300,F1228+1,H1228),2)),VALUE(LEFT(INDEX(Laporan!$A$1:$AZ$300,F1228+1,H1228),2)))</f>
        <v>46084</v>
      </c>
      <c r="N1228" s="0" t="n">
        <f aca="false">INDEX(Laporan!$A$1:$AZ$300,G1228,H1228)</f>
        <v>6</v>
      </c>
      <c r="O1228" s="0" t="n">
        <f aca="false">IF(N1228="","",IFERROR(VALUE(SUBSTITUTE(SUBSTITUTE(N1228," btl",""),".","")),""))</f>
        <v>6</v>
      </c>
      <c r="P1228" s="0" t="str">
        <f aca="false">IF(B1228="PRODUKSI","produced","reject")</f>
        <v>reject</v>
      </c>
    </row>
    <row r="1229" customFormat="false" ht="15" hidden="false" customHeight="false" outlineLevel="0" collapsed="false">
      <c r="A1229" s="0" t="n">
        <v>1228</v>
      </c>
      <c r="B1229" s="0" t="str">
        <f aca="false">IF(A1229&lt;=36*25,"PRODUKSI","REJECT")</f>
        <v>REJECT</v>
      </c>
      <c r="C1229" s="0" t="n">
        <f aca="false">MOD(A1229-1,Pemetaan!$B$3*Pemetaan!$B$4)</f>
        <v>327</v>
      </c>
      <c r="D1229" s="0" t="n">
        <f aca="false">INT(C1229/Pemetaan!$B$4)</f>
        <v>13</v>
      </c>
      <c r="E1229" s="0" t="n">
        <f aca="false">MOD(C1229,Pemetaan!$B$4)</f>
        <v>2</v>
      </c>
      <c r="F1229" s="0" t="n">
        <f aca="false">IF(B1229="PRODUKSI",Pemetaan!$B$5,Pemetaan!$B$6)</f>
        <v>46</v>
      </c>
      <c r="G1229" s="0" t="n">
        <f aca="false">F1229+2+D1229</f>
        <v>61</v>
      </c>
      <c r="H1229" s="0" t="n">
        <f aca="false">Pemetaan!$B$2+E1229</f>
        <v>7</v>
      </c>
      <c r="I1229" s="0" t="str">
        <f aca="false">INDEX(Laporan!$A$1:$AZ$300,G1229,1)</f>
        <v>Water Treatment</v>
      </c>
      <c r="J1229" s="0" t="str">
        <f aca="false">INDEX(Laporan!$A$1:$AZ$300,G1229,2)</f>
        <v>1,5 L</v>
      </c>
      <c r="K1229" s="0" t="str">
        <f aca="false">INDEX(Laporan!$A$1:$AZ$300,G1229,3)</f>
        <v>Shift 1</v>
      </c>
      <c r="L1229" s="0" t="n">
        <f aca="false">INDEX(Laporan!$A$1:$AZ$300,G1229,4)</f>
        <v>2</v>
      </c>
      <c r="M1229" s="1" t="n">
        <f aca="false">DATE(Pemetaan!$B$1,VALUE(RIGHT(INDEX(Laporan!$A$1:$AZ$300,F1229+1,H1229),2)),VALUE(LEFT(INDEX(Laporan!$A$1:$AZ$300,F1229+1,H1229),2)))</f>
        <v>46085</v>
      </c>
      <c r="N1229" s="0" t="n">
        <f aca="false">INDEX(Laporan!$A$1:$AZ$300,G1229,H1229)</f>
        <v>6</v>
      </c>
      <c r="O1229" s="0" t="n">
        <f aca="false">IF(N1229="","",IFERROR(VALUE(SUBSTITUTE(SUBSTITUTE(N1229," btl",""),".","")),""))</f>
        <v>6</v>
      </c>
      <c r="P1229" s="0" t="str">
        <f aca="false">IF(B1229="PRODUKSI","produced","reject")</f>
        <v>reject</v>
      </c>
    </row>
    <row r="1230" customFormat="false" ht="15" hidden="false" customHeight="false" outlineLevel="0" collapsed="false">
      <c r="A1230" s="0" t="n">
        <v>1229</v>
      </c>
      <c r="B1230" s="0" t="str">
        <f aca="false">IF(A1230&lt;=36*25,"PRODUKSI","REJECT")</f>
        <v>REJECT</v>
      </c>
      <c r="C1230" s="0" t="n">
        <f aca="false">MOD(A1230-1,Pemetaan!$B$3*Pemetaan!$B$4)</f>
        <v>328</v>
      </c>
      <c r="D1230" s="0" t="n">
        <f aca="false">INT(C1230/Pemetaan!$B$4)</f>
        <v>13</v>
      </c>
      <c r="E1230" s="0" t="n">
        <f aca="false">MOD(C1230,Pemetaan!$B$4)</f>
        <v>3</v>
      </c>
      <c r="F1230" s="0" t="n">
        <f aca="false">IF(B1230="PRODUKSI",Pemetaan!$B$5,Pemetaan!$B$6)</f>
        <v>46</v>
      </c>
      <c r="G1230" s="0" t="n">
        <f aca="false">F1230+2+D1230</f>
        <v>61</v>
      </c>
      <c r="H1230" s="0" t="n">
        <f aca="false">Pemetaan!$B$2+E1230</f>
        <v>8</v>
      </c>
      <c r="I1230" s="0" t="str">
        <f aca="false">INDEX(Laporan!$A$1:$AZ$300,G1230,1)</f>
        <v>Water Treatment</v>
      </c>
      <c r="J1230" s="0" t="str">
        <f aca="false">INDEX(Laporan!$A$1:$AZ$300,G1230,2)</f>
        <v>1,5 L</v>
      </c>
      <c r="K1230" s="0" t="str">
        <f aca="false">INDEX(Laporan!$A$1:$AZ$300,G1230,3)</f>
        <v>Shift 1</v>
      </c>
      <c r="L1230" s="0" t="n">
        <f aca="false">INDEX(Laporan!$A$1:$AZ$300,G1230,4)</f>
        <v>2</v>
      </c>
      <c r="M1230" s="1" t="n">
        <f aca="false">DATE(Pemetaan!$B$1,VALUE(RIGHT(INDEX(Laporan!$A$1:$AZ$300,F1230+1,H1230),2)),VALUE(LEFT(INDEX(Laporan!$A$1:$AZ$300,F1230+1,H1230),2)))</f>
        <v>46086</v>
      </c>
      <c r="N1230" s="0" t="n">
        <f aca="false">INDEX(Laporan!$A$1:$AZ$300,G1230,H1230)</f>
        <v>9</v>
      </c>
      <c r="O1230" s="0" t="n">
        <f aca="false">IF(N1230="","",IFERROR(VALUE(SUBSTITUTE(SUBSTITUTE(N1230," btl",""),".","")),""))</f>
        <v>9</v>
      </c>
      <c r="P1230" s="0" t="str">
        <f aca="false">IF(B1230="PRODUKSI","produced","reject")</f>
        <v>reject</v>
      </c>
    </row>
    <row r="1231" customFormat="false" ht="15" hidden="false" customHeight="false" outlineLevel="0" collapsed="false">
      <c r="A1231" s="0" t="n">
        <v>1230</v>
      </c>
      <c r="B1231" s="0" t="str">
        <f aca="false">IF(A1231&lt;=36*25,"PRODUKSI","REJECT")</f>
        <v>REJECT</v>
      </c>
      <c r="C1231" s="0" t="n">
        <f aca="false">MOD(A1231-1,Pemetaan!$B$3*Pemetaan!$B$4)</f>
        <v>329</v>
      </c>
      <c r="D1231" s="0" t="n">
        <f aca="false">INT(C1231/Pemetaan!$B$4)</f>
        <v>13</v>
      </c>
      <c r="E1231" s="0" t="n">
        <f aca="false">MOD(C1231,Pemetaan!$B$4)</f>
        <v>4</v>
      </c>
      <c r="F1231" s="0" t="n">
        <f aca="false">IF(B1231="PRODUKSI",Pemetaan!$B$5,Pemetaan!$B$6)</f>
        <v>46</v>
      </c>
      <c r="G1231" s="0" t="n">
        <f aca="false">F1231+2+D1231</f>
        <v>61</v>
      </c>
      <c r="H1231" s="0" t="n">
        <f aca="false">Pemetaan!$B$2+E1231</f>
        <v>9</v>
      </c>
      <c r="I1231" s="0" t="str">
        <f aca="false">INDEX(Laporan!$A$1:$AZ$300,G1231,1)</f>
        <v>Water Treatment</v>
      </c>
      <c r="J1231" s="0" t="str">
        <f aca="false">INDEX(Laporan!$A$1:$AZ$300,G1231,2)</f>
        <v>1,5 L</v>
      </c>
      <c r="K1231" s="0" t="str">
        <f aca="false">INDEX(Laporan!$A$1:$AZ$300,G1231,3)</f>
        <v>Shift 1</v>
      </c>
      <c r="L1231" s="0" t="n">
        <f aca="false">INDEX(Laporan!$A$1:$AZ$300,G1231,4)</f>
        <v>2</v>
      </c>
      <c r="M1231" s="1" t="n">
        <f aca="false">DATE(Pemetaan!$B$1,VALUE(RIGHT(INDEX(Laporan!$A$1:$AZ$300,F1231+1,H1231),2)),VALUE(LEFT(INDEX(Laporan!$A$1:$AZ$300,F1231+1,H1231),2)))</f>
        <v>46087</v>
      </c>
      <c r="N1231" s="0" t="n">
        <f aca="false">INDEX(Laporan!$A$1:$AZ$300,G1231,H1231)</f>
        <v>6</v>
      </c>
      <c r="O1231" s="0" t="n">
        <f aca="false">IF(N1231="","",IFERROR(VALUE(SUBSTITUTE(SUBSTITUTE(N1231," btl",""),".","")),""))</f>
        <v>6</v>
      </c>
      <c r="P1231" s="0" t="str">
        <f aca="false">IF(B1231="PRODUKSI","produced","reject")</f>
        <v>reject</v>
      </c>
    </row>
    <row r="1232" customFormat="false" ht="15" hidden="false" customHeight="false" outlineLevel="0" collapsed="false">
      <c r="A1232" s="0" t="n">
        <v>1231</v>
      </c>
      <c r="B1232" s="0" t="str">
        <f aca="false">IF(A1232&lt;=36*25,"PRODUKSI","REJECT")</f>
        <v>REJECT</v>
      </c>
      <c r="C1232" s="0" t="n">
        <f aca="false">MOD(A1232-1,Pemetaan!$B$3*Pemetaan!$B$4)</f>
        <v>330</v>
      </c>
      <c r="D1232" s="0" t="n">
        <f aca="false">INT(C1232/Pemetaan!$B$4)</f>
        <v>13</v>
      </c>
      <c r="E1232" s="0" t="n">
        <f aca="false">MOD(C1232,Pemetaan!$B$4)</f>
        <v>5</v>
      </c>
      <c r="F1232" s="0" t="n">
        <f aca="false">IF(B1232="PRODUKSI",Pemetaan!$B$5,Pemetaan!$B$6)</f>
        <v>46</v>
      </c>
      <c r="G1232" s="0" t="n">
        <f aca="false">F1232+2+D1232</f>
        <v>61</v>
      </c>
      <c r="H1232" s="0" t="n">
        <f aca="false">Pemetaan!$B$2+E1232</f>
        <v>10</v>
      </c>
      <c r="I1232" s="0" t="str">
        <f aca="false">INDEX(Laporan!$A$1:$AZ$300,G1232,1)</f>
        <v>Water Treatment</v>
      </c>
      <c r="J1232" s="0" t="str">
        <f aca="false">INDEX(Laporan!$A$1:$AZ$300,G1232,2)</f>
        <v>1,5 L</v>
      </c>
      <c r="K1232" s="0" t="str">
        <f aca="false">INDEX(Laporan!$A$1:$AZ$300,G1232,3)</f>
        <v>Shift 1</v>
      </c>
      <c r="L1232" s="0" t="n">
        <f aca="false">INDEX(Laporan!$A$1:$AZ$300,G1232,4)</f>
        <v>2</v>
      </c>
      <c r="M1232" s="1" t="n">
        <f aca="false">DATE(Pemetaan!$B$1,VALUE(RIGHT(INDEX(Laporan!$A$1:$AZ$300,F1232+1,H1232),2)),VALUE(LEFT(INDEX(Laporan!$A$1:$AZ$300,F1232+1,H1232),2)))</f>
        <v>46090</v>
      </c>
      <c r="N1232" s="0" t="n">
        <f aca="false">INDEX(Laporan!$A$1:$AZ$300,G1232,H1232)</f>
        <v>5</v>
      </c>
      <c r="O1232" s="0" t="n">
        <f aca="false">IF(N1232="","",IFERROR(VALUE(SUBSTITUTE(SUBSTITUTE(N1232," btl",""),".","")),""))</f>
        <v>5</v>
      </c>
      <c r="P1232" s="0" t="str">
        <f aca="false">IF(B1232="PRODUKSI","produced","reject")</f>
        <v>reject</v>
      </c>
    </row>
    <row r="1233" customFormat="false" ht="15" hidden="false" customHeight="false" outlineLevel="0" collapsed="false">
      <c r="A1233" s="0" t="n">
        <v>1232</v>
      </c>
      <c r="B1233" s="0" t="str">
        <f aca="false">IF(A1233&lt;=36*25,"PRODUKSI","REJECT")</f>
        <v>REJECT</v>
      </c>
      <c r="C1233" s="0" t="n">
        <f aca="false">MOD(A1233-1,Pemetaan!$B$3*Pemetaan!$B$4)</f>
        <v>331</v>
      </c>
      <c r="D1233" s="0" t="n">
        <f aca="false">INT(C1233/Pemetaan!$B$4)</f>
        <v>13</v>
      </c>
      <c r="E1233" s="0" t="n">
        <f aca="false">MOD(C1233,Pemetaan!$B$4)</f>
        <v>6</v>
      </c>
      <c r="F1233" s="0" t="n">
        <f aca="false">IF(B1233="PRODUKSI",Pemetaan!$B$5,Pemetaan!$B$6)</f>
        <v>46</v>
      </c>
      <c r="G1233" s="0" t="n">
        <f aca="false">F1233+2+D1233</f>
        <v>61</v>
      </c>
      <c r="H1233" s="0" t="n">
        <f aca="false">Pemetaan!$B$2+E1233</f>
        <v>11</v>
      </c>
      <c r="I1233" s="0" t="str">
        <f aca="false">INDEX(Laporan!$A$1:$AZ$300,G1233,1)</f>
        <v>Water Treatment</v>
      </c>
      <c r="J1233" s="0" t="str">
        <f aca="false">INDEX(Laporan!$A$1:$AZ$300,G1233,2)</f>
        <v>1,5 L</v>
      </c>
      <c r="K1233" s="0" t="str">
        <f aca="false">INDEX(Laporan!$A$1:$AZ$300,G1233,3)</f>
        <v>Shift 1</v>
      </c>
      <c r="L1233" s="0" t="n">
        <f aca="false">INDEX(Laporan!$A$1:$AZ$300,G1233,4)</f>
        <v>2</v>
      </c>
      <c r="M1233" s="1" t="n">
        <f aca="false">DATE(Pemetaan!$B$1,VALUE(RIGHT(INDEX(Laporan!$A$1:$AZ$300,F1233+1,H1233),2)),VALUE(LEFT(INDEX(Laporan!$A$1:$AZ$300,F1233+1,H1233),2)))</f>
        <v>46091</v>
      </c>
      <c r="N1233" s="0" t="n">
        <f aca="false">INDEX(Laporan!$A$1:$AZ$300,G1233,H1233)</f>
        <v>3</v>
      </c>
      <c r="O1233" s="0" t="n">
        <f aca="false">IF(N1233="","",IFERROR(VALUE(SUBSTITUTE(SUBSTITUTE(N1233," btl",""),".","")),""))</f>
        <v>3</v>
      </c>
      <c r="P1233" s="0" t="str">
        <f aca="false">IF(B1233="PRODUKSI","produced","reject")</f>
        <v>reject</v>
      </c>
    </row>
    <row r="1234" customFormat="false" ht="15" hidden="false" customHeight="false" outlineLevel="0" collapsed="false">
      <c r="A1234" s="0" t="n">
        <v>1233</v>
      </c>
      <c r="B1234" s="0" t="str">
        <f aca="false">IF(A1234&lt;=36*25,"PRODUKSI","REJECT")</f>
        <v>REJECT</v>
      </c>
      <c r="C1234" s="0" t="n">
        <f aca="false">MOD(A1234-1,Pemetaan!$B$3*Pemetaan!$B$4)</f>
        <v>332</v>
      </c>
      <c r="D1234" s="0" t="n">
        <f aca="false">INT(C1234/Pemetaan!$B$4)</f>
        <v>13</v>
      </c>
      <c r="E1234" s="0" t="n">
        <f aca="false">MOD(C1234,Pemetaan!$B$4)</f>
        <v>7</v>
      </c>
      <c r="F1234" s="0" t="n">
        <f aca="false">IF(B1234="PRODUKSI",Pemetaan!$B$5,Pemetaan!$B$6)</f>
        <v>46</v>
      </c>
      <c r="G1234" s="0" t="n">
        <f aca="false">F1234+2+D1234</f>
        <v>61</v>
      </c>
      <c r="H1234" s="0" t="n">
        <f aca="false">Pemetaan!$B$2+E1234</f>
        <v>12</v>
      </c>
      <c r="I1234" s="0" t="str">
        <f aca="false">INDEX(Laporan!$A$1:$AZ$300,G1234,1)</f>
        <v>Water Treatment</v>
      </c>
      <c r="J1234" s="0" t="str">
        <f aca="false">INDEX(Laporan!$A$1:$AZ$300,G1234,2)</f>
        <v>1,5 L</v>
      </c>
      <c r="K1234" s="0" t="str">
        <f aca="false">INDEX(Laporan!$A$1:$AZ$300,G1234,3)</f>
        <v>Shift 1</v>
      </c>
      <c r="L1234" s="0" t="n">
        <f aca="false">INDEX(Laporan!$A$1:$AZ$300,G1234,4)</f>
        <v>2</v>
      </c>
      <c r="M1234" s="1" t="n">
        <f aca="false">DATE(Pemetaan!$B$1,VALUE(RIGHT(INDEX(Laporan!$A$1:$AZ$300,F1234+1,H1234),2)),VALUE(LEFT(INDEX(Laporan!$A$1:$AZ$300,F1234+1,H1234),2)))</f>
        <v>46092</v>
      </c>
      <c r="N1234" s="0" t="n">
        <f aca="false">INDEX(Laporan!$A$1:$AZ$300,G1234,H1234)</f>
        <v>7</v>
      </c>
      <c r="O1234" s="0" t="n">
        <f aca="false">IF(N1234="","",IFERROR(VALUE(SUBSTITUTE(SUBSTITUTE(N1234," btl",""),".","")),""))</f>
        <v>7</v>
      </c>
      <c r="P1234" s="0" t="str">
        <f aca="false">IF(B1234="PRODUKSI","produced","reject")</f>
        <v>reject</v>
      </c>
    </row>
    <row r="1235" customFormat="false" ht="15" hidden="false" customHeight="false" outlineLevel="0" collapsed="false">
      <c r="A1235" s="0" t="n">
        <v>1234</v>
      </c>
      <c r="B1235" s="0" t="str">
        <f aca="false">IF(A1235&lt;=36*25,"PRODUKSI","REJECT")</f>
        <v>REJECT</v>
      </c>
      <c r="C1235" s="0" t="n">
        <f aca="false">MOD(A1235-1,Pemetaan!$B$3*Pemetaan!$B$4)</f>
        <v>333</v>
      </c>
      <c r="D1235" s="0" t="n">
        <f aca="false">INT(C1235/Pemetaan!$B$4)</f>
        <v>13</v>
      </c>
      <c r="E1235" s="0" t="n">
        <f aca="false">MOD(C1235,Pemetaan!$B$4)</f>
        <v>8</v>
      </c>
      <c r="F1235" s="0" t="n">
        <f aca="false">IF(B1235="PRODUKSI",Pemetaan!$B$5,Pemetaan!$B$6)</f>
        <v>46</v>
      </c>
      <c r="G1235" s="0" t="n">
        <f aca="false">F1235+2+D1235</f>
        <v>61</v>
      </c>
      <c r="H1235" s="0" t="n">
        <f aca="false">Pemetaan!$B$2+E1235</f>
        <v>13</v>
      </c>
      <c r="I1235" s="0" t="str">
        <f aca="false">INDEX(Laporan!$A$1:$AZ$300,G1235,1)</f>
        <v>Water Treatment</v>
      </c>
      <c r="J1235" s="0" t="str">
        <f aca="false">INDEX(Laporan!$A$1:$AZ$300,G1235,2)</f>
        <v>1,5 L</v>
      </c>
      <c r="K1235" s="0" t="str">
        <f aca="false">INDEX(Laporan!$A$1:$AZ$300,G1235,3)</f>
        <v>Shift 1</v>
      </c>
      <c r="L1235" s="0" t="n">
        <f aca="false">INDEX(Laporan!$A$1:$AZ$300,G1235,4)</f>
        <v>2</v>
      </c>
      <c r="M1235" s="1" t="n">
        <f aca="false">DATE(Pemetaan!$B$1,VALUE(RIGHT(INDEX(Laporan!$A$1:$AZ$300,F1235+1,H1235),2)),VALUE(LEFT(INDEX(Laporan!$A$1:$AZ$300,F1235+1,H1235),2)))</f>
        <v>46093</v>
      </c>
      <c r="N1235" s="0" t="n">
        <f aca="false">INDEX(Laporan!$A$1:$AZ$300,G1235,H1235)</f>
        <v>7</v>
      </c>
      <c r="O1235" s="0" t="n">
        <f aca="false">IF(N1235="","",IFERROR(VALUE(SUBSTITUTE(SUBSTITUTE(N1235," btl",""),".","")),""))</f>
        <v>7</v>
      </c>
      <c r="P1235" s="0" t="str">
        <f aca="false">IF(B1235="PRODUKSI","produced","reject")</f>
        <v>reject</v>
      </c>
    </row>
    <row r="1236" customFormat="false" ht="15" hidden="false" customHeight="false" outlineLevel="0" collapsed="false">
      <c r="A1236" s="0" t="n">
        <v>1235</v>
      </c>
      <c r="B1236" s="0" t="str">
        <f aca="false">IF(A1236&lt;=36*25,"PRODUKSI","REJECT")</f>
        <v>REJECT</v>
      </c>
      <c r="C1236" s="0" t="n">
        <f aca="false">MOD(A1236-1,Pemetaan!$B$3*Pemetaan!$B$4)</f>
        <v>334</v>
      </c>
      <c r="D1236" s="0" t="n">
        <f aca="false">INT(C1236/Pemetaan!$B$4)</f>
        <v>13</v>
      </c>
      <c r="E1236" s="0" t="n">
        <f aca="false">MOD(C1236,Pemetaan!$B$4)</f>
        <v>9</v>
      </c>
      <c r="F1236" s="0" t="n">
        <f aca="false">IF(B1236="PRODUKSI",Pemetaan!$B$5,Pemetaan!$B$6)</f>
        <v>46</v>
      </c>
      <c r="G1236" s="0" t="n">
        <f aca="false">F1236+2+D1236</f>
        <v>61</v>
      </c>
      <c r="H1236" s="0" t="n">
        <f aca="false">Pemetaan!$B$2+E1236</f>
        <v>14</v>
      </c>
      <c r="I1236" s="0" t="str">
        <f aca="false">INDEX(Laporan!$A$1:$AZ$300,G1236,1)</f>
        <v>Water Treatment</v>
      </c>
      <c r="J1236" s="0" t="str">
        <f aca="false">INDEX(Laporan!$A$1:$AZ$300,G1236,2)</f>
        <v>1,5 L</v>
      </c>
      <c r="K1236" s="0" t="str">
        <f aca="false">INDEX(Laporan!$A$1:$AZ$300,G1236,3)</f>
        <v>Shift 1</v>
      </c>
      <c r="L1236" s="0" t="n">
        <f aca="false">INDEX(Laporan!$A$1:$AZ$300,G1236,4)</f>
        <v>2</v>
      </c>
      <c r="M1236" s="1" t="n">
        <f aca="false">DATE(Pemetaan!$B$1,VALUE(RIGHT(INDEX(Laporan!$A$1:$AZ$300,F1236+1,H1236),2)),VALUE(LEFT(INDEX(Laporan!$A$1:$AZ$300,F1236+1,H1236),2)))</f>
        <v>46094</v>
      </c>
      <c r="N1236" s="0" t="n">
        <f aca="false">INDEX(Laporan!$A$1:$AZ$300,G1236,H1236)</f>
        <v>8</v>
      </c>
      <c r="O1236" s="0" t="n">
        <f aca="false">IF(N1236="","",IFERROR(VALUE(SUBSTITUTE(SUBSTITUTE(N1236," btl",""),".","")),""))</f>
        <v>8</v>
      </c>
      <c r="P1236" s="0" t="str">
        <f aca="false">IF(B1236="PRODUKSI","produced","reject")</f>
        <v>reject</v>
      </c>
    </row>
    <row r="1237" customFormat="false" ht="15" hidden="false" customHeight="false" outlineLevel="0" collapsed="false">
      <c r="A1237" s="0" t="n">
        <v>1236</v>
      </c>
      <c r="B1237" s="0" t="str">
        <f aca="false">IF(A1237&lt;=36*25,"PRODUKSI","REJECT")</f>
        <v>REJECT</v>
      </c>
      <c r="C1237" s="0" t="n">
        <f aca="false">MOD(A1237-1,Pemetaan!$B$3*Pemetaan!$B$4)</f>
        <v>335</v>
      </c>
      <c r="D1237" s="0" t="n">
        <f aca="false">INT(C1237/Pemetaan!$B$4)</f>
        <v>13</v>
      </c>
      <c r="E1237" s="0" t="n">
        <f aca="false">MOD(C1237,Pemetaan!$B$4)</f>
        <v>10</v>
      </c>
      <c r="F1237" s="0" t="n">
        <f aca="false">IF(B1237="PRODUKSI",Pemetaan!$B$5,Pemetaan!$B$6)</f>
        <v>46</v>
      </c>
      <c r="G1237" s="0" t="n">
        <f aca="false">F1237+2+D1237</f>
        <v>61</v>
      </c>
      <c r="H1237" s="0" t="n">
        <f aca="false">Pemetaan!$B$2+E1237</f>
        <v>15</v>
      </c>
      <c r="I1237" s="0" t="str">
        <f aca="false">INDEX(Laporan!$A$1:$AZ$300,G1237,1)</f>
        <v>Water Treatment</v>
      </c>
      <c r="J1237" s="0" t="str">
        <f aca="false">INDEX(Laporan!$A$1:$AZ$300,G1237,2)</f>
        <v>1,5 L</v>
      </c>
      <c r="K1237" s="0" t="str">
        <f aca="false">INDEX(Laporan!$A$1:$AZ$300,G1237,3)</f>
        <v>Shift 1</v>
      </c>
      <c r="L1237" s="0" t="n">
        <f aca="false">INDEX(Laporan!$A$1:$AZ$300,G1237,4)</f>
        <v>2</v>
      </c>
      <c r="M1237" s="1" t="n">
        <f aca="false">DATE(Pemetaan!$B$1,VALUE(RIGHT(INDEX(Laporan!$A$1:$AZ$300,F1237+1,H1237),2)),VALUE(LEFT(INDEX(Laporan!$A$1:$AZ$300,F1237+1,H1237),2)))</f>
        <v>46097</v>
      </c>
      <c r="N1237" s="0" t="n">
        <f aca="false">INDEX(Laporan!$A$1:$AZ$300,G1237,H1237)</f>
        <v>7</v>
      </c>
      <c r="O1237" s="0" t="n">
        <f aca="false">IF(N1237="","",IFERROR(VALUE(SUBSTITUTE(SUBSTITUTE(N1237," btl",""),".","")),""))</f>
        <v>7</v>
      </c>
      <c r="P1237" s="0" t="str">
        <f aca="false">IF(B1237="PRODUKSI","produced","reject")</f>
        <v>reject</v>
      </c>
    </row>
    <row r="1238" customFormat="false" ht="15" hidden="false" customHeight="false" outlineLevel="0" collapsed="false">
      <c r="A1238" s="0" t="n">
        <v>1237</v>
      </c>
      <c r="B1238" s="0" t="str">
        <f aca="false">IF(A1238&lt;=36*25,"PRODUKSI","REJECT")</f>
        <v>REJECT</v>
      </c>
      <c r="C1238" s="0" t="n">
        <f aca="false">MOD(A1238-1,Pemetaan!$B$3*Pemetaan!$B$4)</f>
        <v>336</v>
      </c>
      <c r="D1238" s="0" t="n">
        <f aca="false">INT(C1238/Pemetaan!$B$4)</f>
        <v>13</v>
      </c>
      <c r="E1238" s="0" t="n">
        <f aca="false">MOD(C1238,Pemetaan!$B$4)</f>
        <v>11</v>
      </c>
      <c r="F1238" s="0" t="n">
        <f aca="false">IF(B1238="PRODUKSI",Pemetaan!$B$5,Pemetaan!$B$6)</f>
        <v>46</v>
      </c>
      <c r="G1238" s="0" t="n">
        <f aca="false">F1238+2+D1238</f>
        <v>61</v>
      </c>
      <c r="H1238" s="0" t="n">
        <f aca="false">Pemetaan!$B$2+E1238</f>
        <v>16</v>
      </c>
      <c r="I1238" s="0" t="str">
        <f aca="false">INDEX(Laporan!$A$1:$AZ$300,G1238,1)</f>
        <v>Water Treatment</v>
      </c>
      <c r="J1238" s="0" t="str">
        <f aca="false">INDEX(Laporan!$A$1:$AZ$300,G1238,2)</f>
        <v>1,5 L</v>
      </c>
      <c r="K1238" s="0" t="str">
        <f aca="false">INDEX(Laporan!$A$1:$AZ$300,G1238,3)</f>
        <v>Shift 1</v>
      </c>
      <c r="L1238" s="0" t="n">
        <f aca="false">INDEX(Laporan!$A$1:$AZ$300,G1238,4)</f>
        <v>2</v>
      </c>
      <c r="M1238" s="1" t="n">
        <f aca="false">DATE(Pemetaan!$B$1,VALUE(RIGHT(INDEX(Laporan!$A$1:$AZ$300,F1238+1,H1238),2)),VALUE(LEFT(INDEX(Laporan!$A$1:$AZ$300,F1238+1,H1238),2)))</f>
        <v>46098</v>
      </c>
      <c r="N1238" s="0" t="n">
        <f aca="false">INDEX(Laporan!$A$1:$AZ$300,G1238,H1238)</f>
        <v>5</v>
      </c>
      <c r="O1238" s="0" t="n">
        <f aca="false">IF(N1238="","",IFERROR(VALUE(SUBSTITUTE(SUBSTITUTE(N1238," btl",""),".","")),""))</f>
        <v>5</v>
      </c>
      <c r="P1238" s="0" t="str">
        <f aca="false">IF(B1238="PRODUKSI","produced","reject")</f>
        <v>reject</v>
      </c>
    </row>
    <row r="1239" customFormat="false" ht="15" hidden="false" customHeight="false" outlineLevel="0" collapsed="false">
      <c r="A1239" s="0" t="n">
        <v>1238</v>
      </c>
      <c r="B1239" s="0" t="str">
        <f aca="false">IF(A1239&lt;=36*25,"PRODUKSI","REJECT")</f>
        <v>REJECT</v>
      </c>
      <c r="C1239" s="0" t="n">
        <f aca="false">MOD(A1239-1,Pemetaan!$B$3*Pemetaan!$B$4)</f>
        <v>337</v>
      </c>
      <c r="D1239" s="0" t="n">
        <f aca="false">INT(C1239/Pemetaan!$B$4)</f>
        <v>13</v>
      </c>
      <c r="E1239" s="0" t="n">
        <f aca="false">MOD(C1239,Pemetaan!$B$4)</f>
        <v>12</v>
      </c>
      <c r="F1239" s="0" t="n">
        <f aca="false">IF(B1239="PRODUKSI",Pemetaan!$B$5,Pemetaan!$B$6)</f>
        <v>46</v>
      </c>
      <c r="G1239" s="0" t="n">
        <f aca="false">F1239+2+D1239</f>
        <v>61</v>
      </c>
      <c r="H1239" s="0" t="n">
        <f aca="false">Pemetaan!$B$2+E1239</f>
        <v>17</v>
      </c>
      <c r="I1239" s="0" t="str">
        <f aca="false">INDEX(Laporan!$A$1:$AZ$300,G1239,1)</f>
        <v>Water Treatment</v>
      </c>
      <c r="J1239" s="0" t="str">
        <f aca="false">INDEX(Laporan!$A$1:$AZ$300,G1239,2)</f>
        <v>1,5 L</v>
      </c>
      <c r="K1239" s="0" t="str">
        <f aca="false">INDEX(Laporan!$A$1:$AZ$300,G1239,3)</f>
        <v>Shift 1</v>
      </c>
      <c r="L1239" s="0" t="n">
        <f aca="false">INDEX(Laporan!$A$1:$AZ$300,G1239,4)</f>
        <v>2</v>
      </c>
      <c r="M1239" s="1" t="n">
        <f aca="false">DATE(Pemetaan!$B$1,VALUE(RIGHT(INDEX(Laporan!$A$1:$AZ$300,F1239+1,H1239),2)),VALUE(LEFT(INDEX(Laporan!$A$1:$AZ$300,F1239+1,H1239),2)))</f>
        <v>46099</v>
      </c>
      <c r="N1239" s="0" t="n">
        <f aca="false">INDEX(Laporan!$A$1:$AZ$300,G1239,H1239)</f>
        <v>4</v>
      </c>
      <c r="O1239" s="0" t="n">
        <f aca="false">IF(N1239="","",IFERROR(VALUE(SUBSTITUTE(SUBSTITUTE(N1239," btl",""),".","")),""))</f>
        <v>4</v>
      </c>
      <c r="P1239" s="0" t="str">
        <f aca="false">IF(B1239="PRODUKSI","produced","reject")</f>
        <v>reject</v>
      </c>
    </row>
    <row r="1240" customFormat="false" ht="15" hidden="false" customHeight="false" outlineLevel="0" collapsed="false">
      <c r="A1240" s="0" t="n">
        <v>1239</v>
      </c>
      <c r="B1240" s="0" t="str">
        <f aca="false">IF(A1240&lt;=36*25,"PRODUKSI","REJECT")</f>
        <v>REJECT</v>
      </c>
      <c r="C1240" s="0" t="n">
        <f aca="false">MOD(A1240-1,Pemetaan!$B$3*Pemetaan!$B$4)</f>
        <v>338</v>
      </c>
      <c r="D1240" s="0" t="n">
        <f aca="false">INT(C1240/Pemetaan!$B$4)</f>
        <v>13</v>
      </c>
      <c r="E1240" s="0" t="n">
        <f aca="false">MOD(C1240,Pemetaan!$B$4)</f>
        <v>13</v>
      </c>
      <c r="F1240" s="0" t="n">
        <f aca="false">IF(B1240="PRODUKSI",Pemetaan!$B$5,Pemetaan!$B$6)</f>
        <v>46</v>
      </c>
      <c r="G1240" s="0" t="n">
        <f aca="false">F1240+2+D1240</f>
        <v>61</v>
      </c>
      <c r="H1240" s="0" t="n">
        <f aca="false">Pemetaan!$B$2+E1240</f>
        <v>18</v>
      </c>
      <c r="I1240" s="0" t="str">
        <f aca="false">INDEX(Laporan!$A$1:$AZ$300,G1240,1)</f>
        <v>Water Treatment</v>
      </c>
      <c r="J1240" s="0" t="str">
        <f aca="false">INDEX(Laporan!$A$1:$AZ$300,G1240,2)</f>
        <v>1,5 L</v>
      </c>
      <c r="K1240" s="0" t="str">
        <f aca="false">INDEX(Laporan!$A$1:$AZ$300,G1240,3)</f>
        <v>Shift 1</v>
      </c>
      <c r="L1240" s="0" t="n">
        <f aca="false">INDEX(Laporan!$A$1:$AZ$300,G1240,4)</f>
        <v>2</v>
      </c>
      <c r="M1240" s="1" t="n">
        <f aca="false">DATE(Pemetaan!$B$1,VALUE(RIGHT(INDEX(Laporan!$A$1:$AZ$300,F1240+1,H1240),2)),VALUE(LEFT(INDEX(Laporan!$A$1:$AZ$300,F1240+1,H1240),2)))</f>
        <v>46100</v>
      </c>
      <c r="N1240" s="0" t="n">
        <f aca="false">INDEX(Laporan!$A$1:$AZ$300,G1240,H1240)</f>
        <v>7</v>
      </c>
      <c r="O1240" s="0" t="n">
        <f aca="false">IF(N1240="","",IFERROR(VALUE(SUBSTITUTE(SUBSTITUTE(N1240," btl",""),".","")),""))</f>
        <v>7</v>
      </c>
      <c r="P1240" s="0" t="str">
        <f aca="false">IF(B1240="PRODUKSI","produced","reject")</f>
        <v>reject</v>
      </c>
    </row>
    <row r="1241" customFormat="false" ht="15" hidden="false" customHeight="false" outlineLevel="0" collapsed="false">
      <c r="A1241" s="0" t="n">
        <v>1240</v>
      </c>
      <c r="B1241" s="0" t="str">
        <f aca="false">IF(A1241&lt;=36*25,"PRODUKSI","REJECT")</f>
        <v>REJECT</v>
      </c>
      <c r="C1241" s="0" t="n">
        <f aca="false">MOD(A1241-1,Pemetaan!$B$3*Pemetaan!$B$4)</f>
        <v>339</v>
      </c>
      <c r="D1241" s="0" t="n">
        <f aca="false">INT(C1241/Pemetaan!$B$4)</f>
        <v>13</v>
      </c>
      <c r="E1241" s="0" t="n">
        <f aca="false">MOD(C1241,Pemetaan!$B$4)</f>
        <v>14</v>
      </c>
      <c r="F1241" s="0" t="n">
        <f aca="false">IF(B1241="PRODUKSI",Pemetaan!$B$5,Pemetaan!$B$6)</f>
        <v>46</v>
      </c>
      <c r="G1241" s="0" t="n">
        <f aca="false">F1241+2+D1241</f>
        <v>61</v>
      </c>
      <c r="H1241" s="0" t="n">
        <f aca="false">Pemetaan!$B$2+E1241</f>
        <v>19</v>
      </c>
      <c r="I1241" s="0" t="str">
        <f aca="false">INDEX(Laporan!$A$1:$AZ$300,G1241,1)</f>
        <v>Water Treatment</v>
      </c>
      <c r="J1241" s="0" t="str">
        <f aca="false">INDEX(Laporan!$A$1:$AZ$300,G1241,2)</f>
        <v>1,5 L</v>
      </c>
      <c r="K1241" s="0" t="str">
        <f aca="false">INDEX(Laporan!$A$1:$AZ$300,G1241,3)</f>
        <v>Shift 1</v>
      </c>
      <c r="L1241" s="0" t="n">
        <f aca="false">INDEX(Laporan!$A$1:$AZ$300,G1241,4)</f>
        <v>2</v>
      </c>
      <c r="M1241" s="1" t="n">
        <f aca="false">DATE(Pemetaan!$B$1,VALUE(RIGHT(INDEX(Laporan!$A$1:$AZ$300,F1241+1,H1241),2)),VALUE(LEFT(INDEX(Laporan!$A$1:$AZ$300,F1241+1,H1241),2)))</f>
        <v>46101</v>
      </c>
      <c r="N1241" s="0" t="n">
        <f aca="false">INDEX(Laporan!$A$1:$AZ$300,G1241,H1241)</f>
        <v>4</v>
      </c>
      <c r="O1241" s="0" t="n">
        <f aca="false">IF(N1241="","",IFERROR(VALUE(SUBSTITUTE(SUBSTITUTE(N1241," btl",""),".","")),""))</f>
        <v>4</v>
      </c>
      <c r="P1241" s="0" t="str">
        <f aca="false">IF(B1241="PRODUKSI","produced","reject")</f>
        <v>reject</v>
      </c>
    </row>
    <row r="1242" customFormat="false" ht="15" hidden="false" customHeight="false" outlineLevel="0" collapsed="false">
      <c r="A1242" s="0" t="n">
        <v>1241</v>
      </c>
      <c r="B1242" s="0" t="str">
        <f aca="false">IF(A1242&lt;=36*25,"PRODUKSI","REJECT")</f>
        <v>REJECT</v>
      </c>
      <c r="C1242" s="0" t="n">
        <f aca="false">MOD(A1242-1,Pemetaan!$B$3*Pemetaan!$B$4)</f>
        <v>340</v>
      </c>
      <c r="D1242" s="0" t="n">
        <f aca="false">INT(C1242/Pemetaan!$B$4)</f>
        <v>13</v>
      </c>
      <c r="E1242" s="0" t="n">
        <f aca="false">MOD(C1242,Pemetaan!$B$4)</f>
        <v>15</v>
      </c>
      <c r="F1242" s="0" t="n">
        <f aca="false">IF(B1242="PRODUKSI",Pemetaan!$B$5,Pemetaan!$B$6)</f>
        <v>46</v>
      </c>
      <c r="G1242" s="0" t="n">
        <f aca="false">F1242+2+D1242</f>
        <v>61</v>
      </c>
      <c r="H1242" s="0" t="n">
        <f aca="false">Pemetaan!$B$2+E1242</f>
        <v>20</v>
      </c>
      <c r="I1242" s="0" t="str">
        <f aca="false">INDEX(Laporan!$A$1:$AZ$300,G1242,1)</f>
        <v>Water Treatment</v>
      </c>
      <c r="J1242" s="0" t="str">
        <f aca="false">INDEX(Laporan!$A$1:$AZ$300,G1242,2)</f>
        <v>1,5 L</v>
      </c>
      <c r="K1242" s="0" t="str">
        <f aca="false">INDEX(Laporan!$A$1:$AZ$300,G1242,3)</f>
        <v>Shift 1</v>
      </c>
      <c r="L1242" s="0" t="n">
        <f aca="false">INDEX(Laporan!$A$1:$AZ$300,G1242,4)</f>
        <v>2</v>
      </c>
      <c r="M1242" s="1" t="n">
        <f aca="false">DATE(Pemetaan!$B$1,VALUE(RIGHT(INDEX(Laporan!$A$1:$AZ$300,F1242+1,H1242),2)),VALUE(LEFT(INDEX(Laporan!$A$1:$AZ$300,F1242+1,H1242),2)))</f>
        <v>46104</v>
      </c>
      <c r="N1242" s="0" t="n">
        <f aca="false">INDEX(Laporan!$A$1:$AZ$300,G1242,H1242)</f>
        <v>7</v>
      </c>
      <c r="O1242" s="0" t="n">
        <f aca="false">IF(N1242="","",IFERROR(VALUE(SUBSTITUTE(SUBSTITUTE(N1242," btl",""),".","")),""))</f>
        <v>7</v>
      </c>
      <c r="P1242" s="0" t="str">
        <f aca="false">IF(B1242="PRODUKSI","produced","reject")</f>
        <v>reject</v>
      </c>
    </row>
    <row r="1243" customFormat="false" ht="15" hidden="false" customHeight="false" outlineLevel="0" collapsed="false">
      <c r="A1243" s="0" t="n">
        <v>1242</v>
      </c>
      <c r="B1243" s="0" t="str">
        <f aca="false">IF(A1243&lt;=36*25,"PRODUKSI","REJECT")</f>
        <v>REJECT</v>
      </c>
      <c r="C1243" s="0" t="n">
        <f aca="false">MOD(A1243-1,Pemetaan!$B$3*Pemetaan!$B$4)</f>
        <v>341</v>
      </c>
      <c r="D1243" s="0" t="n">
        <f aca="false">INT(C1243/Pemetaan!$B$4)</f>
        <v>13</v>
      </c>
      <c r="E1243" s="0" t="n">
        <f aca="false">MOD(C1243,Pemetaan!$B$4)</f>
        <v>16</v>
      </c>
      <c r="F1243" s="0" t="n">
        <f aca="false">IF(B1243="PRODUKSI",Pemetaan!$B$5,Pemetaan!$B$6)</f>
        <v>46</v>
      </c>
      <c r="G1243" s="0" t="n">
        <f aca="false">F1243+2+D1243</f>
        <v>61</v>
      </c>
      <c r="H1243" s="0" t="n">
        <f aca="false">Pemetaan!$B$2+E1243</f>
        <v>21</v>
      </c>
      <c r="I1243" s="0" t="str">
        <f aca="false">INDEX(Laporan!$A$1:$AZ$300,G1243,1)</f>
        <v>Water Treatment</v>
      </c>
      <c r="J1243" s="0" t="str">
        <f aca="false">INDEX(Laporan!$A$1:$AZ$300,G1243,2)</f>
        <v>1,5 L</v>
      </c>
      <c r="K1243" s="0" t="str">
        <f aca="false">INDEX(Laporan!$A$1:$AZ$300,G1243,3)</f>
        <v>Shift 1</v>
      </c>
      <c r="L1243" s="0" t="n">
        <f aca="false">INDEX(Laporan!$A$1:$AZ$300,G1243,4)</f>
        <v>2</v>
      </c>
      <c r="M1243" s="1" t="n">
        <f aca="false">DATE(Pemetaan!$B$1,VALUE(RIGHT(INDEX(Laporan!$A$1:$AZ$300,F1243+1,H1243),2)),VALUE(LEFT(INDEX(Laporan!$A$1:$AZ$300,F1243+1,H1243),2)))</f>
        <v>46105</v>
      </c>
      <c r="N1243" s="0" t="n">
        <f aca="false">INDEX(Laporan!$A$1:$AZ$300,G1243,H1243)</f>
        <v>5</v>
      </c>
      <c r="O1243" s="0" t="n">
        <f aca="false">IF(N1243="","",IFERROR(VALUE(SUBSTITUTE(SUBSTITUTE(N1243," btl",""),".","")),""))</f>
        <v>5</v>
      </c>
      <c r="P1243" s="0" t="str">
        <f aca="false">IF(B1243="PRODUKSI","produced","reject")</f>
        <v>reject</v>
      </c>
    </row>
    <row r="1244" customFormat="false" ht="15" hidden="false" customHeight="false" outlineLevel="0" collapsed="false">
      <c r="A1244" s="0" t="n">
        <v>1243</v>
      </c>
      <c r="B1244" s="0" t="str">
        <f aca="false">IF(A1244&lt;=36*25,"PRODUKSI","REJECT")</f>
        <v>REJECT</v>
      </c>
      <c r="C1244" s="0" t="n">
        <f aca="false">MOD(A1244-1,Pemetaan!$B$3*Pemetaan!$B$4)</f>
        <v>342</v>
      </c>
      <c r="D1244" s="0" t="n">
        <f aca="false">INT(C1244/Pemetaan!$B$4)</f>
        <v>13</v>
      </c>
      <c r="E1244" s="0" t="n">
        <f aca="false">MOD(C1244,Pemetaan!$B$4)</f>
        <v>17</v>
      </c>
      <c r="F1244" s="0" t="n">
        <f aca="false">IF(B1244="PRODUKSI",Pemetaan!$B$5,Pemetaan!$B$6)</f>
        <v>46</v>
      </c>
      <c r="G1244" s="0" t="n">
        <f aca="false">F1244+2+D1244</f>
        <v>61</v>
      </c>
      <c r="H1244" s="0" t="n">
        <f aca="false">Pemetaan!$B$2+E1244</f>
        <v>22</v>
      </c>
      <c r="I1244" s="0" t="str">
        <f aca="false">INDEX(Laporan!$A$1:$AZ$300,G1244,1)</f>
        <v>Water Treatment</v>
      </c>
      <c r="J1244" s="0" t="str">
        <f aca="false">INDEX(Laporan!$A$1:$AZ$300,G1244,2)</f>
        <v>1,5 L</v>
      </c>
      <c r="K1244" s="0" t="str">
        <f aca="false">INDEX(Laporan!$A$1:$AZ$300,G1244,3)</f>
        <v>Shift 1</v>
      </c>
      <c r="L1244" s="0" t="n">
        <f aca="false">INDEX(Laporan!$A$1:$AZ$300,G1244,4)</f>
        <v>2</v>
      </c>
      <c r="M1244" s="1" t="n">
        <f aca="false">DATE(Pemetaan!$B$1,VALUE(RIGHT(INDEX(Laporan!$A$1:$AZ$300,F1244+1,H1244),2)),VALUE(LEFT(INDEX(Laporan!$A$1:$AZ$300,F1244+1,H1244),2)))</f>
        <v>46106</v>
      </c>
      <c r="N1244" s="0" t="n">
        <f aca="false">INDEX(Laporan!$A$1:$AZ$300,G1244,H1244)</f>
        <v>6</v>
      </c>
      <c r="O1244" s="0" t="n">
        <f aca="false">IF(N1244="","",IFERROR(VALUE(SUBSTITUTE(SUBSTITUTE(N1244," btl",""),".","")),""))</f>
        <v>6</v>
      </c>
      <c r="P1244" s="0" t="str">
        <f aca="false">IF(B1244="PRODUKSI","produced","reject")</f>
        <v>reject</v>
      </c>
    </row>
    <row r="1245" customFormat="false" ht="15" hidden="false" customHeight="false" outlineLevel="0" collapsed="false">
      <c r="A1245" s="0" t="n">
        <v>1244</v>
      </c>
      <c r="B1245" s="0" t="str">
        <f aca="false">IF(A1245&lt;=36*25,"PRODUKSI","REJECT")</f>
        <v>REJECT</v>
      </c>
      <c r="C1245" s="0" t="n">
        <f aca="false">MOD(A1245-1,Pemetaan!$B$3*Pemetaan!$B$4)</f>
        <v>343</v>
      </c>
      <c r="D1245" s="0" t="n">
        <f aca="false">INT(C1245/Pemetaan!$B$4)</f>
        <v>13</v>
      </c>
      <c r="E1245" s="0" t="n">
        <f aca="false">MOD(C1245,Pemetaan!$B$4)</f>
        <v>18</v>
      </c>
      <c r="F1245" s="0" t="n">
        <f aca="false">IF(B1245="PRODUKSI",Pemetaan!$B$5,Pemetaan!$B$6)</f>
        <v>46</v>
      </c>
      <c r="G1245" s="0" t="n">
        <f aca="false">F1245+2+D1245</f>
        <v>61</v>
      </c>
      <c r="H1245" s="0" t="n">
        <f aca="false">Pemetaan!$B$2+E1245</f>
        <v>23</v>
      </c>
      <c r="I1245" s="0" t="str">
        <f aca="false">INDEX(Laporan!$A$1:$AZ$300,G1245,1)</f>
        <v>Water Treatment</v>
      </c>
      <c r="J1245" s="0" t="str">
        <f aca="false">INDEX(Laporan!$A$1:$AZ$300,G1245,2)</f>
        <v>1,5 L</v>
      </c>
      <c r="K1245" s="0" t="str">
        <f aca="false">INDEX(Laporan!$A$1:$AZ$300,G1245,3)</f>
        <v>Shift 1</v>
      </c>
      <c r="L1245" s="0" t="n">
        <f aca="false">INDEX(Laporan!$A$1:$AZ$300,G1245,4)</f>
        <v>2</v>
      </c>
      <c r="M1245" s="1" t="n">
        <f aca="false">DATE(Pemetaan!$B$1,VALUE(RIGHT(INDEX(Laporan!$A$1:$AZ$300,F1245+1,H1245),2)),VALUE(LEFT(INDEX(Laporan!$A$1:$AZ$300,F1245+1,H1245),2)))</f>
        <v>46107</v>
      </c>
      <c r="N1245" s="0" t="n">
        <f aca="false">INDEX(Laporan!$A$1:$AZ$300,G1245,H1245)</f>
        <v>6</v>
      </c>
      <c r="O1245" s="0" t="n">
        <f aca="false">IF(N1245="","",IFERROR(VALUE(SUBSTITUTE(SUBSTITUTE(N1245," btl",""),".","")),""))</f>
        <v>6</v>
      </c>
      <c r="P1245" s="0" t="str">
        <f aca="false">IF(B1245="PRODUKSI","produced","reject")</f>
        <v>reject</v>
      </c>
    </row>
    <row r="1246" customFormat="false" ht="15" hidden="false" customHeight="false" outlineLevel="0" collapsed="false">
      <c r="A1246" s="0" t="n">
        <v>1245</v>
      </c>
      <c r="B1246" s="0" t="str">
        <f aca="false">IF(A1246&lt;=36*25,"PRODUKSI","REJECT")</f>
        <v>REJECT</v>
      </c>
      <c r="C1246" s="0" t="n">
        <f aca="false">MOD(A1246-1,Pemetaan!$B$3*Pemetaan!$B$4)</f>
        <v>344</v>
      </c>
      <c r="D1246" s="0" t="n">
        <f aca="false">INT(C1246/Pemetaan!$B$4)</f>
        <v>13</v>
      </c>
      <c r="E1246" s="0" t="n">
        <f aca="false">MOD(C1246,Pemetaan!$B$4)</f>
        <v>19</v>
      </c>
      <c r="F1246" s="0" t="n">
        <f aca="false">IF(B1246="PRODUKSI",Pemetaan!$B$5,Pemetaan!$B$6)</f>
        <v>46</v>
      </c>
      <c r="G1246" s="0" t="n">
        <f aca="false">F1246+2+D1246</f>
        <v>61</v>
      </c>
      <c r="H1246" s="0" t="n">
        <f aca="false">Pemetaan!$B$2+E1246</f>
        <v>24</v>
      </c>
      <c r="I1246" s="0" t="str">
        <f aca="false">INDEX(Laporan!$A$1:$AZ$300,G1246,1)</f>
        <v>Water Treatment</v>
      </c>
      <c r="J1246" s="0" t="str">
        <f aca="false">INDEX(Laporan!$A$1:$AZ$300,G1246,2)</f>
        <v>1,5 L</v>
      </c>
      <c r="K1246" s="0" t="str">
        <f aca="false">INDEX(Laporan!$A$1:$AZ$300,G1246,3)</f>
        <v>Shift 1</v>
      </c>
      <c r="L1246" s="0" t="n">
        <f aca="false">INDEX(Laporan!$A$1:$AZ$300,G1246,4)</f>
        <v>2</v>
      </c>
      <c r="M1246" s="1" t="n">
        <f aca="false">DATE(Pemetaan!$B$1,VALUE(RIGHT(INDEX(Laporan!$A$1:$AZ$300,F1246+1,H1246),2)),VALUE(LEFT(INDEX(Laporan!$A$1:$AZ$300,F1246+1,H1246),2)))</f>
        <v>46108</v>
      </c>
      <c r="N1246" s="0" t="n">
        <f aca="false">INDEX(Laporan!$A$1:$AZ$300,G1246,H1246)</f>
        <v>3</v>
      </c>
      <c r="O1246" s="0" t="n">
        <f aca="false">IF(N1246="","",IFERROR(VALUE(SUBSTITUTE(SUBSTITUTE(N1246," btl",""),".","")),""))</f>
        <v>3</v>
      </c>
      <c r="P1246" s="0" t="str">
        <f aca="false">IF(B1246="PRODUKSI","produced","reject")</f>
        <v>reject</v>
      </c>
    </row>
    <row r="1247" customFormat="false" ht="15" hidden="false" customHeight="false" outlineLevel="0" collapsed="false">
      <c r="A1247" s="0" t="n">
        <v>1246</v>
      </c>
      <c r="B1247" s="0" t="str">
        <f aca="false">IF(A1247&lt;=36*25,"PRODUKSI","REJECT")</f>
        <v>REJECT</v>
      </c>
      <c r="C1247" s="0" t="n">
        <f aca="false">MOD(A1247-1,Pemetaan!$B$3*Pemetaan!$B$4)</f>
        <v>345</v>
      </c>
      <c r="D1247" s="0" t="n">
        <f aca="false">INT(C1247/Pemetaan!$B$4)</f>
        <v>13</v>
      </c>
      <c r="E1247" s="0" t="n">
        <f aca="false">MOD(C1247,Pemetaan!$B$4)</f>
        <v>20</v>
      </c>
      <c r="F1247" s="0" t="n">
        <f aca="false">IF(B1247="PRODUKSI",Pemetaan!$B$5,Pemetaan!$B$6)</f>
        <v>46</v>
      </c>
      <c r="G1247" s="0" t="n">
        <f aca="false">F1247+2+D1247</f>
        <v>61</v>
      </c>
      <c r="H1247" s="0" t="n">
        <f aca="false">Pemetaan!$B$2+E1247</f>
        <v>25</v>
      </c>
      <c r="I1247" s="0" t="str">
        <f aca="false">INDEX(Laporan!$A$1:$AZ$300,G1247,1)</f>
        <v>Water Treatment</v>
      </c>
      <c r="J1247" s="0" t="str">
        <f aca="false">INDEX(Laporan!$A$1:$AZ$300,G1247,2)</f>
        <v>1,5 L</v>
      </c>
      <c r="K1247" s="0" t="str">
        <f aca="false">INDEX(Laporan!$A$1:$AZ$300,G1247,3)</f>
        <v>Shift 1</v>
      </c>
      <c r="L1247" s="0" t="n">
        <f aca="false">INDEX(Laporan!$A$1:$AZ$300,G1247,4)</f>
        <v>2</v>
      </c>
      <c r="M1247" s="1" t="n">
        <f aca="false">DATE(Pemetaan!$B$1,VALUE(RIGHT(INDEX(Laporan!$A$1:$AZ$300,F1247+1,H1247),2)),VALUE(LEFT(INDEX(Laporan!$A$1:$AZ$300,F1247+1,H1247),2)))</f>
        <v>46111</v>
      </c>
      <c r="N1247" s="0" t="n">
        <f aca="false">INDEX(Laporan!$A$1:$AZ$300,G1247,H1247)</f>
        <v>7</v>
      </c>
      <c r="O1247" s="0" t="n">
        <f aca="false">IF(N1247="","",IFERROR(VALUE(SUBSTITUTE(SUBSTITUTE(N1247," btl",""),".","")),""))</f>
        <v>7</v>
      </c>
      <c r="P1247" s="0" t="str">
        <f aca="false">IF(B1247="PRODUKSI","produced","reject")</f>
        <v>reject</v>
      </c>
    </row>
    <row r="1248" customFormat="false" ht="15" hidden="false" customHeight="false" outlineLevel="0" collapsed="false">
      <c r="A1248" s="0" t="n">
        <v>1247</v>
      </c>
      <c r="B1248" s="0" t="str">
        <f aca="false">IF(A1248&lt;=36*25,"PRODUKSI","REJECT")</f>
        <v>REJECT</v>
      </c>
      <c r="C1248" s="0" t="n">
        <f aca="false">MOD(A1248-1,Pemetaan!$B$3*Pemetaan!$B$4)</f>
        <v>346</v>
      </c>
      <c r="D1248" s="0" t="n">
        <f aca="false">INT(C1248/Pemetaan!$B$4)</f>
        <v>13</v>
      </c>
      <c r="E1248" s="0" t="n">
        <f aca="false">MOD(C1248,Pemetaan!$B$4)</f>
        <v>21</v>
      </c>
      <c r="F1248" s="0" t="n">
        <f aca="false">IF(B1248="PRODUKSI",Pemetaan!$B$5,Pemetaan!$B$6)</f>
        <v>46</v>
      </c>
      <c r="G1248" s="0" t="n">
        <f aca="false">F1248+2+D1248</f>
        <v>61</v>
      </c>
      <c r="H1248" s="0" t="n">
        <f aca="false">Pemetaan!$B$2+E1248</f>
        <v>26</v>
      </c>
      <c r="I1248" s="0" t="str">
        <f aca="false">INDEX(Laporan!$A$1:$AZ$300,G1248,1)</f>
        <v>Water Treatment</v>
      </c>
      <c r="J1248" s="0" t="str">
        <f aca="false">INDEX(Laporan!$A$1:$AZ$300,G1248,2)</f>
        <v>1,5 L</v>
      </c>
      <c r="K1248" s="0" t="str">
        <f aca="false">INDEX(Laporan!$A$1:$AZ$300,G1248,3)</f>
        <v>Shift 1</v>
      </c>
      <c r="L1248" s="0" t="n">
        <f aca="false">INDEX(Laporan!$A$1:$AZ$300,G1248,4)</f>
        <v>2</v>
      </c>
      <c r="M1248" s="1" t="n">
        <f aca="false">DATE(Pemetaan!$B$1,VALUE(RIGHT(INDEX(Laporan!$A$1:$AZ$300,F1248+1,H1248),2)),VALUE(LEFT(INDEX(Laporan!$A$1:$AZ$300,F1248+1,H1248),2)))</f>
        <v>46112</v>
      </c>
      <c r="N1248" s="0" t="n">
        <f aca="false">INDEX(Laporan!$A$1:$AZ$300,G1248,H1248)</f>
        <v>4</v>
      </c>
      <c r="O1248" s="0" t="n">
        <f aca="false">IF(N1248="","",IFERROR(VALUE(SUBSTITUTE(SUBSTITUTE(N1248," btl",""),".","")),""))</f>
        <v>4</v>
      </c>
      <c r="P1248" s="0" t="str">
        <f aca="false">IF(B1248="PRODUKSI","produced","reject")</f>
        <v>reject</v>
      </c>
    </row>
    <row r="1249" customFormat="false" ht="15" hidden="false" customHeight="false" outlineLevel="0" collapsed="false">
      <c r="A1249" s="0" t="n">
        <v>1248</v>
      </c>
      <c r="B1249" s="0" t="str">
        <f aca="false">IF(A1249&lt;=36*25,"PRODUKSI","REJECT")</f>
        <v>REJECT</v>
      </c>
      <c r="C1249" s="0" t="n">
        <f aca="false">MOD(A1249-1,Pemetaan!$B$3*Pemetaan!$B$4)</f>
        <v>347</v>
      </c>
      <c r="D1249" s="0" t="n">
        <f aca="false">INT(C1249/Pemetaan!$B$4)</f>
        <v>13</v>
      </c>
      <c r="E1249" s="0" t="n">
        <f aca="false">MOD(C1249,Pemetaan!$B$4)</f>
        <v>22</v>
      </c>
      <c r="F1249" s="0" t="n">
        <f aca="false">IF(B1249="PRODUKSI",Pemetaan!$B$5,Pemetaan!$B$6)</f>
        <v>46</v>
      </c>
      <c r="G1249" s="0" t="n">
        <f aca="false">F1249+2+D1249</f>
        <v>61</v>
      </c>
      <c r="H1249" s="0" t="n">
        <f aca="false">Pemetaan!$B$2+E1249</f>
        <v>27</v>
      </c>
      <c r="I1249" s="0" t="str">
        <f aca="false">INDEX(Laporan!$A$1:$AZ$300,G1249,1)</f>
        <v>Water Treatment</v>
      </c>
      <c r="J1249" s="0" t="str">
        <f aca="false">INDEX(Laporan!$A$1:$AZ$300,G1249,2)</f>
        <v>1,5 L</v>
      </c>
      <c r="K1249" s="0" t="str">
        <f aca="false">INDEX(Laporan!$A$1:$AZ$300,G1249,3)</f>
        <v>Shift 1</v>
      </c>
      <c r="L1249" s="0" t="n">
        <f aca="false">INDEX(Laporan!$A$1:$AZ$300,G1249,4)</f>
        <v>2</v>
      </c>
      <c r="M1249" s="1" t="n">
        <f aca="false">DATE(Pemetaan!$B$1,VALUE(RIGHT(INDEX(Laporan!$A$1:$AZ$300,F1249+1,H1249),2)),VALUE(LEFT(INDEX(Laporan!$A$1:$AZ$300,F1249+1,H1249),2)))</f>
        <v>46113</v>
      </c>
      <c r="N1249" s="0" t="n">
        <f aca="false">INDEX(Laporan!$A$1:$AZ$300,G1249,H1249)</f>
        <v>4</v>
      </c>
      <c r="O1249" s="0" t="n">
        <f aca="false">IF(N1249="","",IFERROR(VALUE(SUBSTITUTE(SUBSTITUTE(N1249," btl",""),".","")),""))</f>
        <v>4</v>
      </c>
      <c r="P1249" s="0" t="str">
        <f aca="false">IF(B1249="PRODUKSI","produced","reject")</f>
        <v>reject</v>
      </c>
    </row>
    <row r="1250" customFormat="false" ht="15" hidden="false" customHeight="false" outlineLevel="0" collapsed="false">
      <c r="A1250" s="0" t="n">
        <v>1249</v>
      </c>
      <c r="B1250" s="0" t="str">
        <f aca="false">IF(A1250&lt;=36*25,"PRODUKSI","REJECT")</f>
        <v>REJECT</v>
      </c>
      <c r="C1250" s="0" t="n">
        <f aca="false">MOD(A1250-1,Pemetaan!$B$3*Pemetaan!$B$4)</f>
        <v>348</v>
      </c>
      <c r="D1250" s="0" t="n">
        <f aca="false">INT(C1250/Pemetaan!$B$4)</f>
        <v>13</v>
      </c>
      <c r="E1250" s="0" t="n">
        <f aca="false">MOD(C1250,Pemetaan!$B$4)</f>
        <v>23</v>
      </c>
      <c r="F1250" s="0" t="n">
        <f aca="false">IF(B1250="PRODUKSI",Pemetaan!$B$5,Pemetaan!$B$6)</f>
        <v>46</v>
      </c>
      <c r="G1250" s="0" t="n">
        <f aca="false">F1250+2+D1250</f>
        <v>61</v>
      </c>
      <c r="H1250" s="0" t="n">
        <f aca="false">Pemetaan!$B$2+E1250</f>
        <v>28</v>
      </c>
      <c r="I1250" s="0" t="str">
        <f aca="false">INDEX(Laporan!$A$1:$AZ$300,G1250,1)</f>
        <v>Water Treatment</v>
      </c>
      <c r="J1250" s="0" t="str">
        <f aca="false">INDEX(Laporan!$A$1:$AZ$300,G1250,2)</f>
        <v>1,5 L</v>
      </c>
      <c r="K1250" s="0" t="str">
        <f aca="false">INDEX(Laporan!$A$1:$AZ$300,G1250,3)</f>
        <v>Shift 1</v>
      </c>
      <c r="L1250" s="0" t="n">
        <f aca="false">INDEX(Laporan!$A$1:$AZ$300,G1250,4)</f>
        <v>2</v>
      </c>
      <c r="M1250" s="1" t="n">
        <f aca="false">DATE(Pemetaan!$B$1,VALUE(RIGHT(INDEX(Laporan!$A$1:$AZ$300,F1250+1,H1250),2)),VALUE(LEFT(INDEX(Laporan!$A$1:$AZ$300,F1250+1,H1250),2)))</f>
        <v>46114</v>
      </c>
      <c r="N1250" s="0" t="n">
        <f aca="false">INDEX(Laporan!$A$1:$AZ$300,G1250,H1250)</f>
        <v>7</v>
      </c>
      <c r="O1250" s="0" t="n">
        <f aca="false">IF(N1250="","",IFERROR(VALUE(SUBSTITUTE(SUBSTITUTE(N1250," btl",""),".","")),""))</f>
        <v>7</v>
      </c>
      <c r="P1250" s="0" t="str">
        <f aca="false">IF(B1250="PRODUKSI","produced","reject")</f>
        <v>reject</v>
      </c>
    </row>
    <row r="1251" customFormat="false" ht="15" hidden="false" customHeight="false" outlineLevel="0" collapsed="false">
      <c r="A1251" s="0" t="n">
        <v>1250</v>
      </c>
      <c r="B1251" s="0" t="str">
        <f aca="false">IF(A1251&lt;=36*25,"PRODUKSI","REJECT")</f>
        <v>REJECT</v>
      </c>
      <c r="C1251" s="0" t="n">
        <f aca="false">MOD(A1251-1,Pemetaan!$B$3*Pemetaan!$B$4)</f>
        <v>349</v>
      </c>
      <c r="D1251" s="0" t="n">
        <f aca="false">INT(C1251/Pemetaan!$B$4)</f>
        <v>13</v>
      </c>
      <c r="E1251" s="0" t="n">
        <f aca="false">MOD(C1251,Pemetaan!$B$4)</f>
        <v>24</v>
      </c>
      <c r="F1251" s="0" t="n">
        <f aca="false">IF(B1251="PRODUKSI",Pemetaan!$B$5,Pemetaan!$B$6)</f>
        <v>46</v>
      </c>
      <c r="G1251" s="0" t="n">
        <f aca="false">F1251+2+D1251</f>
        <v>61</v>
      </c>
      <c r="H1251" s="0" t="n">
        <f aca="false">Pemetaan!$B$2+E1251</f>
        <v>29</v>
      </c>
      <c r="I1251" s="0" t="str">
        <f aca="false">INDEX(Laporan!$A$1:$AZ$300,G1251,1)</f>
        <v>Water Treatment</v>
      </c>
      <c r="J1251" s="0" t="str">
        <f aca="false">INDEX(Laporan!$A$1:$AZ$300,G1251,2)</f>
        <v>1,5 L</v>
      </c>
      <c r="K1251" s="0" t="str">
        <f aca="false">INDEX(Laporan!$A$1:$AZ$300,G1251,3)</f>
        <v>Shift 1</v>
      </c>
      <c r="L1251" s="0" t="n">
        <f aca="false">INDEX(Laporan!$A$1:$AZ$300,G1251,4)</f>
        <v>2</v>
      </c>
      <c r="M1251" s="1" t="n">
        <f aca="false">DATE(Pemetaan!$B$1,VALUE(RIGHT(INDEX(Laporan!$A$1:$AZ$300,F1251+1,H1251),2)),VALUE(LEFT(INDEX(Laporan!$A$1:$AZ$300,F1251+1,H1251),2)))</f>
        <v>46115</v>
      </c>
      <c r="N1251" s="0" t="n">
        <f aca="false">INDEX(Laporan!$A$1:$AZ$300,G1251,H1251)</f>
        <v>3</v>
      </c>
      <c r="O1251" s="0" t="n">
        <f aca="false">IF(N1251="","",IFERROR(VALUE(SUBSTITUTE(SUBSTITUTE(N1251," btl",""),".","")),""))</f>
        <v>3</v>
      </c>
      <c r="P1251" s="0" t="str">
        <f aca="false">IF(B1251="PRODUKSI","produced","reject")</f>
        <v>reject</v>
      </c>
    </row>
    <row r="1252" customFormat="false" ht="15" hidden="false" customHeight="false" outlineLevel="0" collapsed="false">
      <c r="A1252" s="0" t="n">
        <v>1251</v>
      </c>
      <c r="B1252" s="0" t="str">
        <f aca="false">IF(A1252&lt;=36*25,"PRODUKSI","REJECT")</f>
        <v>REJECT</v>
      </c>
      <c r="C1252" s="0" t="n">
        <f aca="false">MOD(A1252-1,Pemetaan!$B$3*Pemetaan!$B$4)</f>
        <v>350</v>
      </c>
      <c r="D1252" s="0" t="n">
        <f aca="false">INT(C1252/Pemetaan!$B$4)</f>
        <v>14</v>
      </c>
      <c r="E1252" s="0" t="n">
        <f aca="false">MOD(C1252,Pemetaan!$B$4)</f>
        <v>0</v>
      </c>
      <c r="F1252" s="0" t="n">
        <f aca="false">IF(B1252="PRODUKSI",Pemetaan!$B$5,Pemetaan!$B$6)</f>
        <v>46</v>
      </c>
      <c r="G1252" s="0" t="n">
        <f aca="false">F1252+2+D1252</f>
        <v>62</v>
      </c>
      <c r="H1252" s="0" t="n">
        <f aca="false">Pemetaan!$B$2+E1252</f>
        <v>5</v>
      </c>
      <c r="I1252" s="0" t="str">
        <f aca="false">INDEX(Laporan!$A$1:$AZ$300,G1252,1)</f>
        <v>Water Treatment</v>
      </c>
      <c r="J1252" s="0" t="str">
        <f aca="false">INDEX(Laporan!$A$1:$AZ$300,G1252,2)</f>
        <v>1,5 L</v>
      </c>
      <c r="K1252" s="0" t="str">
        <f aca="false">INDEX(Laporan!$A$1:$AZ$300,G1252,3)</f>
        <v>Shift 1</v>
      </c>
      <c r="L1252" s="0" t="n">
        <f aca="false">INDEX(Laporan!$A$1:$AZ$300,G1252,4)</f>
        <v>3</v>
      </c>
      <c r="M1252" s="1" t="n">
        <f aca="false">DATE(Pemetaan!$B$1,VALUE(RIGHT(INDEX(Laporan!$A$1:$AZ$300,F1252+1,H1252),2)),VALUE(LEFT(INDEX(Laporan!$A$1:$AZ$300,F1252+1,H1252),2)))</f>
        <v>46083</v>
      </c>
      <c r="N1252" s="0" t="n">
        <f aca="false">INDEX(Laporan!$A$1:$AZ$300,G1252,H1252)</f>
        <v>11</v>
      </c>
      <c r="O1252" s="0" t="n">
        <f aca="false">IF(N1252="","",IFERROR(VALUE(SUBSTITUTE(SUBSTITUTE(N1252," btl",""),".","")),""))</f>
        <v>11</v>
      </c>
      <c r="P1252" s="0" t="str">
        <f aca="false">IF(B1252="PRODUKSI","produced","reject")</f>
        <v>reject</v>
      </c>
    </row>
    <row r="1253" customFormat="false" ht="15" hidden="false" customHeight="false" outlineLevel="0" collapsed="false">
      <c r="A1253" s="0" t="n">
        <v>1252</v>
      </c>
      <c r="B1253" s="0" t="str">
        <f aca="false">IF(A1253&lt;=36*25,"PRODUKSI","REJECT")</f>
        <v>REJECT</v>
      </c>
      <c r="C1253" s="0" t="n">
        <f aca="false">MOD(A1253-1,Pemetaan!$B$3*Pemetaan!$B$4)</f>
        <v>351</v>
      </c>
      <c r="D1253" s="0" t="n">
        <f aca="false">INT(C1253/Pemetaan!$B$4)</f>
        <v>14</v>
      </c>
      <c r="E1253" s="0" t="n">
        <f aca="false">MOD(C1253,Pemetaan!$B$4)</f>
        <v>1</v>
      </c>
      <c r="F1253" s="0" t="n">
        <f aca="false">IF(B1253="PRODUKSI",Pemetaan!$B$5,Pemetaan!$B$6)</f>
        <v>46</v>
      </c>
      <c r="G1253" s="0" t="n">
        <f aca="false">F1253+2+D1253</f>
        <v>62</v>
      </c>
      <c r="H1253" s="0" t="n">
        <f aca="false">Pemetaan!$B$2+E1253</f>
        <v>6</v>
      </c>
      <c r="I1253" s="0" t="str">
        <f aca="false">INDEX(Laporan!$A$1:$AZ$300,G1253,1)</f>
        <v>Water Treatment</v>
      </c>
      <c r="J1253" s="0" t="str">
        <f aca="false">INDEX(Laporan!$A$1:$AZ$300,G1253,2)</f>
        <v>1,5 L</v>
      </c>
      <c r="K1253" s="0" t="str">
        <f aca="false">INDEX(Laporan!$A$1:$AZ$300,G1253,3)</f>
        <v>Shift 1</v>
      </c>
      <c r="L1253" s="0" t="n">
        <f aca="false">INDEX(Laporan!$A$1:$AZ$300,G1253,4)</f>
        <v>3</v>
      </c>
      <c r="M1253" s="1" t="n">
        <f aca="false">DATE(Pemetaan!$B$1,VALUE(RIGHT(INDEX(Laporan!$A$1:$AZ$300,F1253+1,H1253),2)),VALUE(LEFT(INDEX(Laporan!$A$1:$AZ$300,F1253+1,H1253),2)))</f>
        <v>46084</v>
      </c>
      <c r="N1253" s="0" t="n">
        <f aca="false">INDEX(Laporan!$A$1:$AZ$300,G1253,H1253)</f>
        <v>5</v>
      </c>
      <c r="O1253" s="0" t="n">
        <f aca="false">IF(N1253="","",IFERROR(VALUE(SUBSTITUTE(SUBSTITUTE(N1253," btl",""),".","")),""))</f>
        <v>5</v>
      </c>
      <c r="P1253" s="0" t="str">
        <f aca="false">IF(B1253="PRODUKSI","produced","reject")</f>
        <v>reject</v>
      </c>
    </row>
    <row r="1254" customFormat="false" ht="15" hidden="false" customHeight="false" outlineLevel="0" collapsed="false">
      <c r="A1254" s="0" t="n">
        <v>1253</v>
      </c>
      <c r="B1254" s="0" t="str">
        <f aca="false">IF(A1254&lt;=36*25,"PRODUKSI","REJECT")</f>
        <v>REJECT</v>
      </c>
      <c r="C1254" s="0" t="n">
        <f aca="false">MOD(A1254-1,Pemetaan!$B$3*Pemetaan!$B$4)</f>
        <v>352</v>
      </c>
      <c r="D1254" s="0" t="n">
        <f aca="false">INT(C1254/Pemetaan!$B$4)</f>
        <v>14</v>
      </c>
      <c r="E1254" s="0" t="n">
        <f aca="false">MOD(C1254,Pemetaan!$B$4)</f>
        <v>2</v>
      </c>
      <c r="F1254" s="0" t="n">
        <f aca="false">IF(B1254="PRODUKSI",Pemetaan!$B$5,Pemetaan!$B$6)</f>
        <v>46</v>
      </c>
      <c r="G1254" s="0" t="n">
        <f aca="false">F1254+2+D1254</f>
        <v>62</v>
      </c>
      <c r="H1254" s="0" t="n">
        <f aca="false">Pemetaan!$B$2+E1254</f>
        <v>7</v>
      </c>
      <c r="I1254" s="0" t="str">
        <f aca="false">INDEX(Laporan!$A$1:$AZ$300,G1254,1)</f>
        <v>Water Treatment</v>
      </c>
      <c r="J1254" s="0" t="str">
        <f aca="false">INDEX(Laporan!$A$1:$AZ$300,G1254,2)</f>
        <v>1,5 L</v>
      </c>
      <c r="K1254" s="0" t="str">
        <f aca="false">INDEX(Laporan!$A$1:$AZ$300,G1254,3)</f>
        <v>Shift 1</v>
      </c>
      <c r="L1254" s="0" t="n">
        <f aca="false">INDEX(Laporan!$A$1:$AZ$300,G1254,4)</f>
        <v>3</v>
      </c>
      <c r="M1254" s="1" t="n">
        <f aca="false">DATE(Pemetaan!$B$1,VALUE(RIGHT(INDEX(Laporan!$A$1:$AZ$300,F1254+1,H1254),2)),VALUE(LEFT(INDEX(Laporan!$A$1:$AZ$300,F1254+1,H1254),2)))</f>
        <v>46085</v>
      </c>
      <c r="N1254" s="0" t="n">
        <f aca="false">INDEX(Laporan!$A$1:$AZ$300,G1254,H1254)</f>
        <v>7</v>
      </c>
      <c r="O1254" s="0" t="n">
        <f aca="false">IF(N1254="","",IFERROR(VALUE(SUBSTITUTE(SUBSTITUTE(N1254," btl",""),".","")),""))</f>
        <v>7</v>
      </c>
      <c r="P1254" s="0" t="str">
        <f aca="false">IF(B1254="PRODUKSI","produced","reject")</f>
        <v>reject</v>
      </c>
    </row>
    <row r="1255" customFormat="false" ht="15" hidden="false" customHeight="false" outlineLevel="0" collapsed="false">
      <c r="A1255" s="0" t="n">
        <v>1254</v>
      </c>
      <c r="B1255" s="0" t="str">
        <f aca="false">IF(A1255&lt;=36*25,"PRODUKSI","REJECT")</f>
        <v>REJECT</v>
      </c>
      <c r="C1255" s="0" t="n">
        <f aca="false">MOD(A1255-1,Pemetaan!$B$3*Pemetaan!$B$4)</f>
        <v>353</v>
      </c>
      <c r="D1255" s="0" t="n">
        <f aca="false">INT(C1255/Pemetaan!$B$4)</f>
        <v>14</v>
      </c>
      <c r="E1255" s="0" t="n">
        <f aca="false">MOD(C1255,Pemetaan!$B$4)</f>
        <v>3</v>
      </c>
      <c r="F1255" s="0" t="n">
        <f aca="false">IF(B1255="PRODUKSI",Pemetaan!$B$5,Pemetaan!$B$6)</f>
        <v>46</v>
      </c>
      <c r="G1255" s="0" t="n">
        <f aca="false">F1255+2+D1255</f>
        <v>62</v>
      </c>
      <c r="H1255" s="0" t="n">
        <f aca="false">Pemetaan!$B$2+E1255</f>
        <v>8</v>
      </c>
      <c r="I1255" s="0" t="str">
        <f aca="false">INDEX(Laporan!$A$1:$AZ$300,G1255,1)</f>
        <v>Water Treatment</v>
      </c>
      <c r="J1255" s="0" t="str">
        <f aca="false">INDEX(Laporan!$A$1:$AZ$300,G1255,2)</f>
        <v>1,5 L</v>
      </c>
      <c r="K1255" s="0" t="str">
        <f aca="false">INDEX(Laporan!$A$1:$AZ$300,G1255,3)</f>
        <v>Shift 1</v>
      </c>
      <c r="L1255" s="0" t="n">
        <f aca="false">INDEX(Laporan!$A$1:$AZ$300,G1255,4)</f>
        <v>3</v>
      </c>
      <c r="M1255" s="1" t="n">
        <f aca="false">DATE(Pemetaan!$B$1,VALUE(RIGHT(INDEX(Laporan!$A$1:$AZ$300,F1255+1,H1255),2)),VALUE(LEFT(INDEX(Laporan!$A$1:$AZ$300,F1255+1,H1255),2)))</f>
        <v>46086</v>
      </c>
      <c r="N1255" s="0" t="n">
        <f aca="false">INDEX(Laporan!$A$1:$AZ$300,G1255,H1255)</f>
        <v>3</v>
      </c>
      <c r="O1255" s="0" t="n">
        <f aca="false">IF(N1255="","",IFERROR(VALUE(SUBSTITUTE(SUBSTITUTE(N1255," btl",""),".","")),""))</f>
        <v>3</v>
      </c>
      <c r="P1255" s="0" t="str">
        <f aca="false">IF(B1255="PRODUKSI","produced","reject")</f>
        <v>reject</v>
      </c>
    </row>
    <row r="1256" customFormat="false" ht="15" hidden="false" customHeight="false" outlineLevel="0" collapsed="false">
      <c r="A1256" s="0" t="n">
        <v>1255</v>
      </c>
      <c r="B1256" s="0" t="str">
        <f aca="false">IF(A1256&lt;=36*25,"PRODUKSI","REJECT")</f>
        <v>REJECT</v>
      </c>
      <c r="C1256" s="0" t="n">
        <f aca="false">MOD(A1256-1,Pemetaan!$B$3*Pemetaan!$B$4)</f>
        <v>354</v>
      </c>
      <c r="D1256" s="0" t="n">
        <f aca="false">INT(C1256/Pemetaan!$B$4)</f>
        <v>14</v>
      </c>
      <c r="E1256" s="0" t="n">
        <f aca="false">MOD(C1256,Pemetaan!$B$4)</f>
        <v>4</v>
      </c>
      <c r="F1256" s="0" t="n">
        <f aca="false">IF(B1256="PRODUKSI",Pemetaan!$B$5,Pemetaan!$B$6)</f>
        <v>46</v>
      </c>
      <c r="G1256" s="0" t="n">
        <f aca="false">F1256+2+D1256</f>
        <v>62</v>
      </c>
      <c r="H1256" s="0" t="n">
        <f aca="false">Pemetaan!$B$2+E1256</f>
        <v>9</v>
      </c>
      <c r="I1256" s="0" t="str">
        <f aca="false">INDEX(Laporan!$A$1:$AZ$300,G1256,1)</f>
        <v>Water Treatment</v>
      </c>
      <c r="J1256" s="0" t="str">
        <f aca="false">INDEX(Laporan!$A$1:$AZ$300,G1256,2)</f>
        <v>1,5 L</v>
      </c>
      <c r="K1256" s="0" t="str">
        <f aca="false">INDEX(Laporan!$A$1:$AZ$300,G1256,3)</f>
        <v>Shift 1</v>
      </c>
      <c r="L1256" s="0" t="n">
        <f aca="false">INDEX(Laporan!$A$1:$AZ$300,G1256,4)</f>
        <v>3</v>
      </c>
      <c r="M1256" s="1" t="n">
        <f aca="false">DATE(Pemetaan!$B$1,VALUE(RIGHT(INDEX(Laporan!$A$1:$AZ$300,F1256+1,H1256),2)),VALUE(LEFT(INDEX(Laporan!$A$1:$AZ$300,F1256+1,H1256),2)))</f>
        <v>46087</v>
      </c>
      <c r="N1256" s="0" t="n">
        <f aca="false">INDEX(Laporan!$A$1:$AZ$300,G1256,H1256)</f>
        <v>3</v>
      </c>
      <c r="O1256" s="0" t="n">
        <f aca="false">IF(N1256="","",IFERROR(VALUE(SUBSTITUTE(SUBSTITUTE(N1256," btl",""),".","")),""))</f>
        <v>3</v>
      </c>
      <c r="P1256" s="0" t="str">
        <f aca="false">IF(B1256="PRODUKSI","produced","reject")</f>
        <v>reject</v>
      </c>
    </row>
    <row r="1257" customFormat="false" ht="15" hidden="false" customHeight="false" outlineLevel="0" collapsed="false">
      <c r="A1257" s="0" t="n">
        <v>1256</v>
      </c>
      <c r="B1257" s="0" t="str">
        <f aca="false">IF(A1257&lt;=36*25,"PRODUKSI","REJECT")</f>
        <v>REJECT</v>
      </c>
      <c r="C1257" s="0" t="n">
        <f aca="false">MOD(A1257-1,Pemetaan!$B$3*Pemetaan!$B$4)</f>
        <v>355</v>
      </c>
      <c r="D1257" s="0" t="n">
        <f aca="false">INT(C1257/Pemetaan!$B$4)</f>
        <v>14</v>
      </c>
      <c r="E1257" s="0" t="n">
        <f aca="false">MOD(C1257,Pemetaan!$B$4)</f>
        <v>5</v>
      </c>
      <c r="F1257" s="0" t="n">
        <f aca="false">IF(B1257="PRODUKSI",Pemetaan!$B$5,Pemetaan!$B$6)</f>
        <v>46</v>
      </c>
      <c r="G1257" s="0" t="n">
        <f aca="false">F1257+2+D1257</f>
        <v>62</v>
      </c>
      <c r="H1257" s="0" t="n">
        <f aca="false">Pemetaan!$B$2+E1257</f>
        <v>10</v>
      </c>
      <c r="I1257" s="0" t="str">
        <f aca="false">INDEX(Laporan!$A$1:$AZ$300,G1257,1)</f>
        <v>Water Treatment</v>
      </c>
      <c r="J1257" s="0" t="str">
        <f aca="false">INDEX(Laporan!$A$1:$AZ$300,G1257,2)</f>
        <v>1,5 L</v>
      </c>
      <c r="K1257" s="0" t="str">
        <f aca="false">INDEX(Laporan!$A$1:$AZ$300,G1257,3)</f>
        <v>Shift 1</v>
      </c>
      <c r="L1257" s="0" t="n">
        <f aca="false">INDEX(Laporan!$A$1:$AZ$300,G1257,4)</f>
        <v>3</v>
      </c>
      <c r="M1257" s="1" t="n">
        <f aca="false">DATE(Pemetaan!$B$1,VALUE(RIGHT(INDEX(Laporan!$A$1:$AZ$300,F1257+1,H1257),2)),VALUE(LEFT(INDEX(Laporan!$A$1:$AZ$300,F1257+1,H1257),2)))</f>
        <v>46090</v>
      </c>
      <c r="N1257" s="0" t="n">
        <f aca="false">INDEX(Laporan!$A$1:$AZ$300,G1257,H1257)</f>
        <v>7</v>
      </c>
      <c r="O1257" s="0" t="n">
        <f aca="false">IF(N1257="","",IFERROR(VALUE(SUBSTITUTE(SUBSTITUTE(N1257," btl",""),".","")),""))</f>
        <v>7</v>
      </c>
      <c r="P1257" s="0" t="str">
        <f aca="false">IF(B1257="PRODUKSI","produced","reject")</f>
        <v>reject</v>
      </c>
    </row>
    <row r="1258" customFormat="false" ht="15" hidden="false" customHeight="false" outlineLevel="0" collapsed="false">
      <c r="A1258" s="0" t="n">
        <v>1257</v>
      </c>
      <c r="B1258" s="0" t="str">
        <f aca="false">IF(A1258&lt;=36*25,"PRODUKSI","REJECT")</f>
        <v>REJECT</v>
      </c>
      <c r="C1258" s="0" t="n">
        <f aca="false">MOD(A1258-1,Pemetaan!$B$3*Pemetaan!$B$4)</f>
        <v>356</v>
      </c>
      <c r="D1258" s="0" t="n">
        <f aca="false">INT(C1258/Pemetaan!$B$4)</f>
        <v>14</v>
      </c>
      <c r="E1258" s="0" t="n">
        <f aca="false">MOD(C1258,Pemetaan!$B$4)</f>
        <v>6</v>
      </c>
      <c r="F1258" s="0" t="n">
        <f aca="false">IF(B1258="PRODUKSI",Pemetaan!$B$5,Pemetaan!$B$6)</f>
        <v>46</v>
      </c>
      <c r="G1258" s="0" t="n">
        <f aca="false">F1258+2+D1258</f>
        <v>62</v>
      </c>
      <c r="H1258" s="0" t="n">
        <f aca="false">Pemetaan!$B$2+E1258</f>
        <v>11</v>
      </c>
      <c r="I1258" s="0" t="str">
        <f aca="false">INDEX(Laporan!$A$1:$AZ$300,G1258,1)</f>
        <v>Water Treatment</v>
      </c>
      <c r="J1258" s="0" t="str">
        <f aca="false">INDEX(Laporan!$A$1:$AZ$300,G1258,2)</f>
        <v>1,5 L</v>
      </c>
      <c r="K1258" s="0" t="str">
        <f aca="false">INDEX(Laporan!$A$1:$AZ$300,G1258,3)</f>
        <v>Shift 1</v>
      </c>
      <c r="L1258" s="0" t="n">
        <f aca="false">INDEX(Laporan!$A$1:$AZ$300,G1258,4)</f>
        <v>3</v>
      </c>
      <c r="M1258" s="1" t="n">
        <f aca="false">DATE(Pemetaan!$B$1,VALUE(RIGHT(INDEX(Laporan!$A$1:$AZ$300,F1258+1,H1258),2)),VALUE(LEFT(INDEX(Laporan!$A$1:$AZ$300,F1258+1,H1258),2)))</f>
        <v>46091</v>
      </c>
      <c r="N1258" s="0" t="n">
        <f aca="false">INDEX(Laporan!$A$1:$AZ$300,G1258,H1258)</f>
        <v>8</v>
      </c>
      <c r="O1258" s="0" t="n">
        <f aca="false">IF(N1258="","",IFERROR(VALUE(SUBSTITUTE(SUBSTITUTE(N1258," btl",""),".","")),""))</f>
        <v>8</v>
      </c>
      <c r="P1258" s="0" t="str">
        <f aca="false">IF(B1258="PRODUKSI","produced","reject")</f>
        <v>reject</v>
      </c>
    </row>
    <row r="1259" customFormat="false" ht="15" hidden="false" customHeight="false" outlineLevel="0" collapsed="false">
      <c r="A1259" s="0" t="n">
        <v>1258</v>
      </c>
      <c r="B1259" s="0" t="str">
        <f aca="false">IF(A1259&lt;=36*25,"PRODUKSI","REJECT")</f>
        <v>REJECT</v>
      </c>
      <c r="C1259" s="0" t="n">
        <f aca="false">MOD(A1259-1,Pemetaan!$B$3*Pemetaan!$B$4)</f>
        <v>357</v>
      </c>
      <c r="D1259" s="0" t="n">
        <f aca="false">INT(C1259/Pemetaan!$B$4)</f>
        <v>14</v>
      </c>
      <c r="E1259" s="0" t="n">
        <f aca="false">MOD(C1259,Pemetaan!$B$4)</f>
        <v>7</v>
      </c>
      <c r="F1259" s="0" t="n">
        <f aca="false">IF(B1259="PRODUKSI",Pemetaan!$B$5,Pemetaan!$B$6)</f>
        <v>46</v>
      </c>
      <c r="G1259" s="0" t="n">
        <f aca="false">F1259+2+D1259</f>
        <v>62</v>
      </c>
      <c r="H1259" s="0" t="n">
        <f aca="false">Pemetaan!$B$2+E1259</f>
        <v>12</v>
      </c>
      <c r="I1259" s="0" t="str">
        <f aca="false">INDEX(Laporan!$A$1:$AZ$300,G1259,1)</f>
        <v>Water Treatment</v>
      </c>
      <c r="J1259" s="0" t="str">
        <f aca="false">INDEX(Laporan!$A$1:$AZ$300,G1259,2)</f>
        <v>1,5 L</v>
      </c>
      <c r="K1259" s="0" t="str">
        <f aca="false">INDEX(Laporan!$A$1:$AZ$300,G1259,3)</f>
        <v>Shift 1</v>
      </c>
      <c r="L1259" s="0" t="n">
        <f aca="false">INDEX(Laporan!$A$1:$AZ$300,G1259,4)</f>
        <v>3</v>
      </c>
      <c r="M1259" s="1" t="n">
        <f aca="false">DATE(Pemetaan!$B$1,VALUE(RIGHT(INDEX(Laporan!$A$1:$AZ$300,F1259+1,H1259),2)),VALUE(LEFT(INDEX(Laporan!$A$1:$AZ$300,F1259+1,H1259),2)))</f>
        <v>46092</v>
      </c>
      <c r="N1259" s="0" t="n">
        <f aca="false">INDEX(Laporan!$A$1:$AZ$300,G1259,H1259)</f>
        <v>4</v>
      </c>
      <c r="O1259" s="0" t="n">
        <f aca="false">IF(N1259="","",IFERROR(VALUE(SUBSTITUTE(SUBSTITUTE(N1259," btl",""),".","")),""))</f>
        <v>4</v>
      </c>
      <c r="P1259" s="0" t="str">
        <f aca="false">IF(B1259="PRODUKSI","produced","reject")</f>
        <v>reject</v>
      </c>
    </row>
    <row r="1260" customFormat="false" ht="15" hidden="false" customHeight="false" outlineLevel="0" collapsed="false">
      <c r="A1260" s="0" t="n">
        <v>1259</v>
      </c>
      <c r="B1260" s="0" t="str">
        <f aca="false">IF(A1260&lt;=36*25,"PRODUKSI","REJECT")</f>
        <v>REJECT</v>
      </c>
      <c r="C1260" s="0" t="n">
        <f aca="false">MOD(A1260-1,Pemetaan!$B$3*Pemetaan!$B$4)</f>
        <v>358</v>
      </c>
      <c r="D1260" s="0" t="n">
        <f aca="false">INT(C1260/Pemetaan!$B$4)</f>
        <v>14</v>
      </c>
      <c r="E1260" s="0" t="n">
        <f aca="false">MOD(C1260,Pemetaan!$B$4)</f>
        <v>8</v>
      </c>
      <c r="F1260" s="0" t="n">
        <f aca="false">IF(B1260="PRODUKSI",Pemetaan!$B$5,Pemetaan!$B$6)</f>
        <v>46</v>
      </c>
      <c r="G1260" s="0" t="n">
        <f aca="false">F1260+2+D1260</f>
        <v>62</v>
      </c>
      <c r="H1260" s="0" t="n">
        <f aca="false">Pemetaan!$B$2+E1260</f>
        <v>13</v>
      </c>
      <c r="I1260" s="0" t="str">
        <f aca="false">INDEX(Laporan!$A$1:$AZ$300,G1260,1)</f>
        <v>Water Treatment</v>
      </c>
      <c r="J1260" s="0" t="str">
        <f aca="false">INDEX(Laporan!$A$1:$AZ$300,G1260,2)</f>
        <v>1,5 L</v>
      </c>
      <c r="K1260" s="0" t="str">
        <f aca="false">INDEX(Laporan!$A$1:$AZ$300,G1260,3)</f>
        <v>Shift 1</v>
      </c>
      <c r="L1260" s="0" t="n">
        <f aca="false">INDEX(Laporan!$A$1:$AZ$300,G1260,4)</f>
        <v>3</v>
      </c>
      <c r="M1260" s="1" t="n">
        <f aca="false">DATE(Pemetaan!$B$1,VALUE(RIGHT(INDEX(Laporan!$A$1:$AZ$300,F1260+1,H1260),2)),VALUE(LEFT(INDEX(Laporan!$A$1:$AZ$300,F1260+1,H1260),2)))</f>
        <v>46093</v>
      </c>
      <c r="N1260" s="0" t="n">
        <f aca="false">INDEX(Laporan!$A$1:$AZ$300,G1260,H1260)</f>
        <v>5</v>
      </c>
      <c r="O1260" s="0" t="n">
        <f aca="false">IF(N1260="","",IFERROR(VALUE(SUBSTITUTE(SUBSTITUTE(N1260," btl",""),".","")),""))</f>
        <v>5</v>
      </c>
      <c r="P1260" s="0" t="str">
        <f aca="false">IF(B1260="PRODUKSI","produced","reject")</f>
        <v>reject</v>
      </c>
    </row>
    <row r="1261" customFormat="false" ht="15" hidden="false" customHeight="false" outlineLevel="0" collapsed="false">
      <c r="A1261" s="0" t="n">
        <v>1260</v>
      </c>
      <c r="B1261" s="0" t="str">
        <f aca="false">IF(A1261&lt;=36*25,"PRODUKSI","REJECT")</f>
        <v>REJECT</v>
      </c>
      <c r="C1261" s="0" t="n">
        <f aca="false">MOD(A1261-1,Pemetaan!$B$3*Pemetaan!$B$4)</f>
        <v>359</v>
      </c>
      <c r="D1261" s="0" t="n">
        <f aca="false">INT(C1261/Pemetaan!$B$4)</f>
        <v>14</v>
      </c>
      <c r="E1261" s="0" t="n">
        <f aca="false">MOD(C1261,Pemetaan!$B$4)</f>
        <v>9</v>
      </c>
      <c r="F1261" s="0" t="n">
        <f aca="false">IF(B1261="PRODUKSI",Pemetaan!$B$5,Pemetaan!$B$6)</f>
        <v>46</v>
      </c>
      <c r="G1261" s="0" t="n">
        <f aca="false">F1261+2+D1261</f>
        <v>62</v>
      </c>
      <c r="H1261" s="0" t="n">
        <f aca="false">Pemetaan!$B$2+E1261</f>
        <v>14</v>
      </c>
      <c r="I1261" s="0" t="str">
        <f aca="false">INDEX(Laporan!$A$1:$AZ$300,G1261,1)</f>
        <v>Water Treatment</v>
      </c>
      <c r="J1261" s="0" t="str">
        <f aca="false">INDEX(Laporan!$A$1:$AZ$300,G1261,2)</f>
        <v>1,5 L</v>
      </c>
      <c r="K1261" s="0" t="str">
        <f aca="false">INDEX(Laporan!$A$1:$AZ$300,G1261,3)</f>
        <v>Shift 1</v>
      </c>
      <c r="L1261" s="0" t="n">
        <f aca="false">INDEX(Laporan!$A$1:$AZ$300,G1261,4)</f>
        <v>3</v>
      </c>
      <c r="M1261" s="1" t="n">
        <f aca="false">DATE(Pemetaan!$B$1,VALUE(RIGHT(INDEX(Laporan!$A$1:$AZ$300,F1261+1,H1261),2)),VALUE(LEFT(INDEX(Laporan!$A$1:$AZ$300,F1261+1,H1261),2)))</f>
        <v>46094</v>
      </c>
      <c r="N1261" s="0" t="n">
        <f aca="false">INDEX(Laporan!$A$1:$AZ$300,G1261,H1261)</f>
        <v>5</v>
      </c>
      <c r="O1261" s="0" t="n">
        <f aca="false">IF(N1261="","",IFERROR(VALUE(SUBSTITUTE(SUBSTITUTE(N1261," btl",""),".","")),""))</f>
        <v>5</v>
      </c>
      <c r="P1261" s="0" t="str">
        <f aca="false">IF(B1261="PRODUKSI","produced","reject")</f>
        <v>reject</v>
      </c>
    </row>
    <row r="1262" customFormat="false" ht="15" hidden="false" customHeight="false" outlineLevel="0" collapsed="false">
      <c r="A1262" s="0" t="n">
        <v>1261</v>
      </c>
      <c r="B1262" s="0" t="str">
        <f aca="false">IF(A1262&lt;=36*25,"PRODUKSI","REJECT")</f>
        <v>REJECT</v>
      </c>
      <c r="C1262" s="0" t="n">
        <f aca="false">MOD(A1262-1,Pemetaan!$B$3*Pemetaan!$B$4)</f>
        <v>360</v>
      </c>
      <c r="D1262" s="0" t="n">
        <f aca="false">INT(C1262/Pemetaan!$B$4)</f>
        <v>14</v>
      </c>
      <c r="E1262" s="0" t="n">
        <f aca="false">MOD(C1262,Pemetaan!$B$4)</f>
        <v>10</v>
      </c>
      <c r="F1262" s="0" t="n">
        <f aca="false">IF(B1262="PRODUKSI",Pemetaan!$B$5,Pemetaan!$B$6)</f>
        <v>46</v>
      </c>
      <c r="G1262" s="0" t="n">
        <f aca="false">F1262+2+D1262</f>
        <v>62</v>
      </c>
      <c r="H1262" s="0" t="n">
        <f aca="false">Pemetaan!$B$2+E1262</f>
        <v>15</v>
      </c>
      <c r="I1262" s="0" t="str">
        <f aca="false">INDEX(Laporan!$A$1:$AZ$300,G1262,1)</f>
        <v>Water Treatment</v>
      </c>
      <c r="J1262" s="0" t="str">
        <f aca="false">INDEX(Laporan!$A$1:$AZ$300,G1262,2)</f>
        <v>1,5 L</v>
      </c>
      <c r="K1262" s="0" t="str">
        <f aca="false">INDEX(Laporan!$A$1:$AZ$300,G1262,3)</f>
        <v>Shift 1</v>
      </c>
      <c r="L1262" s="0" t="n">
        <f aca="false">INDEX(Laporan!$A$1:$AZ$300,G1262,4)</f>
        <v>3</v>
      </c>
      <c r="M1262" s="1" t="n">
        <f aca="false">DATE(Pemetaan!$B$1,VALUE(RIGHT(INDEX(Laporan!$A$1:$AZ$300,F1262+1,H1262),2)),VALUE(LEFT(INDEX(Laporan!$A$1:$AZ$300,F1262+1,H1262),2)))</f>
        <v>46097</v>
      </c>
      <c r="N1262" s="0" t="n">
        <f aca="false">INDEX(Laporan!$A$1:$AZ$300,G1262,H1262)</f>
        <v>7</v>
      </c>
      <c r="O1262" s="0" t="n">
        <f aca="false">IF(N1262="","",IFERROR(VALUE(SUBSTITUTE(SUBSTITUTE(N1262," btl",""),".","")),""))</f>
        <v>7</v>
      </c>
      <c r="P1262" s="0" t="str">
        <f aca="false">IF(B1262="PRODUKSI","produced","reject")</f>
        <v>reject</v>
      </c>
    </row>
    <row r="1263" customFormat="false" ht="15" hidden="false" customHeight="false" outlineLevel="0" collapsed="false">
      <c r="A1263" s="0" t="n">
        <v>1262</v>
      </c>
      <c r="B1263" s="0" t="str">
        <f aca="false">IF(A1263&lt;=36*25,"PRODUKSI","REJECT")</f>
        <v>REJECT</v>
      </c>
      <c r="C1263" s="0" t="n">
        <f aca="false">MOD(A1263-1,Pemetaan!$B$3*Pemetaan!$B$4)</f>
        <v>361</v>
      </c>
      <c r="D1263" s="0" t="n">
        <f aca="false">INT(C1263/Pemetaan!$B$4)</f>
        <v>14</v>
      </c>
      <c r="E1263" s="0" t="n">
        <f aca="false">MOD(C1263,Pemetaan!$B$4)</f>
        <v>11</v>
      </c>
      <c r="F1263" s="0" t="n">
        <f aca="false">IF(B1263="PRODUKSI",Pemetaan!$B$5,Pemetaan!$B$6)</f>
        <v>46</v>
      </c>
      <c r="G1263" s="0" t="n">
        <f aca="false">F1263+2+D1263</f>
        <v>62</v>
      </c>
      <c r="H1263" s="0" t="n">
        <f aca="false">Pemetaan!$B$2+E1263</f>
        <v>16</v>
      </c>
      <c r="I1263" s="0" t="str">
        <f aca="false">INDEX(Laporan!$A$1:$AZ$300,G1263,1)</f>
        <v>Water Treatment</v>
      </c>
      <c r="J1263" s="0" t="str">
        <f aca="false">INDEX(Laporan!$A$1:$AZ$300,G1263,2)</f>
        <v>1,5 L</v>
      </c>
      <c r="K1263" s="0" t="str">
        <f aca="false">INDEX(Laporan!$A$1:$AZ$300,G1263,3)</f>
        <v>Shift 1</v>
      </c>
      <c r="L1263" s="0" t="n">
        <f aca="false">INDEX(Laporan!$A$1:$AZ$300,G1263,4)</f>
        <v>3</v>
      </c>
      <c r="M1263" s="1" t="n">
        <f aca="false">DATE(Pemetaan!$B$1,VALUE(RIGHT(INDEX(Laporan!$A$1:$AZ$300,F1263+1,H1263),2)),VALUE(LEFT(INDEX(Laporan!$A$1:$AZ$300,F1263+1,H1263),2)))</f>
        <v>46098</v>
      </c>
      <c r="N1263" s="0" t="n">
        <f aca="false">INDEX(Laporan!$A$1:$AZ$300,G1263,H1263)</f>
        <v>3</v>
      </c>
      <c r="O1263" s="0" t="n">
        <f aca="false">IF(N1263="","",IFERROR(VALUE(SUBSTITUTE(SUBSTITUTE(N1263," btl",""),".","")),""))</f>
        <v>3</v>
      </c>
      <c r="P1263" s="0" t="str">
        <f aca="false">IF(B1263="PRODUKSI","produced","reject")</f>
        <v>reject</v>
      </c>
    </row>
    <row r="1264" customFormat="false" ht="15" hidden="false" customHeight="false" outlineLevel="0" collapsed="false">
      <c r="A1264" s="0" t="n">
        <v>1263</v>
      </c>
      <c r="B1264" s="0" t="str">
        <f aca="false">IF(A1264&lt;=36*25,"PRODUKSI","REJECT")</f>
        <v>REJECT</v>
      </c>
      <c r="C1264" s="0" t="n">
        <f aca="false">MOD(A1264-1,Pemetaan!$B$3*Pemetaan!$B$4)</f>
        <v>362</v>
      </c>
      <c r="D1264" s="0" t="n">
        <f aca="false">INT(C1264/Pemetaan!$B$4)</f>
        <v>14</v>
      </c>
      <c r="E1264" s="0" t="n">
        <f aca="false">MOD(C1264,Pemetaan!$B$4)</f>
        <v>12</v>
      </c>
      <c r="F1264" s="0" t="n">
        <f aca="false">IF(B1264="PRODUKSI",Pemetaan!$B$5,Pemetaan!$B$6)</f>
        <v>46</v>
      </c>
      <c r="G1264" s="0" t="n">
        <f aca="false">F1264+2+D1264</f>
        <v>62</v>
      </c>
      <c r="H1264" s="0" t="n">
        <f aca="false">Pemetaan!$B$2+E1264</f>
        <v>17</v>
      </c>
      <c r="I1264" s="0" t="str">
        <f aca="false">INDEX(Laporan!$A$1:$AZ$300,G1264,1)</f>
        <v>Water Treatment</v>
      </c>
      <c r="J1264" s="0" t="str">
        <f aca="false">INDEX(Laporan!$A$1:$AZ$300,G1264,2)</f>
        <v>1,5 L</v>
      </c>
      <c r="K1264" s="0" t="str">
        <f aca="false">INDEX(Laporan!$A$1:$AZ$300,G1264,3)</f>
        <v>Shift 1</v>
      </c>
      <c r="L1264" s="0" t="n">
        <f aca="false">INDEX(Laporan!$A$1:$AZ$300,G1264,4)</f>
        <v>3</v>
      </c>
      <c r="M1264" s="1" t="n">
        <f aca="false">DATE(Pemetaan!$B$1,VALUE(RIGHT(INDEX(Laporan!$A$1:$AZ$300,F1264+1,H1264),2)),VALUE(LEFT(INDEX(Laporan!$A$1:$AZ$300,F1264+1,H1264),2)))</f>
        <v>46099</v>
      </c>
      <c r="N1264" s="0" t="n">
        <f aca="false">INDEX(Laporan!$A$1:$AZ$300,G1264,H1264)</f>
        <v>6</v>
      </c>
      <c r="O1264" s="0" t="n">
        <f aca="false">IF(N1264="","",IFERROR(VALUE(SUBSTITUTE(SUBSTITUTE(N1264," btl",""),".","")),""))</f>
        <v>6</v>
      </c>
      <c r="P1264" s="0" t="str">
        <f aca="false">IF(B1264="PRODUKSI","produced","reject")</f>
        <v>reject</v>
      </c>
    </row>
    <row r="1265" customFormat="false" ht="15" hidden="false" customHeight="false" outlineLevel="0" collapsed="false">
      <c r="A1265" s="0" t="n">
        <v>1264</v>
      </c>
      <c r="B1265" s="0" t="str">
        <f aca="false">IF(A1265&lt;=36*25,"PRODUKSI","REJECT")</f>
        <v>REJECT</v>
      </c>
      <c r="C1265" s="0" t="n">
        <f aca="false">MOD(A1265-1,Pemetaan!$B$3*Pemetaan!$B$4)</f>
        <v>363</v>
      </c>
      <c r="D1265" s="0" t="n">
        <f aca="false">INT(C1265/Pemetaan!$B$4)</f>
        <v>14</v>
      </c>
      <c r="E1265" s="0" t="n">
        <f aca="false">MOD(C1265,Pemetaan!$B$4)</f>
        <v>13</v>
      </c>
      <c r="F1265" s="0" t="n">
        <f aca="false">IF(B1265="PRODUKSI",Pemetaan!$B$5,Pemetaan!$B$6)</f>
        <v>46</v>
      </c>
      <c r="G1265" s="0" t="n">
        <f aca="false">F1265+2+D1265</f>
        <v>62</v>
      </c>
      <c r="H1265" s="0" t="n">
        <f aca="false">Pemetaan!$B$2+E1265</f>
        <v>18</v>
      </c>
      <c r="I1265" s="0" t="str">
        <f aca="false">INDEX(Laporan!$A$1:$AZ$300,G1265,1)</f>
        <v>Water Treatment</v>
      </c>
      <c r="J1265" s="0" t="str">
        <f aca="false">INDEX(Laporan!$A$1:$AZ$300,G1265,2)</f>
        <v>1,5 L</v>
      </c>
      <c r="K1265" s="0" t="str">
        <f aca="false">INDEX(Laporan!$A$1:$AZ$300,G1265,3)</f>
        <v>Shift 1</v>
      </c>
      <c r="L1265" s="0" t="n">
        <f aca="false">INDEX(Laporan!$A$1:$AZ$300,G1265,4)</f>
        <v>3</v>
      </c>
      <c r="M1265" s="1" t="n">
        <f aca="false">DATE(Pemetaan!$B$1,VALUE(RIGHT(INDEX(Laporan!$A$1:$AZ$300,F1265+1,H1265),2)),VALUE(LEFT(INDEX(Laporan!$A$1:$AZ$300,F1265+1,H1265),2)))</f>
        <v>46100</v>
      </c>
      <c r="N1265" s="0" t="n">
        <f aca="false">INDEX(Laporan!$A$1:$AZ$300,G1265,H1265)</f>
        <v>7</v>
      </c>
      <c r="O1265" s="0" t="n">
        <f aca="false">IF(N1265="","",IFERROR(VALUE(SUBSTITUTE(SUBSTITUTE(N1265," btl",""),".","")),""))</f>
        <v>7</v>
      </c>
      <c r="P1265" s="0" t="str">
        <f aca="false">IF(B1265="PRODUKSI","produced","reject")</f>
        <v>reject</v>
      </c>
    </row>
    <row r="1266" customFormat="false" ht="15" hidden="false" customHeight="false" outlineLevel="0" collapsed="false">
      <c r="A1266" s="0" t="n">
        <v>1265</v>
      </c>
      <c r="B1266" s="0" t="str">
        <f aca="false">IF(A1266&lt;=36*25,"PRODUKSI","REJECT")</f>
        <v>REJECT</v>
      </c>
      <c r="C1266" s="0" t="n">
        <f aca="false">MOD(A1266-1,Pemetaan!$B$3*Pemetaan!$B$4)</f>
        <v>364</v>
      </c>
      <c r="D1266" s="0" t="n">
        <f aca="false">INT(C1266/Pemetaan!$B$4)</f>
        <v>14</v>
      </c>
      <c r="E1266" s="0" t="n">
        <f aca="false">MOD(C1266,Pemetaan!$B$4)</f>
        <v>14</v>
      </c>
      <c r="F1266" s="0" t="n">
        <f aca="false">IF(B1266="PRODUKSI",Pemetaan!$B$5,Pemetaan!$B$6)</f>
        <v>46</v>
      </c>
      <c r="G1266" s="0" t="n">
        <f aca="false">F1266+2+D1266</f>
        <v>62</v>
      </c>
      <c r="H1266" s="0" t="n">
        <f aca="false">Pemetaan!$B$2+E1266</f>
        <v>19</v>
      </c>
      <c r="I1266" s="0" t="str">
        <f aca="false">INDEX(Laporan!$A$1:$AZ$300,G1266,1)</f>
        <v>Water Treatment</v>
      </c>
      <c r="J1266" s="0" t="str">
        <f aca="false">INDEX(Laporan!$A$1:$AZ$300,G1266,2)</f>
        <v>1,5 L</v>
      </c>
      <c r="K1266" s="0" t="str">
        <f aca="false">INDEX(Laporan!$A$1:$AZ$300,G1266,3)</f>
        <v>Shift 1</v>
      </c>
      <c r="L1266" s="0" t="n">
        <f aca="false">INDEX(Laporan!$A$1:$AZ$300,G1266,4)</f>
        <v>3</v>
      </c>
      <c r="M1266" s="1" t="n">
        <f aca="false">DATE(Pemetaan!$B$1,VALUE(RIGHT(INDEX(Laporan!$A$1:$AZ$300,F1266+1,H1266),2)),VALUE(LEFT(INDEX(Laporan!$A$1:$AZ$300,F1266+1,H1266),2)))</f>
        <v>46101</v>
      </c>
      <c r="N1266" s="0" t="n">
        <f aca="false">INDEX(Laporan!$A$1:$AZ$300,G1266,H1266)</f>
        <v>5</v>
      </c>
      <c r="O1266" s="0" t="n">
        <f aca="false">IF(N1266="","",IFERROR(VALUE(SUBSTITUTE(SUBSTITUTE(N1266," btl",""),".","")),""))</f>
        <v>5</v>
      </c>
      <c r="P1266" s="0" t="str">
        <f aca="false">IF(B1266="PRODUKSI","produced","reject")</f>
        <v>reject</v>
      </c>
    </row>
    <row r="1267" customFormat="false" ht="15" hidden="false" customHeight="false" outlineLevel="0" collapsed="false">
      <c r="A1267" s="0" t="n">
        <v>1266</v>
      </c>
      <c r="B1267" s="0" t="str">
        <f aca="false">IF(A1267&lt;=36*25,"PRODUKSI","REJECT")</f>
        <v>REJECT</v>
      </c>
      <c r="C1267" s="0" t="n">
        <f aca="false">MOD(A1267-1,Pemetaan!$B$3*Pemetaan!$B$4)</f>
        <v>365</v>
      </c>
      <c r="D1267" s="0" t="n">
        <f aca="false">INT(C1267/Pemetaan!$B$4)</f>
        <v>14</v>
      </c>
      <c r="E1267" s="0" t="n">
        <f aca="false">MOD(C1267,Pemetaan!$B$4)</f>
        <v>15</v>
      </c>
      <c r="F1267" s="0" t="n">
        <f aca="false">IF(B1267="PRODUKSI",Pemetaan!$B$5,Pemetaan!$B$6)</f>
        <v>46</v>
      </c>
      <c r="G1267" s="0" t="n">
        <f aca="false">F1267+2+D1267</f>
        <v>62</v>
      </c>
      <c r="H1267" s="0" t="n">
        <f aca="false">Pemetaan!$B$2+E1267</f>
        <v>20</v>
      </c>
      <c r="I1267" s="0" t="str">
        <f aca="false">INDEX(Laporan!$A$1:$AZ$300,G1267,1)</f>
        <v>Water Treatment</v>
      </c>
      <c r="J1267" s="0" t="str">
        <f aca="false">INDEX(Laporan!$A$1:$AZ$300,G1267,2)</f>
        <v>1,5 L</v>
      </c>
      <c r="K1267" s="0" t="str">
        <f aca="false">INDEX(Laporan!$A$1:$AZ$300,G1267,3)</f>
        <v>Shift 1</v>
      </c>
      <c r="L1267" s="0" t="n">
        <f aca="false">INDEX(Laporan!$A$1:$AZ$300,G1267,4)</f>
        <v>3</v>
      </c>
      <c r="M1267" s="1" t="n">
        <f aca="false">DATE(Pemetaan!$B$1,VALUE(RIGHT(INDEX(Laporan!$A$1:$AZ$300,F1267+1,H1267),2)),VALUE(LEFT(INDEX(Laporan!$A$1:$AZ$300,F1267+1,H1267),2)))</f>
        <v>46104</v>
      </c>
      <c r="N1267" s="0" t="n">
        <f aca="false">INDEX(Laporan!$A$1:$AZ$300,G1267,H1267)</f>
        <v>8</v>
      </c>
      <c r="O1267" s="0" t="n">
        <f aca="false">IF(N1267="","",IFERROR(VALUE(SUBSTITUTE(SUBSTITUTE(N1267," btl",""),".","")),""))</f>
        <v>8</v>
      </c>
      <c r="P1267" s="0" t="str">
        <f aca="false">IF(B1267="PRODUKSI","produced","reject")</f>
        <v>reject</v>
      </c>
    </row>
    <row r="1268" customFormat="false" ht="15" hidden="false" customHeight="false" outlineLevel="0" collapsed="false">
      <c r="A1268" s="0" t="n">
        <v>1267</v>
      </c>
      <c r="B1268" s="0" t="str">
        <f aca="false">IF(A1268&lt;=36*25,"PRODUKSI","REJECT")</f>
        <v>REJECT</v>
      </c>
      <c r="C1268" s="0" t="n">
        <f aca="false">MOD(A1268-1,Pemetaan!$B$3*Pemetaan!$B$4)</f>
        <v>366</v>
      </c>
      <c r="D1268" s="0" t="n">
        <f aca="false">INT(C1268/Pemetaan!$B$4)</f>
        <v>14</v>
      </c>
      <c r="E1268" s="0" t="n">
        <f aca="false">MOD(C1268,Pemetaan!$B$4)</f>
        <v>16</v>
      </c>
      <c r="F1268" s="0" t="n">
        <f aca="false">IF(B1268="PRODUKSI",Pemetaan!$B$5,Pemetaan!$B$6)</f>
        <v>46</v>
      </c>
      <c r="G1268" s="0" t="n">
        <f aca="false">F1268+2+D1268</f>
        <v>62</v>
      </c>
      <c r="H1268" s="0" t="n">
        <f aca="false">Pemetaan!$B$2+E1268</f>
        <v>21</v>
      </c>
      <c r="I1268" s="0" t="str">
        <f aca="false">INDEX(Laporan!$A$1:$AZ$300,G1268,1)</f>
        <v>Water Treatment</v>
      </c>
      <c r="J1268" s="0" t="str">
        <f aca="false">INDEX(Laporan!$A$1:$AZ$300,G1268,2)</f>
        <v>1,5 L</v>
      </c>
      <c r="K1268" s="0" t="str">
        <f aca="false">INDEX(Laporan!$A$1:$AZ$300,G1268,3)</f>
        <v>Shift 1</v>
      </c>
      <c r="L1268" s="0" t="n">
        <f aca="false">INDEX(Laporan!$A$1:$AZ$300,G1268,4)</f>
        <v>3</v>
      </c>
      <c r="M1268" s="1" t="n">
        <f aca="false">DATE(Pemetaan!$B$1,VALUE(RIGHT(INDEX(Laporan!$A$1:$AZ$300,F1268+1,H1268),2)),VALUE(LEFT(INDEX(Laporan!$A$1:$AZ$300,F1268+1,H1268),2)))</f>
        <v>46105</v>
      </c>
      <c r="N1268" s="0" t="n">
        <f aca="false">INDEX(Laporan!$A$1:$AZ$300,G1268,H1268)</f>
        <v>5</v>
      </c>
      <c r="O1268" s="0" t="n">
        <f aca="false">IF(N1268="","",IFERROR(VALUE(SUBSTITUTE(SUBSTITUTE(N1268," btl",""),".","")),""))</f>
        <v>5</v>
      </c>
      <c r="P1268" s="0" t="str">
        <f aca="false">IF(B1268="PRODUKSI","produced","reject")</f>
        <v>reject</v>
      </c>
    </row>
    <row r="1269" customFormat="false" ht="15" hidden="false" customHeight="false" outlineLevel="0" collapsed="false">
      <c r="A1269" s="0" t="n">
        <v>1268</v>
      </c>
      <c r="B1269" s="0" t="str">
        <f aca="false">IF(A1269&lt;=36*25,"PRODUKSI","REJECT")</f>
        <v>REJECT</v>
      </c>
      <c r="C1269" s="0" t="n">
        <f aca="false">MOD(A1269-1,Pemetaan!$B$3*Pemetaan!$B$4)</f>
        <v>367</v>
      </c>
      <c r="D1269" s="0" t="n">
        <f aca="false">INT(C1269/Pemetaan!$B$4)</f>
        <v>14</v>
      </c>
      <c r="E1269" s="0" t="n">
        <f aca="false">MOD(C1269,Pemetaan!$B$4)</f>
        <v>17</v>
      </c>
      <c r="F1269" s="0" t="n">
        <f aca="false">IF(B1269="PRODUKSI",Pemetaan!$B$5,Pemetaan!$B$6)</f>
        <v>46</v>
      </c>
      <c r="G1269" s="0" t="n">
        <f aca="false">F1269+2+D1269</f>
        <v>62</v>
      </c>
      <c r="H1269" s="0" t="n">
        <f aca="false">Pemetaan!$B$2+E1269</f>
        <v>22</v>
      </c>
      <c r="I1269" s="0" t="str">
        <f aca="false">INDEX(Laporan!$A$1:$AZ$300,G1269,1)</f>
        <v>Water Treatment</v>
      </c>
      <c r="J1269" s="0" t="str">
        <f aca="false">INDEX(Laporan!$A$1:$AZ$300,G1269,2)</f>
        <v>1,5 L</v>
      </c>
      <c r="K1269" s="0" t="str">
        <f aca="false">INDEX(Laporan!$A$1:$AZ$300,G1269,3)</f>
        <v>Shift 1</v>
      </c>
      <c r="L1269" s="0" t="n">
        <f aca="false">INDEX(Laporan!$A$1:$AZ$300,G1269,4)</f>
        <v>3</v>
      </c>
      <c r="M1269" s="1" t="n">
        <f aca="false">DATE(Pemetaan!$B$1,VALUE(RIGHT(INDEX(Laporan!$A$1:$AZ$300,F1269+1,H1269),2)),VALUE(LEFT(INDEX(Laporan!$A$1:$AZ$300,F1269+1,H1269),2)))</f>
        <v>46106</v>
      </c>
      <c r="N1269" s="0" t="n">
        <f aca="false">INDEX(Laporan!$A$1:$AZ$300,G1269,H1269)</f>
        <v>5</v>
      </c>
      <c r="O1269" s="0" t="n">
        <f aca="false">IF(N1269="","",IFERROR(VALUE(SUBSTITUTE(SUBSTITUTE(N1269," btl",""),".","")),""))</f>
        <v>5</v>
      </c>
      <c r="P1269" s="0" t="str">
        <f aca="false">IF(B1269="PRODUKSI","produced","reject")</f>
        <v>reject</v>
      </c>
    </row>
    <row r="1270" customFormat="false" ht="15" hidden="false" customHeight="false" outlineLevel="0" collapsed="false">
      <c r="A1270" s="0" t="n">
        <v>1269</v>
      </c>
      <c r="B1270" s="0" t="str">
        <f aca="false">IF(A1270&lt;=36*25,"PRODUKSI","REJECT")</f>
        <v>REJECT</v>
      </c>
      <c r="C1270" s="0" t="n">
        <f aca="false">MOD(A1270-1,Pemetaan!$B$3*Pemetaan!$B$4)</f>
        <v>368</v>
      </c>
      <c r="D1270" s="0" t="n">
        <f aca="false">INT(C1270/Pemetaan!$B$4)</f>
        <v>14</v>
      </c>
      <c r="E1270" s="0" t="n">
        <f aca="false">MOD(C1270,Pemetaan!$B$4)</f>
        <v>18</v>
      </c>
      <c r="F1270" s="0" t="n">
        <f aca="false">IF(B1270="PRODUKSI",Pemetaan!$B$5,Pemetaan!$B$6)</f>
        <v>46</v>
      </c>
      <c r="G1270" s="0" t="n">
        <f aca="false">F1270+2+D1270</f>
        <v>62</v>
      </c>
      <c r="H1270" s="0" t="n">
        <f aca="false">Pemetaan!$B$2+E1270</f>
        <v>23</v>
      </c>
      <c r="I1270" s="0" t="str">
        <f aca="false">INDEX(Laporan!$A$1:$AZ$300,G1270,1)</f>
        <v>Water Treatment</v>
      </c>
      <c r="J1270" s="0" t="str">
        <f aca="false">INDEX(Laporan!$A$1:$AZ$300,G1270,2)</f>
        <v>1,5 L</v>
      </c>
      <c r="K1270" s="0" t="str">
        <f aca="false">INDEX(Laporan!$A$1:$AZ$300,G1270,3)</f>
        <v>Shift 1</v>
      </c>
      <c r="L1270" s="0" t="n">
        <f aca="false">INDEX(Laporan!$A$1:$AZ$300,G1270,4)</f>
        <v>3</v>
      </c>
      <c r="M1270" s="1" t="n">
        <f aca="false">DATE(Pemetaan!$B$1,VALUE(RIGHT(INDEX(Laporan!$A$1:$AZ$300,F1270+1,H1270),2)),VALUE(LEFT(INDEX(Laporan!$A$1:$AZ$300,F1270+1,H1270),2)))</f>
        <v>46107</v>
      </c>
      <c r="N1270" s="0" t="n">
        <f aca="false">INDEX(Laporan!$A$1:$AZ$300,G1270,H1270)</f>
        <v>4</v>
      </c>
      <c r="O1270" s="0" t="n">
        <f aca="false">IF(N1270="","",IFERROR(VALUE(SUBSTITUTE(SUBSTITUTE(N1270," btl",""),".","")),""))</f>
        <v>4</v>
      </c>
      <c r="P1270" s="0" t="str">
        <f aca="false">IF(B1270="PRODUKSI","produced","reject")</f>
        <v>reject</v>
      </c>
    </row>
    <row r="1271" customFormat="false" ht="15" hidden="false" customHeight="false" outlineLevel="0" collapsed="false">
      <c r="A1271" s="0" t="n">
        <v>1270</v>
      </c>
      <c r="B1271" s="0" t="str">
        <f aca="false">IF(A1271&lt;=36*25,"PRODUKSI","REJECT")</f>
        <v>REJECT</v>
      </c>
      <c r="C1271" s="0" t="n">
        <f aca="false">MOD(A1271-1,Pemetaan!$B$3*Pemetaan!$B$4)</f>
        <v>369</v>
      </c>
      <c r="D1271" s="0" t="n">
        <f aca="false">INT(C1271/Pemetaan!$B$4)</f>
        <v>14</v>
      </c>
      <c r="E1271" s="0" t="n">
        <f aca="false">MOD(C1271,Pemetaan!$B$4)</f>
        <v>19</v>
      </c>
      <c r="F1271" s="0" t="n">
        <f aca="false">IF(B1271="PRODUKSI",Pemetaan!$B$5,Pemetaan!$B$6)</f>
        <v>46</v>
      </c>
      <c r="G1271" s="0" t="n">
        <f aca="false">F1271+2+D1271</f>
        <v>62</v>
      </c>
      <c r="H1271" s="0" t="n">
        <f aca="false">Pemetaan!$B$2+E1271</f>
        <v>24</v>
      </c>
      <c r="I1271" s="0" t="str">
        <f aca="false">INDEX(Laporan!$A$1:$AZ$300,G1271,1)</f>
        <v>Water Treatment</v>
      </c>
      <c r="J1271" s="0" t="str">
        <f aca="false">INDEX(Laporan!$A$1:$AZ$300,G1271,2)</f>
        <v>1,5 L</v>
      </c>
      <c r="K1271" s="0" t="str">
        <f aca="false">INDEX(Laporan!$A$1:$AZ$300,G1271,3)</f>
        <v>Shift 1</v>
      </c>
      <c r="L1271" s="0" t="n">
        <f aca="false">INDEX(Laporan!$A$1:$AZ$300,G1271,4)</f>
        <v>3</v>
      </c>
      <c r="M1271" s="1" t="n">
        <f aca="false">DATE(Pemetaan!$B$1,VALUE(RIGHT(INDEX(Laporan!$A$1:$AZ$300,F1271+1,H1271),2)),VALUE(LEFT(INDEX(Laporan!$A$1:$AZ$300,F1271+1,H1271),2)))</f>
        <v>46108</v>
      </c>
      <c r="N1271" s="0" t="n">
        <f aca="false">INDEX(Laporan!$A$1:$AZ$300,G1271,H1271)</f>
        <v>7</v>
      </c>
      <c r="O1271" s="0" t="n">
        <f aca="false">IF(N1271="","",IFERROR(VALUE(SUBSTITUTE(SUBSTITUTE(N1271," btl",""),".","")),""))</f>
        <v>7</v>
      </c>
      <c r="P1271" s="0" t="str">
        <f aca="false">IF(B1271="PRODUKSI","produced","reject")</f>
        <v>reject</v>
      </c>
    </row>
    <row r="1272" customFormat="false" ht="15" hidden="false" customHeight="false" outlineLevel="0" collapsed="false">
      <c r="A1272" s="0" t="n">
        <v>1271</v>
      </c>
      <c r="B1272" s="0" t="str">
        <f aca="false">IF(A1272&lt;=36*25,"PRODUKSI","REJECT")</f>
        <v>REJECT</v>
      </c>
      <c r="C1272" s="0" t="n">
        <f aca="false">MOD(A1272-1,Pemetaan!$B$3*Pemetaan!$B$4)</f>
        <v>370</v>
      </c>
      <c r="D1272" s="0" t="n">
        <f aca="false">INT(C1272/Pemetaan!$B$4)</f>
        <v>14</v>
      </c>
      <c r="E1272" s="0" t="n">
        <f aca="false">MOD(C1272,Pemetaan!$B$4)</f>
        <v>20</v>
      </c>
      <c r="F1272" s="0" t="n">
        <f aca="false">IF(B1272="PRODUKSI",Pemetaan!$B$5,Pemetaan!$B$6)</f>
        <v>46</v>
      </c>
      <c r="G1272" s="0" t="n">
        <f aca="false">F1272+2+D1272</f>
        <v>62</v>
      </c>
      <c r="H1272" s="0" t="n">
        <f aca="false">Pemetaan!$B$2+E1272</f>
        <v>25</v>
      </c>
      <c r="I1272" s="0" t="str">
        <f aca="false">INDEX(Laporan!$A$1:$AZ$300,G1272,1)</f>
        <v>Water Treatment</v>
      </c>
      <c r="J1272" s="0" t="str">
        <f aca="false">INDEX(Laporan!$A$1:$AZ$300,G1272,2)</f>
        <v>1,5 L</v>
      </c>
      <c r="K1272" s="0" t="str">
        <f aca="false">INDEX(Laporan!$A$1:$AZ$300,G1272,3)</f>
        <v>Shift 1</v>
      </c>
      <c r="L1272" s="0" t="n">
        <f aca="false">INDEX(Laporan!$A$1:$AZ$300,G1272,4)</f>
        <v>3</v>
      </c>
      <c r="M1272" s="1" t="n">
        <f aca="false">DATE(Pemetaan!$B$1,VALUE(RIGHT(INDEX(Laporan!$A$1:$AZ$300,F1272+1,H1272),2)),VALUE(LEFT(INDEX(Laporan!$A$1:$AZ$300,F1272+1,H1272),2)))</f>
        <v>46111</v>
      </c>
      <c r="N1272" s="0" t="n">
        <f aca="false">INDEX(Laporan!$A$1:$AZ$300,G1272,H1272)</f>
        <v>8</v>
      </c>
      <c r="O1272" s="0" t="n">
        <f aca="false">IF(N1272="","",IFERROR(VALUE(SUBSTITUTE(SUBSTITUTE(N1272," btl",""),".","")),""))</f>
        <v>8</v>
      </c>
      <c r="P1272" s="0" t="str">
        <f aca="false">IF(B1272="PRODUKSI","produced","reject")</f>
        <v>reject</v>
      </c>
    </row>
    <row r="1273" customFormat="false" ht="15" hidden="false" customHeight="false" outlineLevel="0" collapsed="false">
      <c r="A1273" s="0" t="n">
        <v>1272</v>
      </c>
      <c r="B1273" s="0" t="str">
        <f aca="false">IF(A1273&lt;=36*25,"PRODUKSI","REJECT")</f>
        <v>REJECT</v>
      </c>
      <c r="C1273" s="0" t="n">
        <f aca="false">MOD(A1273-1,Pemetaan!$B$3*Pemetaan!$B$4)</f>
        <v>371</v>
      </c>
      <c r="D1273" s="0" t="n">
        <f aca="false">INT(C1273/Pemetaan!$B$4)</f>
        <v>14</v>
      </c>
      <c r="E1273" s="0" t="n">
        <f aca="false">MOD(C1273,Pemetaan!$B$4)</f>
        <v>21</v>
      </c>
      <c r="F1273" s="0" t="n">
        <f aca="false">IF(B1273="PRODUKSI",Pemetaan!$B$5,Pemetaan!$B$6)</f>
        <v>46</v>
      </c>
      <c r="G1273" s="0" t="n">
        <f aca="false">F1273+2+D1273</f>
        <v>62</v>
      </c>
      <c r="H1273" s="0" t="n">
        <f aca="false">Pemetaan!$B$2+E1273</f>
        <v>26</v>
      </c>
      <c r="I1273" s="0" t="str">
        <f aca="false">INDEX(Laporan!$A$1:$AZ$300,G1273,1)</f>
        <v>Water Treatment</v>
      </c>
      <c r="J1273" s="0" t="str">
        <f aca="false">INDEX(Laporan!$A$1:$AZ$300,G1273,2)</f>
        <v>1,5 L</v>
      </c>
      <c r="K1273" s="0" t="str">
        <f aca="false">INDEX(Laporan!$A$1:$AZ$300,G1273,3)</f>
        <v>Shift 1</v>
      </c>
      <c r="L1273" s="0" t="n">
        <f aca="false">INDEX(Laporan!$A$1:$AZ$300,G1273,4)</f>
        <v>3</v>
      </c>
      <c r="M1273" s="1" t="n">
        <f aca="false">DATE(Pemetaan!$B$1,VALUE(RIGHT(INDEX(Laporan!$A$1:$AZ$300,F1273+1,H1273),2)),VALUE(LEFT(INDEX(Laporan!$A$1:$AZ$300,F1273+1,H1273),2)))</f>
        <v>46112</v>
      </c>
      <c r="N1273" s="0" t="n">
        <f aca="false">INDEX(Laporan!$A$1:$AZ$300,G1273,H1273)</f>
        <v>6</v>
      </c>
      <c r="O1273" s="0" t="n">
        <f aca="false">IF(N1273="","",IFERROR(VALUE(SUBSTITUTE(SUBSTITUTE(N1273," btl",""),".","")),""))</f>
        <v>6</v>
      </c>
      <c r="P1273" s="0" t="str">
        <f aca="false">IF(B1273="PRODUKSI","produced","reject")</f>
        <v>reject</v>
      </c>
    </row>
    <row r="1274" customFormat="false" ht="15" hidden="false" customHeight="false" outlineLevel="0" collapsed="false">
      <c r="A1274" s="0" t="n">
        <v>1273</v>
      </c>
      <c r="B1274" s="0" t="str">
        <f aca="false">IF(A1274&lt;=36*25,"PRODUKSI","REJECT")</f>
        <v>REJECT</v>
      </c>
      <c r="C1274" s="0" t="n">
        <f aca="false">MOD(A1274-1,Pemetaan!$B$3*Pemetaan!$B$4)</f>
        <v>372</v>
      </c>
      <c r="D1274" s="0" t="n">
        <f aca="false">INT(C1274/Pemetaan!$B$4)</f>
        <v>14</v>
      </c>
      <c r="E1274" s="0" t="n">
        <f aca="false">MOD(C1274,Pemetaan!$B$4)</f>
        <v>22</v>
      </c>
      <c r="F1274" s="0" t="n">
        <f aca="false">IF(B1274="PRODUKSI",Pemetaan!$B$5,Pemetaan!$B$6)</f>
        <v>46</v>
      </c>
      <c r="G1274" s="0" t="n">
        <f aca="false">F1274+2+D1274</f>
        <v>62</v>
      </c>
      <c r="H1274" s="0" t="n">
        <f aca="false">Pemetaan!$B$2+E1274</f>
        <v>27</v>
      </c>
      <c r="I1274" s="0" t="str">
        <f aca="false">INDEX(Laporan!$A$1:$AZ$300,G1274,1)</f>
        <v>Water Treatment</v>
      </c>
      <c r="J1274" s="0" t="str">
        <f aca="false">INDEX(Laporan!$A$1:$AZ$300,G1274,2)</f>
        <v>1,5 L</v>
      </c>
      <c r="K1274" s="0" t="str">
        <f aca="false">INDEX(Laporan!$A$1:$AZ$300,G1274,3)</f>
        <v>Shift 1</v>
      </c>
      <c r="L1274" s="0" t="n">
        <f aca="false">INDEX(Laporan!$A$1:$AZ$300,G1274,4)</f>
        <v>3</v>
      </c>
      <c r="M1274" s="1" t="n">
        <f aca="false">DATE(Pemetaan!$B$1,VALUE(RIGHT(INDEX(Laporan!$A$1:$AZ$300,F1274+1,H1274),2)),VALUE(LEFT(INDEX(Laporan!$A$1:$AZ$300,F1274+1,H1274),2)))</f>
        <v>46113</v>
      </c>
      <c r="N1274" s="0" t="n">
        <f aca="false">INDEX(Laporan!$A$1:$AZ$300,G1274,H1274)</f>
        <v>8</v>
      </c>
      <c r="O1274" s="0" t="n">
        <f aca="false">IF(N1274="","",IFERROR(VALUE(SUBSTITUTE(SUBSTITUTE(N1274," btl",""),".","")),""))</f>
        <v>8</v>
      </c>
      <c r="P1274" s="0" t="str">
        <f aca="false">IF(B1274="PRODUKSI","produced","reject")</f>
        <v>reject</v>
      </c>
    </row>
    <row r="1275" customFormat="false" ht="15" hidden="false" customHeight="false" outlineLevel="0" collapsed="false">
      <c r="A1275" s="0" t="n">
        <v>1274</v>
      </c>
      <c r="B1275" s="0" t="str">
        <f aca="false">IF(A1275&lt;=36*25,"PRODUKSI","REJECT")</f>
        <v>REJECT</v>
      </c>
      <c r="C1275" s="0" t="n">
        <f aca="false">MOD(A1275-1,Pemetaan!$B$3*Pemetaan!$B$4)</f>
        <v>373</v>
      </c>
      <c r="D1275" s="0" t="n">
        <f aca="false">INT(C1275/Pemetaan!$B$4)</f>
        <v>14</v>
      </c>
      <c r="E1275" s="0" t="n">
        <f aca="false">MOD(C1275,Pemetaan!$B$4)</f>
        <v>23</v>
      </c>
      <c r="F1275" s="0" t="n">
        <f aca="false">IF(B1275="PRODUKSI",Pemetaan!$B$5,Pemetaan!$B$6)</f>
        <v>46</v>
      </c>
      <c r="G1275" s="0" t="n">
        <f aca="false">F1275+2+D1275</f>
        <v>62</v>
      </c>
      <c r="H1275" s="0" t="n">
        <f aca="false">Pemetaan!$B$2+E1275</f>
        <v>28</v>
      </c>
      <c r="I1275" s="0" t="str">
        <f aca="false">INDEX(Laporan!$A$1:$AZ$300,G1275,1)</f>
        <v>Water Treatment</v>
      </c>
      <c r="J1275" s="0" t="str">
        <f aca="false">INDEX(Laporan!$A$1:$AZ$300,G1275,2)</f>
        <v>1,5 L</v>
      </c>
      <c r="K1275" s="0" t="str">
        <f aca="false">INDEX(Laporan!$A$1:$AZ$300,G1275,3)</f>
        <v>Shift 1</v>
      </c>
      <c r="L1275" s="0" t="n">
        <f aca="false">INDEX(Laporan!$A$1:$AZ$300,G1275,4)</f>
        <v>3</v>
      </c>
      <c r="M1275" s="1" t="n">
        <f aca="false">DATE(Pemetaan!$B$1,VALUE(RIGHT(INDEX(Laporan!$A$1:$AZ$300,F1275+1,H1275),2)),VALUE(LEFT(INDEX(Laporan!$A$1:$AZ$300,F1275+1,H1275),2)))</f>
        <v>46114</v>
      </c>
      <c r="N1275" s="0" t="n">
        <f aca="false">INDEX(Laporan!$A$1:$AZ$300,G1275,H1275)</f>
        <v>5</v>
      </c>
      <c r="O1275" s="0" t="n">
        <f aca="false">IF(N1275="","",IFERROR(VALUE(SUBSTITUTE(SUBSTITUTE(N1275," btl",""),".","")),""))</f>
        <v>5</v>
      </c>
      <c r="P1275" s="0" t="str">
        <f aca="false">IF(B1275="PRODUKSI","produced","reject")</f>
        <v>reject</v>
      </c>
    </row>
    <row r="1276" customFormat="false" ht="15" hidden="false" customHeight="false" outlineLevel="0" collapsed="false">
      <c r="A1276" s="0" t="n">
        <v>1275</v>
      </c>
      <c r="B1276" s="0" t="str">
        <f aca="false">IF(A1276&lt;=36*25,"PRODUKSI","REJECT")</f>
        <v>REJECT</v>
      </c>
      <c r="C1276" s="0" t="n">
        <f aca="false">MOD(A1276-1,Pemetaan!$B$3*Pemetaan!$B$4)</f>
        <v>374</v>
      </c>
      <c r="D1276" s="0" t="n">
        <f aca="false">INT(C1276/Pemetaan!$B$4)</f>
        <v>14</v>
      </c>
      <c r="E1276" s="0" t="n">
        <f aca="false">MOD(C1276,Pemetaan!$B$4)</f>
        <v>24</v>
      </c>
      <c r="F1276" s="0" t="n">
        <f aca="false">IF(B1276="PRODUKSI",Pemetaan!$B$5,Pemetaan!$B$6)</f>
        <v>46</v>
      </c>
      <c r="G1276" s="0" t="n">
        <f aca="false">F1276+2+D1276</f>
        <v>62</v>
      </c>
      <c r="H1276" s="0" t="n">
        <f aca="false">Pemetaan!$B$2+E1276</f>
        <v>29</v>
      </c>
      <c r="I1276" s="0" t="str">
        <f aca="false">INDEX(Laporan!$A$1:$AZ$300,G1276,1)</f>
        <v>Water Treatment</v>
      </c>
      <c r="J1276" s="0" t="str">
        <f aca="false">INDEX(Laporan!$A$1:$AZ$300,G1276,2)</f>
        <v>1,5 L</v>
      </c>
      <c r="K1276" s="0" t="str">
        <f aca="false">INDEX(Laporan!$A$1:$AZ$300,G1276,3)</f>
        <v>Shift 1</v>
      </c>
      <c r="L1276" s="0" t="n">
        <f aca="false">INDEX(Laporan!$A$1:$AZ$300,G1276,4)</f>
        <v>3</v>
      </c>
      <c r="M1276" s="1" t="n">
        <f aca="false">DATE(Pemetaan!$B$1,VALUE(RIGHT(INDEX(Laporan!$A$1:$AZ$300,F1276+1,H1276),2)),VALUE(LEFT(INDEX(Laporan!$A$1:$AZ$300,F1276+1,H1276),2)))</f>
        <v>46115</v>
      </c>
      <c r="N1276" s="0" t="n">
        <f aca="false">INDEX(Laporan!$A$1:$AZ$300,G1276,H1276)</f>
        <v>11</v>
      </c>
      <c r="O1276" s="0" t="n">
        <f aca="false">IF(N1276="","",IFERROR(VALUE(SUBSTITUTE(SUBSTITUTE(N1276," btl",""),".","")),""))</f>
        <v>11</v>
      </c>
      <c r="P1276" s="0" t="str">
        <f aca="false">IF(B1276="PRODUKSI","produced","reject")</f>
        <v>reject</v>
      </c>
    </row>
    <row r="1277" customFormat="false" ht="15" hidden="false" customHeight="false" outlineLevel="0" collapsed="false">
      <c r="A1277" s="0" t="n">
        <v>1276</v>
      </c>
      <c r="B1277" s="0" t="str">
        <f aca="false">IF(A1277&lt;=36*25,"PRODUKSI","REJECT")</f>
        <v>REJECT</v>
      </c>
      <c r="C1277" s="0" t="n">
        <f aca="false">MOD(A1277-1,Pemetaan!$B$3*Pemetaan!$B$4)</f>
        <v>375</v>
      </c>
      <c r="D1277" s="0" t="n">
        <f aca="false">INT(C1277/Pemetaan!$B$4)</f>
        <v>15</v>
      </c>
      <c r="E1277" s="0" t="n">
        <f aca="false">MOD(C1277,Pemetaan!$B$4)</f>
        <v>0</v>
      </c>
      <c r="F1277" s="0" t="n">
        <f aca="false">IF(B1277="PRODUKSI",Pemetaan!$B$5,Pemetaan!$B$6)</f>
        <v>46</v>
      </c>
      <c r="G1277" s="0" t="n">
        <f aca="false">F1277+2+D1277</f>
        <v>63</v>
      </c>
      <c r="H1277" s="0" t="n">
        <f aca="false">Pemetaan!$B$2+E1277</f>
        <v>5</v>
      </c>
      <c r="I1277" s="0" t="str">
        <f aca="false">INDEX(Laporan!$A$1:$AZ$300,G1277,1)</f>
        <v>Water Treatment</v>
      </c>
      <c r="J1277" s="0" t="str">
        <f aca="false">INDEX(Laporan!$A$1:$AZ$300,G1277,2)</f>
        <v>1,5 L</v>
      </c>
      <c r="K1277" s="0" t="str">
        <f aca="false">INDEX(Laporan!$A$1:$AZ$300,G1277,3)</f>
        <v>Shift 2</v>
      </c>
      <c r="L1277" s="0" t="n">
        <f aca="false">INDEX(Laporan!$A$1:$AZ$300,G1277,4)</f>
        <v>1</v>
      </c>
      <c r="M1277" s="1" t="n">
        <f aca="false">DATE(Pemetaan!$B$1,VALUE(RIGHT(INDEX(Laporan!$A$1:$AZ$300,F1277+1,H1277),2)),VALUE(LEFT(INDEX(Laporan!$A$1:$AZ$300,F1277+1,H1277),2)))</f>
        <v>46083</v>
      </c>
      <c r="N1277" s="0" t="n">
        <f aca="false">INDEX(Laporan!$A$1:$AZ$300,G1277,H1277)</f>
        <v>9</v>
      </c>
      <c r="O1277" s="0" t="n">
        <f aca="false">IF(N1277="","",IFERROR(VALUE(SUBSTITUTE(SUBSTITUTE(N1277," btl",""),".","")),""))</f>
        <v>9</v>
      </c>
      <c r="P1277" s="0" t="str">
        <f aca="false">IF(B1277="PRODUKSI","produced","reject")</f>
        <v>reject</v>
      </c>
    </row>
    <row r="1278" customFormat="false" ht="15" hidden="false" customHeight="false" outlineLevel="0" collapsed="false">
      <c r="A1278" s="0" t="n">
        <v>1277</v>
      </c>
      <c r="B1278" s="0" t="str">
        <f aca="false">IF(A1278&lt;=36*25,"PRODUKSI","REJECT")</f>
        <v>REJECT</v>
      </c>
      <c r="C1278" s="0" t="n">
        <f aca="false">MOD(A1278-1,Pemetaan!$B$3*Pemetaan!$B$4)</f>
        <v>376</v>
      </c>
      <c r="D1278" s="0" t="n">
        <f aca="false">INT(C1278/Pemetaan!$B$4)</f>
        <v>15</v>
      </c>
      <c r="E1278" s="0" t="n">
        <f aca="false">MOD(C1278,Pemetaan!$B$4)</f>
        <v>1</v>
      </c>
      <c r="F1278" s="0" t="n">
        <f aca="false">IF(B1278="PRODUKSI",Pemetaan!$B$5,Pemetaan!$B$6)</f>
        <v>46</v>
      </c>
      <c r="G1278" s="0" t="n">
        <f aca="false">F1278+2+D1278</f>
        <v>63</v>
      </c>
      <c r="H1278" s="0" t="n">
        <f aca="false">Pemetaan!$B$2+E1278</f>
        <v>6</v>
      </c>
      <c r="I1278" s="0" t="str">
        <f aca="false">INDEX(Laporan!$A$1:$AZ$300,G1278,1)</f>
        <v>Water Treatment</v>
      </c>
      <c r="J1278" s="0" t="str">
        <f aca="false">INDEX(Laporan!$A$1:$AZ$300,G1278,2)</f>
        <v>1,5 L</v>
      </c>
      <c r="K1278" s="0" t="str">
        <f aca="false">INDEX(Laporan!$A$1:$AZ$300,G1278,3)</f>
        <v>Shift 2</v>
      </c>
      <c r="L1278" s="0" t="n">
        <f aca="false">INDEX(Laporan!$A$1:$AZ$300,G1278,4)</f>
        <v>1</v>
      </c>
      <c r="M1278" s="1" t="n">
        <f aca="false">DATE(Pemetaan!$B$1,VALUE(RIGHT(INDEX(Laporan!$A$1:$AZ$300,F1278+1,H1278),2)),VALUE(LEFT(INDEX(Laporan!$A$1:$AZ$300,F1278+1,H1278),2)))</f>
        <v>46084</v>
      </c>
      <c r="N1278" s="0" t="n">
        <f aca="false">INDEX(Laporan!$A$1:$AZ$300,G1278,H1278)</f>
        <v>1</v>
      </c>
      <c r="O1278" s="0" t="n">
        <f aca="false">IF(N1278="","",IFERROR(VALUE(SUBSTITUTE(SUBSTITUTE(N1278," btl",""),".","")),""))</f>
        <v>1</v>
      </c>
      <c r="P1278" s="0" t="str">
        <f aca="false">IF(B1278="PRODUKSI","produced","reject")</f>
        <v>reject</v>
      </c>
    </row>
    <row r="1279" customFormat="false" ht="15" hidden="false" customHeight="false" outlineLevel="0" collapsed="false">
      <c r="A1279" s="0" t="n">
        <v>1278</v>
      </c>
      <c r="B1279" s="0" t="str">
        <f aca="false">IF(A1279&lt;=36*25,"PRODUKSI","REJECT")</f>
        <v>REJECT</v>
      </c>
      <c r="C1279" s="0" t="n">
        <f aca="false">MOD(A1279-1,Pemetaan!$B$3*Pemetaan!$B$4)</f>
        <v>377</v>
      </c>
      <c r="D1279" s="0" t="n">
        <f aca="false">INT(C1279/Pemetaan!$B$4)</f>
        <v>15</v>
      </c>
      <c r="E1279" s="0" t="n">
        <f aca="false">MOD(C1279,Pemetaan!$B$4)</f>
        <v>2</v>
      </c>
      <c r="F1279" s="0" t="n">
        <f aca="false">IF(B1279="PRODUKSI",Pemetaan!$B$5,Pemetaan!$B$6)</f>
        <v>46</v>
      </c>
      <c r="G1279" s="0" t="n">
        <f aca="false">F1279+2+D1279</f>
        <v>63</v>
      </c>
      <c r="H1279" s="0" t="n">
        <f aca="false">Pemetaan!$B$2+E1279</f>
        <v>7</v>
      </c>
      <c r="I1279" s="0" t="str">
        <f aca="false">INDEX(Laporan!$A$1:$AZ$300,G1279,1)</f>
        <v>Water Treatment</v>
      </c>
      <c r="J1279" s="0" t="str">
        <f aca="false">INDEX(Laporan!$A$1:$AZ$300,G1279,2)</f>
        <v>1,5 L</v>
      </c>
      <c r="K1279" s="0" t="str">
        <f aca="false">INDEX(Laporan!$A$1:$AZ$300,G1279,3)</f>
        <v>Shift 2</v>
      </c>
      <c r="L1279" s="0" t="n">
        <f aca="false">INDEX(Laporan!$A$1:$AZ$300,G1279,4)</f>
        <v>1</v>
      </c>
      <c r="M1279" s="1" t="n">
        <f aca="false">DATE(Pemetaan!$B$1,VALUE(RIGHT(INDEX(Laporan!$A$1:$AZ$300,F1279+1,H1279),2)),VALUE(LEFT(INDEX(Laporan!$A$1:$AZ$300,F1279+1,H1279),2)))</f>
        <v>46085</v>
      </c>
      <c r="N1279" s="0" t="n">
        <f aca="false">INDEX(Laporan!$A$1:$AZ$300,G1279,H1279)</f>
        <v>6</v>
      </c>
      <c r="O1279" s="0" t="n">
        <f aca="false">IF(N1279="","",IFERROR(VALUE(SUBSTITUTE(SUBSTITUTE(N1279," btl",""),".","")),""))</f>
        <v>6</v>
      </c>
      <c r="P1279" s="0" t="str">
        <f aca="false">IF(B1279="PRODUKSI","produced","reject")</f>
        <v>reject</v>
      </c>
    </row>
    <row r="1280" customFormat="false" ht="15" hidden="false" customHeight="false" outlineLevel="0" collapsed="false">
      <c r="A1280" s="0" t="n">
        <v>1279</v>
      </c>
      <c r="B1280" s="0" t="str">
        <f aca="false">IF(A1280&lt;=36*25,"PRODUKSI","REJECT")</f>
        <v>REJECT</v>
      </c>
      <c r="C1280" s="0" t="n">
        <f aca="false">MOD(A1280-1,Pemetaan!$B$3*Pemetaan!$B$4)</f>
        <v>378</v>
      </c>
      <c r="D1280" s="0" t="n">
        <f aca="false">INT(C1280/Pemetaan!$B$4)</f>
        <v>15</v>
      </c>
      <c r="E1280" s="0" t="n">
        <f aca="false">MOD(C1280,Pemetaan!$B$4)</f>
        <v>3</v>
      </c>
      <c r="F1280" s="0" t="n">
        <f aca="false">IF(B1280="PRODUKSI",Pemetaan!$B$5,Pemetaan!$B$6)</f>
        <v>46</v>
      </c>
      <c r="G1280" s="0" t="n">
        <f aca="false">F1280+2+D1280</f>
        <v>63</v>
      </c>
      <c r="H1280" s="0" t="n">
        <f aca="false">Pemetaan!$B$2+E1280</f>
        <v>8</v>
      </c>
      <c r="I1280" s="0" t="str">
        <f aca="false">INDEX(Laporan!$A$1:$AZ$300,G1280,1)</f>
        <v>Water Treatment</v>
      </c>
      <c r="J1280" s="0" t="str">
        <f aca="false">INDEX(Laporan!$A$1:$AZ$300,G1280,2)</f>
        <v>1,5 L</v>
      </c>
      <c r="K1280" s="0" t="str">
        <f aca="false">INDEX(Laporan!$A$1:$AZ$300,G1280,3)</f>
        <v>Shift 2</v>
      </c>
      <c r="L1280" s="0" t="n">
        <f aca="false">INDEX(Laporan!$A$1:$AZ$300,G1280,4)</f>
        <v>1</v>
      </c>
      <c r="M1280" s="1" t="n">
        <f aca="false">DATE(Pemetaan!$B$1,VALUE(RIGHT(INDEX(Laporan!$A$1:$AZ$300,F1280+1,H1280),2)),VALUE(LEFT(INDEX(Laporan!$A$1:$AZ$300,F1280+1,H1280),2)))</f>
        <v>46086</v>
      </c>
      <c r="N1280" s="0" t="n">
        <f aca="false">INDEX(Laporan!$A$1:$AZ$300,G1280,H1280)</f>
        <v>5</v>
      </c>
      <c r="O1280" s="0" t="n">
        <f aca="false">IF(N1280="","",IFERROR(VALUE(SUBSTITUTE(SUBSTITUTE(N1280," btl",""),".","")),""))</f>
        <v>5</v>
      </c>
      <c r="P1280" s="0" t="str">
        <f aca="false">IF(B1280="PRODUKSI","produced","reject")</f>
        <v>reject</v>
      </c>
    </row>
    <row r="1281" customFormat="false" ht="15" hidden="false" customHeight="false" outlineLevel="0" collapsed="false">
      <c r="A1281" s="0" t="n">
        <v>1280</v>
      </c>
      <c r="B1281" s="0" t="str">
        <f aca="false">IF(A1281&lt;=36*25,"PRODUKSI","REJECT")</f>
        <v>REJECT</v>
      </c>
      <c r="C1281" s="0" t="n">
        <f aca="false">MOD(A1281-1,Pemetaan!$B$3*Pemetaan!$B$4)</f>
        <v>379</v>
      </c>
      <c r="D1281" s="0" t="n">
        <f aca="false">INT(C1281/Pemetaan!$B$4)</f>
        <v>15</v>
      </c>
      <c r="E1281" s="0" t="n">
        <f aca="false">MOD(C1281,Pemetaan!$B$4)</f>
        <v>4</v>
      </c>
      <c r="F1281" s="0" t="n">
        <f aca="false">IF(B1281="PRODUKSI",Pemetaan!$B$5,Pemetaan!$B$6)</f>
        <v>46</v>
      </c>
      <c r="G1281" s="0" t="n">
        <f aca="false">F1281+2+D1281</f>
        <v>63</v>
      </c>
      <c r="H1281" s="0" t="n">
        <f aca="false">Pemetaan!$B$2+E1281</f>
        <v>9</v>
      </c>
      <c r="I1281" s="0" t="str">
        <f aca="false">INDEX(Laporan!$A$1:$AZ$300,G1281,1)</f>
        <v>Water Treatment</v>
      </c>
      <c r="J1281" s="0" t="str">
        <f aca="false">INDEX(Laporan!$A$1:$AZ$300,G1281,2)</f>
        <v>1,5 L</v>
      </c>
      <c r="K1281" s="0" t="str">
        <f aca="false">INDEX(Laporan!$A$1:$AZ$300,G1281,3)</f>
        <v>Shift 2</v>
      </c>
      <c r="L1281" s="0" t="n">
        <f aca="false">INDEX(Laporan!$A$1:$AZ$300,G1281,4)</f>
        <v>1</v>
      </c>
      <c r="M1281" s="1" t="n">
        <f aca="false">DATE(Pemetaan!$B$1,VALUE(RIGHT(INDEX(Laporan!$A$1:$AZ$300,F1281+1,H1281),2)),VALUE(LEFT(INDEX(Laporan!$A$1:$AZ$300,F1281+1,H1281),2)))</f>
        <v>46087</v>
      </c>
      <c r="N1281" s="0" t="n">
        <f aca="false">INDEX(Laporan!$A$1:$AZ$300,G1281,H1281)</f>
        <v>4</v>
      </c>
      <c r="O1281" s="0" t="n">
        <f aca="false">IF(N1281="","",IFERROR(VALUE(SUBSTITUTE(SUBSTITUTE(N1281," btl",""),".","")),""))</f>
        <v>4</v>
      </c>
      <c r="P1281" s="0" t="str">
        <f aca="false">IF(B1281="PRODUKSI","produced","reject")</f>
        <v>reject</v>
      </c>
    </row>
    <row r="1282" customFormat="false" ht="15" hidden="false" customHeight="false" outlineLevel="0" collapsed="false">
      <c r="A1282" s="0" t="n">
        <v>1281</v>
      </c>
      <c r="B1282" s="0" t="str">
        <f aca="false">IF(A1282&lt;=36*25,"PRODUKSI","REJECT")</f>
        <v>REJECT</v>
      </c>
      <c r="C1282" s="0" t="n">
        <f aca="false">MOD(A1282-1,Pemetaan!$B$3*Pemetaan!$B$4)</f>
        <v>380</v>
      </c>
      <c r="D1282" s="0" t="n">
        <f aca="false">INT(C1282/Pemetaan!$B$4)</f>
        <v>15</v>
      </c>
      <c r="E1282" s="0" t="n">
        <f aca="false">MOD(C1282,Pemetaan!$B$4)</f>
        <v>5</v>
      </c>
      <c r="F1282" s="0" t="n">
        <f aca="false">IF(B1282="PRODUKSI",Pemetaan!$B$5,Pemetaan!$B$6)</f>
        <v>46</v>
      </c>
      <c r="G1282" s="0" t="n">
        <f aca="false">F1282+2+D1282</f>
        <v>63</v>
      </c>
      <c r="H1282" s="0" t="n">
        <f aca="false">Pemetaan!$B$2+E1282</f>
        <v>10</v>
      </c>
      <c r="I1282" s="0" t="str">
        <f aca="false">INDEX(Laporan!$A$1:$AZ$300,G1282,1)</f>
        <v>Water Treatment</v>
      </c>
      <c r="J1282" s="0" t="str">
        <f aca="false">INDEX(Laporan!$A$1:$AZ$300,G1282,2)</f>
        <v>1,5 L</v>
      </c>
      <c r="K1282" s="0" t="str">
        <f aca="false">INDEX(Laporan!$A$1:$AZ$300,G1282,3)</f>
        <v>Shift 2</v>
      </c>
      <c r="L1282" s="0" t="n">
        <f aca="false">INDEX(Laporan!$A$1:$AZ$300,G1282,4)</f>
        <v>1</v>
      </c>
      <c r="M1282" s="1" t="n">
        <f aca="false">DATE(Pemetaan!$B$1,VALUE(RIGHT(INDEX(Laporan!$A$1:$AZ$300,F1282+1,H1282),2)),VALUE(LEFT(INDEX(Laporan!$A$1:$AZ$300,F1282+1,H1282),2)))</f>
        <v>46090</v>
      </c>
      <c r="N1282" s="0" t="n">
        <f aca="false">INDEX(Laporan!$A$1:$AZ$300,G1282,H1282)</f>
        <v>5</v>
      </c>
      <c r="O1282" s="0" t="n">
        <f aca="false">IF(N1282="","",IFERROR(VALUE(SUBSTITUTE(SUBSTITUTE(N1282," btl",""),".","")),""))</f>
        <v>5</v>
      </c>
      <c r="P1282" s="0" t="str">
        <f aca="false">IF(B1282="PRODUKSI","produced","reject")</f>
        <v>reject</v>
      </c>
    </row>
    <row r="1283" customFormat="false" ht="15" hidden="false" customHeight="false" outlineLevel="0" collapsed="false">
      <c r="A1283" s="0" t="n">
        <v>1282</v>
      </c>
      <c r="B1283" s="0" t="str">
        <f aca="false">IF(A1283&lt;=36*25,"PRODUKSI","REJECT")</f>
        <v>REJECT</v>
      </c>
      <c r="C1283" s="0" t="n">
        <f aca="false">MOD(A1283-1,Pemetaan!$B$3*Pemetaan!$B$4)</f>
        <v>381</v>
      </c>
      <c r="D1283" s="0" t="n">
        <f aca="false">INT(C1283/Pemetaan!$B$4)</f>
        <v>15</v>
      </c>
      <c r="E1283" s="0" t="n">
        <f aca="false">MOD(C1283,Pemetaan!$B$4)</f>
        <v>6</v>
      </c>
      <c r="F1283" s="0" t="n">
        <f aca="false">IF(B1283="PRODUKSI",Pemetaan!$B$5,Pemetaan!$B$6)</f>
        <v>46</v>
      </c>
      <c r="G1283" s="0" t="n">
        <f aca="false">F1283+2+D1283</f>
        <v>63</v>
      </c>
      <c r="H1283" s="0" t="n">
        <f aca="false">Pemetaan!$B$2+E1283</f>
        <v>11</v>
      </c>
      <c r="I1283" s="0" t="str">
        <f aca="false">INDEX(Laporan!$A$1:$AZ$300,G1283,1)</f>
        <v>Water Treatment</v>
      </c>
      <c r="J1283" s="0" t="str">
        <f aca="false">INDEX(Laporan!$A$1:$AZ$300,G1283,2)</f>
        <v>1,5 L</v>
      </c>
      <c r="K1283" s="0" t="str">
        <f aca="false">INDEX(Laporan!$A$1:$AZ$300,G1283,3)</f>
        <v>Shift 2</v>
      </c>
      <c r="L1283" s="0" t="n">
        <f aca="false">INDEX(Laporan!$A$1:$AZ$300,G1283,4)</f>
        <v>1</v>
      </c>
      <c r="M1283" s="1" t="n">
        <f aca="false">DATE(Pemetaan!$B$1,VALUE(RIGHT(INDEX(Laporan!$A$1:$AZ$300,F1283+1,H1283),2)),VALUE(LEFT(INDEX(Laporan!$A$1:$AZ$300,F1283+1,H1283),2)))</f>
        <v>46091</v>
      </c>
      <c r="N1283" s="0" t="n">
        <f aca="false">INDEX(Laporan!$A$1:$AZ$300,G1283,H1283)</f>
        <v>6</v>
      </c>
      <c r="O1283" s="0" t="n">
        <f aca="false">IF(N1283="","",IFERROR(VALUE(SUBSTITUTE(SUBSTITUTE(N1283," btl",""),".","")),""))</f>
        <v>6</v>
      </c>
      <c r="P1283" s="0" t="str">
        <f aca="false">IF(B1283="PRODUKSI","produced","reject")</f>
        <v>reject</v>
      </c>
    </row>
    <row r="1284" customFormat="false" ht="15" hidden="false" customHeight="false" outlineLevel="0" collapsed="false">
      <c r="A1284" s="0" t="n">
        <v>1283</v>
      </c>
      <c r="B1284" s="0" t="str">
        <f aca="false">IF(A1284&lt;=36*25,"PRODUKSI","REJECT")</f>
        <v>REJECT</v>
      </c>
      <c r="C1284" s="0" t="n">
        <f aca="false">MOD(A1284-1,Pemetaan!$B$3*Pemetaan!$B$4)</f>
        <v>382</v>
      </c>
      <c r="D1284" s="0" t="n">
        <f aca="false">INT(C1284/Pemetaan!$B$4)</f>
        <v>15</v>
      </c>
      <c r="E1284" s="0" t="n">
        <f aca="false">MOD(C1284,Pemetaan!$B$4)</f>
        <v>7</v>
      </c>
      <c r="F1284" s="0" t="n">
        <f aca="false">IF(B1284="PRODUKSI",Pemetaan!$B$5,Pemetaan!$B$6)</f>
        <v>46</v>
      </c>
      <c r="G1284" s="0" t="n">
        <f aca="false">F1284+2+D1284</f>
        <v>63</v>
      </c>
      <c r="H1284" s="0" t="n">
        <f aca="false">Pemetaan!$B$2+E1284</f>
        <v>12</v>
      </c>
      <c r="I1284" s="0" t="str">
        <f aca="false">INDEX(Laporan!$A$1:$AZ$300,G1284,1)</f>
        <v>Water Treatment</v>
      </c>
      <c r="J1284" s="0" t="str">
        <f aca="false">INDEX(Laporan!$A$1:$AZ$300,G1284,2)</f>
        <v>1,5 L</v>
      </c>
      <c r="K1284" s="0" t="str">
        <f aca="false">INDEX(Laporan!$A$1:$AZ$300,G1284,3)</f>
        <v>Shift 2</v>
      </c>
      <c r="L1284" s="0" t="n">
        <f aca="false">INDEX(Laporan!$A$1:$AZ$300,G1284,4)</f>
        <v>1</v>
      </c>
      <c r="M1284" s="1" t="n">
        <f aca="false">DATE(Pemetaan!$B$1,VALUE(RIGHT(INDEX(Laporan!$A$1:$AZ$300,F1284+1,H1284),2)),VALUE(LEFT(INDEX(Laporan!$A$1:$AZ$300,F1284+1,H1284),2)))</f>
        <v>46092</v>
      </c>
      <c r="N1284" s="0" t="n">
        <f aca="false">INDEX(Laporan!$A$1:$AZ$300,G1284,H1284)</f>
        <v>3</v>
      </c>
      <c r="O1284" s="0" t="n">
        <f aca="false">IF(N1284="","",IFERROR(VALUE(SUBSTITUTE(SUBSTITUTE(N1284," btl",""),".","")),""))</f>
        <v>3</v>
      </c>
      <c r="P1284" s="0" t="str">
        <f aca="false">IF(B1284="PRODUKSI","produced","reject")</f>
        <v>reject</v>
      </c>
    </row>
    <row r="1285" customFormat="false" ht="15" hidden="false" customHeight="false" outlineLevel="0" collapsed="false">
      <c r="A1285" s="0" t="n">
        <v>1284</v>
      </c>
      <c r="B1285" s="0" t="str">
        <f aca="false">IF(A1285&lt;=36*25,"PRODUKSI","REJECT")</f>
        <v>REJECT</v>
      </c>
      <c r="C1285" s="0" t="n">
        <f aca="false">MOD(A1285-1,Pemetaan!$B$3*Pemetaan!$B$4)</f>
        <v>383</v>
      </c>
      <c r="D1285" s="0" t="n">
        <f aca="false">INT(C1285/Pemetaan!$B$4)</f>
        <v>15</v>
      </c>
      <c r="E1285" s="0" t="n">
        <f aca="false">MOD(C1285,Pemetaan!$B$4)</f>
        <v>8</v>
      </c>
      <c r="F1285" s="0" t="n">
        <f aca="false">IF(B1285="PRODUKSI",Pemetaan!$B$5,Pemetaan!$B$6)</f>
        <v>46</v>
      </c>
      <c r="G1285" s="0" t="n">
        <f aca="false">F1285+2+D1285</f>
        <v>63</v>
      </c>
      <c r="H1285" s="0" t="n">
        <f aca="false">Pemetaan!$B$2+E1285</f>
        <v>13</v>
      </c>
      <c r="I1285" s="0" t="str">
        <f aca="false">INDEX(Laporan!$A$1:$AZ$300,G1285,1)</f>
        <v>Water Treatment</v>
      </c>
      <c r="J1285" s="0" t="str">
        <f aca="false">INDEX(Laporan!$A$1:$AZ$300,G1285,2)</f>
        <v>1,5 L</v>
      </c>
      <c r="K1285" s="0" t="str">
        <f aca="false">INDEX(Laporan!$A$1:$AZ$300,G1285,3)</f>
        <v>Shift 2</v>
      </c>
      <c r="L1285" s="0" t="n">
        <f aca="false">INDEX(Laporan!$A$1:$AZ$300,G1285,4)</f>
        <v>1</v>
      </c>
      <c r="M1285" s="1" t="n">
        <f aca="false">DATE(Pemetaan!$B$1,VALUE(RIGHT(INDEX(Laporan!$A$1:$AZ$300,F1285+1,H1285),2)),VALUE(LEFT(INDEX(Laporan!$A$1:$AZ$300,F1285+1,H1285),2)))</f>
        <v>46093</v>
      </c>
      <c r="N1285" s="0" t="n">
        <f aca="false">INDEX(Laporan!$A$1:$AZ$300,G1285,H1285)</f>
        <v>6</v>
      </c>
      <c r="O1285" s="0" t="n">
        <f aca="false">IF(N1285="","",IFERROR(VALUE(SUBSTITUTE(SUBSTITUTE(N1285," btl",""),".","")),""))</f>
        <v>6</v>
      </c>
      <c r="P1285" s="0" t="str">
        <f aca="false">IF(B1285="PRODUKSI","produced","reject")</f>
        <v>reject</v>
      </c>
    </row>
    <row r="1286" customFormat="false" ht="15" hidden="false" customHeight="false" outlineLevel="0" collapsed="false">
      <c r="A1286" s="0" t="n">
        <v>1285</v>
      </c>
      <c r="B1286" s="0" t="str">
        <f aca="false">IF(A1286&lt;=36*25,"PRODUKSI","REJECT")</f>
        <v>REJECT</v>
      </c>
      <c r="C1286" s="0" t="n">
        <f aca="false">MOD(A1286-1,Pemetaan!$B$3*Pemetaan!$B$4)</f>
        <v>384</v>
      </c>
      <c r="D1286" s="0" t="n">
        <f aca="false">INT(C1286/Pemetaan!$B$4)</f>
        <v>15</v>
      </c>
      <c r="E1286" s="0" t="n">
        <f aca="false">MOD(C1286,Pemetaan!$B$4)</f>
        <v>9</v>
      </c>
      <c r="F1286" s="0" t="n">
        <f aca="false">IF(B1286="PRODUKSI",Pemetaan!$B$5,Pemetaan!$B$6)</f>
        <v>46</v>
      </c>
      <c r="G1286" s="0" t="n">
        <f aca="false">F1286+2+D1286</f>
        <v>63</v>
      </c>
      <c r="H1286" s="0" t="n">
        <f aca="false">Pemetaan!$B$2+E1286</f>
        <v>14</v>
      </c>
      <c r="I1286" s="0" t="str">
        <f aca="false">INDEX(Laporan!$A$1:$AZ$300,G1286,1)</f>
        <v>Water Treatment</v>
      </c>
      <c r="J1286" s="0" t="str">
        <f aca="false">INDEX(Laporan!$A$1:$AZ$300,G1286,2)</f>
        <v>1,5 L</v>
      </c>
      <c r="K1286" s="0" t="str">
        <f aca="false">INDEX(Laporan!$A$1:$AZ$300,G1286,3)</f>
        <v>Shift 2</v>
      </c>
      <c r="L1286" s="0" t="n">
        <f aca="false">INDEX(Laporan!$A$1:$AZ$300,G1286,4)</f>
        <v>1</v>
      </c>
      <c r="M1286" s="1" t="n">
        <f aca="false">DATE(Pemetaan!$B$1,VALUE(RIGHT(INDEX(Laporan!$A$1:$AZ$300,F1286+1,H1286),2)),VALUE(LEFT(INDEX(Laporan!$A$1:$AZ$300,F1286+1,H1286),2)))</f>
        <v>46094</v>
      </c>
      <c r="N1286" s="0" t="n">
        <f aca="false">INDEX(Laporan!$A$1:$AZ$300,G1286,H1286)</f>
        <v>3</v>
      </c>
      <c r="O1286" s="0" t="n">
        <f aca="false">IF(N1286="","",IFERROR(VALUE(SUBSTITUTE(SUBSTITUTE(N1286," btl",""),".","")),""))</f>
        <v>3</v>
      </c>
      <c r="P1286" s="0" t="str">
        <f aca="false">IF(B1286="PRODUKSI","produced","reject")</f>
        <v>reject</v>
      </c>
    </row>
    <row r="1287" customFormat="false" ht="15" hidden="false" customHeight="false" outlineLevel="0" collapsed="false">
      <c r="A1287" s="0" t="n">
        <v>1286</v>
      </c>
      <c r="B1287" s="0" t="str">
        <f aca="false">IF(A1287&lt;=36*25,"PRODUKSI","REJECT")</f>
        <v>REJECT</v>
      </c>
      <c r="C1287" s="0" t="n">
        <f aca="false">MOD(A1287-1,Pemetaan!$B$3*Pemetaan!$B$4)</f>
        <v>385</v>
      </c>
      <c r="D1287" s="0" t="n">
        <f aca="false">INT(C1287/Pemetaan!$B$4)</f>
        <v>15</v>
      </c>
      <c r="E1287" s="0" t="n">
        <f aca="false">MOD(C1287,Pemetaan!$B$4)</f>
        <v>10</v>
      </c>
      <c r="F1287" s="0" t="n">
        <f aca="false">IF(B1287="PRODUKSI",Pemetaan!$B$5,Pemetaan!$B$6)</f>
        <v>46</v>
      </c>
      <c r="G1287" s="0" t="n">
        <f aca="false">F1287+2+D1287</f>
        <v>63</v>
      </c>
      <c r="H1287" s="0" t="n">
        <f aca="false">Pemetaan!$B$2+E1287</f>
        <v>15</v>
      </c>
      <c r="I1287" s="0" t="str">
        <f aca="false">INDEX(Laporan!$A$1:$AZ$300,G1287,1)</f>
        <v>Water Treatment</v>
      </c>
      <c r="J1287" s="0" t="str">
        <f aca="false">INDEX(Laporan!$A$1:$AZ$300,G1287,2)</f>
        <v>1,5 L</v>
      </c>
      <c r="K1287" s="0" t="str">
        <f aca="false">INDEX(Laporan!$A$1:$AZ$300,G1287,3)</f>
        <v>Shift 2</v>
      </c>
      <c r="L1287" s="0" t="n">
        <f aca="false">INDEX(Laporan!$A$1:$AZ$300,G1287,4)</f>
        <v>1</v>
      </c>
      <c r="M1287" s="1" t="n">
        <f aca="false">DATE(Pemetaan!$B$1,VALUE(RIGHT(INDEX(Laporan!$A$1:$AZ$300,F1287+1,H1287),2)),VALUE(LEFT(INDEX(Laporan!$A$1:$AZ$300,F1287+1,H1287),2)))</f>
        <v>46097</v>
      </c>
      <c r="N1287" s="0" t="n">
        <f aca="false">INDEX(Laporan!$A$1:$AZ$300,G1287,H1287)</f>
        <v>6</v>
      </c>
      <c r="O1287" s="0" t="n">
        <f aca="false">IF(N1287="","",IFERROR(VALUE(SUBSTITUTE(SUBSTITUTE(N1287," btl",""),".","")),""))</f>
        <v>6</v>
      </c>
      <c r="P1287" s="0" t="str">
        <f aca="false">IF(B1287="PRODUKSI","produced","reject")</f>
        <v>reject</v>
      </c>
    </row>
    <row r="1288" customFormat="false" ht="15" hidden="false" customHeight="false" outlineLevel="0" collapsed="false">
      <c r="A1288" s="0" t="n">
        <v>1287</v>
      </c>
      <c r="B1288" s="0" t="str">
        <f aca="false">IF(A1288&lt;=36*25,"PRODUKSI","REJECT")</f>
        <v>REJECT</v>
      </c>
      <c r="C1288" s="0" t="n">
        <f aca="false">MOD(A1288-1,Pemetaan!$B$3*Pemetaan!$B$4)</f>
        <v>386</v>
      </c>
      <c r="D1288" s="0" t="n">
        <f aca="false">INT(C1288/Pemetaan!$B$4)</f>
        <v>15</v>
      </c>
      <c r="E1288" s="0" t="n">
        <f aca="false">MOD(C1288,Pemetaan!$B$4)</f>
        <v>11</v>
      </c>
      <c r="F1288" s="0" t="n">
        <f aca="false">IF(B1288="PRODUKSI",Pemetaan!$B$5,Pemetaan!$B$6)</f>
        <v>46</v>
      </c>
      <c r="G1288" s="0" t="n">
        <f aca="false">F1288+2+D1288</f>
        <v>63</v>
      </c>
      <c r="H1288" s="0" t="n">
        <f aca="false">Pemetaan!$B$2+E1288</f>
        <v>16</v>
      </c>
      <c r="I1288" s="0" t="str">
        <f aca="false">INDEX(Laporan!$A$1:$AZ$300,G1288,1)</f>
        <v>Water Treatment</v>
      </c>
      <c r="J1288" s="0" t="str">
        <f aca="false">INDEX(Laporan!$A$1:$AZ$300,G1288,2)</f>
        <v>1,5 L</v>
      </c>
      <c r="K1288" s="0" t="str">
        <f aca="false">INDEX(Laporan!$A$1:$AZ$300,G1288,3)</f>
        <v>Shift 2</v>
      </c>
      <c r="L1288" s="0" t="n">
        <f aca="false">INDEX(Laporan!$A$1:$AZ$300,G1288,4)</f>
        <v>1</v>
      </c>
      <c r="M1288" s="1" t="n">
        <f aca="false">DATE(Pemetaan!$B$1,VALUE(RIGHT(INDEX(Laporan!$A$1:$AZ$300,F1288+1,H1288),2)),VALUE(LEFT(INDEX(Laporan!$A$1:$AZ$300,F1288+1,H1288),2)))</f>
        <v>46098</v>
      </c>
      <c r="N1288" s="0" t="n">
        <f aca="false">INDEX(Laporan!$A$1:$AZ$300,G1288,H1288)</f>
        <v>4</v>
      </c>
      <c r="O1288" s="0" t="n">
        <f aca="false">IF(N1288="","",IFERROR(VALUE(SUBSTITUTE(SUBSTITUTE(N1288," btl",""),".","")),""))</f>
        <v>4</v>
      </c>
      <c r="P1288" s="0" t="str">
        <f aca="false">IF(B1288="PRODUKSI","produced","reject")</f>
        <v>reject</v>
      </c>
    </row>
    <row r="1289" customFormat="false" ht="15" hidden="false" customHeight="false" outlineLevel="0" collapsed="false">
      <c r="A1289" s="0" t="n">
        <v>1288</v>
      </c>
      <c r="B1289" s="0" t="str">
        <f aca="false">IF(A1289&lt;=36*25,"PRODUKSI","REJECT")</f>
        <v>REJECT</v>
      </c>
      <c r="C1289" s="0" t="n">
        <f aca="false">MOD(A1289-1,Pemetaan!$B$3*Pemetaan!$B$4)</f>
        <v>387</v>
      </c>
      <c r="D1289" s="0" t="n">
        <f aca="false">INT(C1289/Pemetaan!$B$4)</f>
        <v>15</v>
      </c>
      <c r="E1289" s="0" t="n">
        <f aca="false">MOD(C1289,Pemetaan!$B$4)</f>
        <v>12</v>
      </c>
      <c r="F1289" s="0" t="n">
        <f aca="false">IF(B1289="PRODUKSI",Pemetaan!$B$5,Pemetaan!$B$6)</f>
        <v>46</v>
      </c>
      <c r="G1289" s="0" t="n">
        <f aca="false">F1289+2+D1289</f>
        <v>63</v>
      </c>
      <c r="H1289" s="0" t="n">
        <f aca="false">Pemetaan!$B$2+E1289</f>
        <v>17</v>
      </c>
      <c r="I1289" s="0" t="str">
        <f aca="false">INDEX(Laporan!$A$1:$AZ$300,G1289,1)</f>
        <v>Water Treatment</v>
      </c>
      <c r="J1289" s="0" t="str">
        <f aca="false">INDEX(Laporan!$A$1:$AZ$300,G1289,2)</f>
        <v>1,5 L</v>
      </c>
      <c r="K1289" s="0" t="str">
        <f aca="false">INDEX(Laporan!$A$1:$AZ$300,G1289,3)</f>
        <v>Shift 2</v>
      </c>
      <c r="L1289" s="0" t="n">
        <f aca="false">INDEX(Laporan!$A$1:$AZ$300,G1289,4)</f>
        <v>1</v>
      </c>
      <c r="M1289" s="1" t="n">
        <f aca="false">DATE(Pemetaan!$B$1,VALUE(RIGHT(INDEX(Laporan!$A$1:$AZ$300,F1289+1,H1289),2)),VALUE(LEFT(INDEX(Laporan!$A$1:$AZ$300,F1289+1,H1289),2)))</f>
        <v>46099</v>
      </c>
      <c r="N1289" s="0" t="n">
        <f aca="false">INDEX(Laporan!$A$1:$AZ$300,G1289,H1289)</f>
        <v>1</v>
      </c>
      <c r="O1289" s="0" t="n">
        <f aca="false">IF(N1289="","",IFERROR(VALUE(SUBSTITUTE(SUBSTITUTE(N1289," btl",""),".","")),""))</f>
        <v>1</v>
      </c>
      <c r="P1289" s="0" t="str">
        <f aca="false">IF(B1289="PRODUKSI","produced","reject")</f>
        <v>reject</v>
      </c>
    </row>
    <row r="1290" customFormat="false" ht="15" hidden="false" customHeight="false" outlineLevel="0" collapsed="false">
      <c r="A1290" s="0" t="n">
        <v>1289</v>
      </c>
      <c r="B1290" s="0" t="str">
        <f aca="false">IF(A1290&lt;=36*25,"PRODUKSI","REJECT")</f>
        <v>REJECT</v>
      </c>
      <c r="C1290" s="0" t="n">
        <f aca="false">MOD(A1290-1,Pemetaan!$B$3*Pemetaan!$B$4)</f>
        <v>388</v>
      </c>
      <c r="D1290" s="0" t="n">
        <f aca="false">INT(C1290/Pemetaan!$B$4)</f>
        <v>15</v>
      </c>
      <c r="E1290" s="0" t="n">
        <f aca="false">MOD(C1290,Pemetaan!$B$4)</f>
        <v>13</v>
      </c>
      <c r="F1290" s="0" t="n">
        <f aca="false">IF(B1290="PRODUKSI",Pemetaan!$B$5,Pemetaan!$B$6)</f>
        <v>46</v>
      </c>
      <c r="G1290" s="0" t="n">
        <f aca="false">F1290+2+D1290</f>
        <v>63</v>
      </c>
      <c r="H1290" s="0" t="n">
        <f aca="false">Pemetaan!$B$2+E1290</f>
        <v>18</v>
      </c>
      <c r="I1290" s="0" t="str">
        <f aca="false">INDEX(Laporan!$A$1:$AZ$300,G1290,1)</f>
        <v>Water Treatment</v>
      </c>
      <c r="J1290" s="0" t="str">
        <f aca="false">INDEX(Laporan!$A$1:$AZ$300,G1290,2)</f>
        <v>1,5 L</v>
      </c>
      <c r="K1290" s="0" t="str">
        <f aca="false">INDEX(Laporan!$A$1:$AZ$300,G1290,3)</f>
        <v>Shift 2</v>
      </c>
      <c r="L1290" s="0" t="n">
        <f aca="false">INDEX(Laporan!$A$1:$AZ$300,G1290,4)</f>
        <v>1</v>
      </c>
      <c r="M1290" s="1" t="n">
        <f aca="false">DATE(Pemetaan!$B$1,VALUE(RIGHT(INDEX(Laporan!$A$1:$AZ$300,F1290+1,H1290),2)),VALUE(LEFT(INDEX(Laporan!$A$1:$AZ$300,F1290+1,H1290),2)))</f>
        <v>46100</v>
      </c>
      <c r="N1290" s="0" t="n">
        <f aca="false">INDEX(Laporan!$A$1:$AZ$300,G1290,H1290)</f>
        <v>3</v>
      </c>
      <c r="O1290" s="0" t="n">
        <f aca="false">IF(N1290="","",IFERROR(VALUE(SUBSTITUTE(SUBSTITUTE(N1290," btl",""),".","")),""))</f>
        <v>3</v>
      </c>
      <c r="P1290" s="0" t="str">
        <f aca="false">IF(B1290="PRODUKSI","produced","reject")</f>
        <v>reject</v>
      </c>
    </row>
    <row r="1291" customFormat="false" ht="15" hidden="false" customHeight="false" outlineLevel="0" collapsed="false">
      <c r="A1291" s="0" t="n">
        <v>1290</v>
      </c>
      <c r="B1291" s="0" t="str">
        <f aca="false">IF(A1291&lt;=36*25,"PRODUKSI","REJECT")</f>
        <v>REJECT</v>
      </c>
      <c r="C1291" s="0" t="n">
        <f aca="false">MOD(A1291-1,Pemetaan!$B$3*Pemetaan!$B$4)</f>
        <v>389</v>
      </c>
      <c r="D1291" s="0" t="n">
        <f aca="false">INT(C1291/Pemetaan!$B$4)</f>
        <v>15</v>
      </c>
      <c r="E1291" s="0" t="n">
        <f aca="false">MOD(C1291,Pemetaan!$B$4)</f>
        <v>14</v>
      </c>
      <c r="F1291" s="0" t="n">
        <f aca="false">IF(B1291="PRODUKSI",Pemetaan!$B$5,Pemetaan!$B$6)</f>
        <v>46</v>
      </c>
      <c r="G1291" s="0" t="n">
        <f aca="false">F1291+2+D1291</f>
        <v>63</v>
      </c>
      <c r="H1291" s="0" t="n">
        <f aca="false">Pemetaan!$B$2+E1291</f>
        <v>19</v>
      </c>
      <c r="I1291" s="0" t="str">
        <f aca="false">INDEX(Laporan!$A$1:$AZ$300,G1291,1)</f>
        <v>Water Treatment</v>
      </c>
      <c r="J1291" s="0" t="str">
        <f aca="false">INDEX(Laporan!$A$1:$AZ$300,G1291,2)</f>
        <v>1,5 L</v>
      </c>
      <c r="K1291" s="0" t="str">
        <f aca="false">INDEX(Laporan!$A$1:$AZ$300,G1291,3)</f>
        <v>Shift 2</v>
      </c>
      <c r="L1291" s="0" t="n">
        <f aca="false">INDEX(Laporan!$A$1:$AZ$300,G1291,4)</f>
        <v>1</v>
      </c>
      <c r="M1291" s="1" t="n">
        <f aca="false">DATE(Pemetaan!$B$1,VALUE(RIGHT(INDEX(Laporan!$A$1:$AZ$300,F1291+1,H1291),2)),VALUE(LEFT(INDEX(Laporan!$A$1:$AZ$300,F1291+1,H1291),2)))</f>
        <v>46101</v>
      </c>
      <c r="N1291" s="0" t="n">
        <f aca="false">INDEX(Laporan!$A$1:$AZ$300,G1291,H1291)</f>
        <v>10</v>
      </c>
      <c r="O1291" s="0" t="n">
        <f aca="false">IF(N1291="","",IFERROR(VALUE(SUBSTITUTE(SUBSTITUTE(N1291," btl",""),".","")),""))</f>
        <v>10</v>
      </c>
      <c r="P1291" s="0" t="str">
        <f aca="false">IF(B1291="PRODUKSI","produced","reject")</f>
        <v>reject</v>
      </c>
    </row>
    <row r="1292" customFormat="false" ht="15" hidden="false" customHeight="false" outlineLevel="0" collapsed="false">
      <c r="A1292" s="0" t="n">
        <v>1291</v>
      </c>
      <c r="B1292" s="0" t="str">
        <f aca="false">IF(A1292&lt;=36*25,"PRODUKSI","REJECT")</f>
        <v>REJECT</v>
      </c>
      <c r="C1292" s="0" t="n">
        <f aca="false">MOD(A1292-1,Pemetaan!$B$3*Pemetaan!$B$4)</f>
        <v>390</v>
      </c>
      <c r="D1292" s="0" t="n">
        <f aca="false">INT(C1292/Pemetaan!$B$4)</f>
        <v>15</v>
      </c>
      <c r="E1292" s="0" t="n">
        <f aca="false">MOD(C1292,Pemetaan!$B$4)</f>
        <v>15</v>
      </c>
      <c r="F1292" s="0" t="n">
        <f aca="false">IF(B1292="PRODUKSI",Pemetaan!$B$5,Pemetaan!$B$6)</f>
        <v>46</v>
      </c>
      <c r="G1292" s="0" t="n">
        <f aca="false">F1292+2+D1292</f>
        <v>63</v>
      </c>
      <c r="H1292" s="0" t="n">
        <f aca="false">Pemetaan!$B$2+E1292</f>
        <v>20</v>
      </c>
      <c r="I1292" s="0" t="str">
        <f aca="false">INDEX(Laporan!$A$1:$AZ$300,G1292,1)</f>
        <v>Water Treatment</v>
      </c>
      <c r="J1292" s="0" t="str">
        <f aca="false">INDEX(Laporan!$A$1:$AZ$300,G1292,2)</f>
        <v>1,5 L</v>
      </c>
      <c r="K1292" s="0" t="str">
        <f aca="false">INDEX(Laporan!$A$1:$AZ$300,G1292,3)</f>
        <v>Shift 2</v>
      </c>
      <c r="L1292" s="0" t="n">
        <f aca="false">INDEX(Laporan!$A$1:$AZ$300,G1292,4)</f>
        <v>1</v>
      </c>
      <c r="M1292" s="1" t="n">
        <f aca="false">DATE(Pemetaan!$B$1,VALUE(RIGHT(INDEX(Laporan!$A$1:$AZ$300,F1292+1,H1292),2)),VALUE(LEFT(INDEX(Laporan!$A$1:$AZ$300,F1292+1,H1292),2)))</f>
        <v>46104</v>
      </c>
      <c r="N1292" s="0" t="n">
        <f aca="false">INDEX(Laporan!$A$1:$AZ$300,G1292,H1292)</f>
        <v>5</v>
      </c>
      <c r="O1292" s="0" t="n">
        <f aca="false">IF(N1292="","",IFERROR(VALUE(SUBSTITUTE(SUBSTITUTE(N1292," btl",""),".","")),""))</f>
        <v>5</v>
      </c>
      <c r="P1292" s="0" t="str">
        <f aca="false">IF(B1292="PRODUKSI","produced","reject")</f>
        <v>reject</v>
      </c>
    </row>
    <row r="1293" customFormat="false" ht="15" hidden="false" customHeight="false" outlineLevel="0" collapsed="false">
      <c r="A1293" s="0" t="n">
        <v>1292</v>
      </c>
      <c r="B1293" s="0" t="str">
        <f aca="false">IF(A1293&lt;=36*25,"PRODUKSI","REJECT")</f>
        <v>REJECT</v>
      </c>
      <c r="C1293" s="0" t="n">
        <f aca="false">MOD(A1293-1,Pemetaan!$B$3*Pemetaan!$B$4)</f>
        <v>391</v>
      </c>
      <c r="D1293" s="0" t="n">
        <f aca="false">INT(C1293/Pemetaan!$B$4)</f>
        <v>15</v>
      </c>
      <c r="E1293" s="0" t="n">
        <f aca="false">MOD(C1293,Pemetaan!$B$4)</f>
        <v>16</v>
      </c>
      <c r="F1293" s="0" t="n">
        <f aca="false">IF(B1293="PRODUKSI",Pemetaan!$B$5,Pemetaan!$B$6)</f>
        <v>46</v>
      </c>
      <c r="G1293" s="0" t="n">
        <f aca="false">F1293+2+D1293</f>
        <v>63</v>
      </c>
      <c r="H1293" s="0" t="n">
        <f aca="false">Pemetaan!$B$2+E1293</f>
        <v>21</v>
      </c>
      <c r="I1293" s="0" t="str">
        <f aca="false">INDEX(Laporan!$A$1:$AZ$300,G1293,1)</f>
        <v>Water Treatment</v>
      </c>
      <c r="J1293" s="0" t="str">
        <f aca="false">INDEX(Laporan!$A$1:$AZ$300,G1293,2)</f>
        <v>1,5 L</v>
      </c>
      <c r="K1293" s="0" t="str">
        <f aca="false">INDEX(Laporan!$A$1:$AZ$300,G1293,3)</f>
        <v>Shift 2</v>
      </c>
      <c r="L1293" s="0" t="n">
        <f aca="false">INDEX(Laporan!$A$1:$AZ$300,G1293,4)</f>
        <v>1</v>
      </c>
      <c r="M1293" s="1" t="n">
        <f aca="false">DATE(Pemetaan!$B$1,VALUE(RIGHT(INDEX(Laporan!$A$1:$AZ$300,F1293+1,H1293),2)),VALUE(LEFT(INDEX(Laporan!$A$1:$AZ$300,F1293+1,H1293),2)))</f>
        <v>46105</v>
      </c>
      <c r="N1293" s="0" t="n">
        <f aca="false">INDEX(Laporan!$A$1:$AZ$300,G1293,H1293)</f>
        <v>5</v>
      </c>
      <c r="O1293" s="0" t="n">
        <f aca="false">IF(N1293="","",IFERROR(VALUE(SUBSTITUTE(SUBSTITUTE(N1293," btl",""),".","")),""))</f>
        <v>5</v>
      </c>
      <c r="P1293" s="0" t="str">
        <f aca="false">IF(B1293="PRODUKSI","produced","reject")</f>
        <v>reject</v>
      </c>
    </row>
    <row r="1294" customFormat="false" ht="15" hidden="false" customHeight="false" outlineLevel="0" collapsed="false">
      <c r="A1294" s="0" t="n">
        <v>1293</v>
      </c>
      <c r="B1294" s="0" t="str">
        <f aca="false">IF(A1294&lt;=36*25,"PRODUKSI","REJECT")</f>
        <v>REJECT</v>
      </c>
      <c r="C1294" s="0" t="n">
        <f aca="false">MOD(A1294-1,Pemetaan!$B$3*Pemetaan!$B$4)</f>
        <v>392</v>
      </c>
      <c r="D1294" s="0" t="n">
        <f aca="false">INT(C1294/Pemetaan!$B$4)</f>
        <v>15</v>
      </c>
      <c r="E1294" s="0" t="n">
        <f aca="false">MOD(C1294,Pemetaan!$B$4)</f>
        <v>17</v>
      </c>
      <c r="F1294" s="0" t="n">
        <f aca="false">IF(B1294="PRODUKSI",Pemetaan!$B$5,Pemetaan!$B$6)</f>
        <v>46</v>
      </c>
      <c r="G1294" s="0" t="n">
        <f aca="false">F1294+2+D1294</f>
        <v>63</v>
      </c>
      <c r="H1294" s="0" t="n">
        <f aca="false">Pemetaan!$B$2+E1294</f>
        <v>22</v>
      </c>
      <c r="I1294" s="0" t="str">
        <f aca="false">INDEX(Laporan!$A$1:$AZ$300,G1294,1)</f>
        <v>Water Treatment</v>
      </c>
      <c r="J1294" s="0" t="str">
        <f aca="false">INDEX(Laporan!$A$1:$AZ$300,G1294,2)</f>
        <v>1,5 L</v>
      </c>
      <c r="K1294" s="0" t="str">
        <f aca="false">INDEX(Laporan!$A$1:$AZ$300,G1294,3)</f>
        <v>Shift 2</v>
      </c>
      <c r="L1294" s="0" t="n">
        <f aca="false">INDEX(Laporan!$A$1:$AZ$300,G1294,4)</f>
        <v>1</v>
      </c>
      <c r="M1294" s="1" t="n">
        <f aca="false">DATE(Pemetaan!$B$1,VALUE(RIGHT(INDEX(Laporan!$A$1:$AZ$300,F1294+1,H1294),2)),VALUE(LEFT(INDEX(Laporan!$A$1:$AZ$300,F1294+1,H1294),2)))</f>
        <v>46106</v>
      </c>
      <c r="N1294" s="0" t="n">
        <f aca="false">INDEX(Laporan!$A$1:$AZ$300,G1294,H1294)</f>
        <v>5</v>
      </c>
      <c r="O1294" s="0" t="n">
        <f aca="false">IF(N1294="","",IFERROR(VALUE(SUBSTITUTE(SUBSTITUTE(N1294," btl",""),".","")),""))</f>
        <v>5</v>
      </c>
      <c r="P1294" s="0" t="str">
        <f aca="false">IF(B1294="PRODUKSI","produced","reject")</f>
        <v>reject</v>
      </c>
    </row>
    <row r="1295" customFormat="false" ht="15" hidden="false" customHeight="false" outlineLevel="0" collapsed="false">
      <c r="A1295" s="0" t="n">
        <v>1294</v>
      </c>
      <c r="B1295" s="0" t="str">
        <f aca="false">IF(A1295&lt;=36*25,"PRODUKSI","REJECT")</f>
        <v>REJECT</v>
      </c>
      <c r="C1295" s="0" t="n">
        <f aca="false">MOD(A1295-1,Pemetaan!$B$3*Pemetaan!$B$4)</f>
        <v>393</v>
      </c>
      <c r="D1295" s="0" t="n">
        <f aca="false">INT(C1295/Pemetaan!$B$4)</f>
        <v>15</v>
      </c>
      <c r="E1295" s="0" t="n">
        <f aca="false">MOD(C1295,Pemetaan!$B$4)</f>
        <v>18</v>
      </c>
      <c r="F1295" s="0" t="n">
        <f aca="false">IF(B1295="PRODUKSI",Pemetaan!$B$5,Pemetaan!$B$6)</f>
        <v>46</v>
      </c>
      <c r="G1295" s="0" t="n">
        <f aca="false">F1295+2+D1295</f>
        <v>63</v>
      </c>
      <c r="H1295" s="0" t="n">
        <f aca="false">Pemetaan!$B$2+E1295</f>
        <v>23</v>
      </c>
      <c r="I1295" s="0" t="str">
        <f aca="false">INDEX(Laporan!$A$1:$AZ$300,G1295,1)</f>
        <v>Water Treatment</v>
      </c>
      <c r="J1295" s="0" t="str">
        <f aca="false">INDEX(Laporan!$A$1:$AZ$300,G1295,2)</f>
        <v>1,5 L</v>
      </c>
      <c r="K1295" s="0" t="str">
        <f aca="false">INDEX(Laporan!$A$1:$AZ$300,G1295,3)</f>
        <v>Shift 2</v>
      </c>
      <c r="L1295" s="0" t="n">
        <f aca="false">INDEX(Laporan!$A$1:$AZ$300,G1295,4)</f>
        <v>1</v>
      </c>
      <c r="M1295" s="1" t="n">
        <f aca="false">DATE(Pemetaan!$B$1,VALUE(RIGHT(INDEX(Laporan!$A$1:$AZ$300,F1295+1,H1295),2)),VALUE(LEFT(INDEX(Laporan!$A$1:$AZ$300,F1295+1,H1295),2)))</f>
        <v>46107</v>
      </c>
      <c r="N1295" s="0" t="n">
        <f aca="false">INDEX(Laporan!$A$1:$AZ$300,G1295,H1295)</f>
        <v>9</v>
      </c>
      <c r="O1295" s="0" t="n">
        <f aca="false">IF(N1295="","",IFERROR(VALUE(SUBSTITUTE(SUBSTITUTE(N1295," btl",""),".","")),""))</f>
        <v>9</v>
      </c>
      <c r="P1295" s="0" t="str">
        <f aca="false">IF(B1295="PRODUKSI","produced","reject")</f>
        <v>reject</v>
      </c>
    </row>
    <row r="1296" customFormat="false" ht="15" hidden="false" customHeight="false" outlineLevel="0" collapsed="false">
      <c r="A1296" s="0" t="n">
        <v>1295</v>
      </c>
      <c r="B1296" s="0" t="str">
        <f aca="false">IF(A1296&lt;=36*25,"PRODUKSI","REJECT")</f>
        <v>REJECT</v>
      </c>
      <c r="C1296" s="0" t="n">
        <f aca="false">MOD(A1296-1,Pemetaan!$B$3*Pemetaan!$B$4)</f>
        <v>394</v>
      </c>
      <c r="D1296" s="0" t="n">
        <f aca="false">INT(C1296/Pemetaan!$B$4)</f>
        <v>15</v>
      </c>
      <c r="E1296" s="0" t="n">
        <f aca="false">MOD(C1296,Pemetaan!$B$4)</f>
        <v>19</v>
      </c>
      <c r="F1296" s="0" t="n">
        <f aca="false">IF(B1296="PRODUKSI",Pemetaan!$B$5,Pemetaan!$B$6)</f>
        <v>46</v>
      </c>
      <c r="G1296" s="0" t="n">
        <f aca="false">F1296+2+D1296</f>
        <v>63</v>
      </c>
      <c r="H1296" s="0" t="n">
        <f aca="false">Pemetaan!$B$2+E1296</f>
        <v>24</v>
      </c>
      <c r="I1296" s="0" t="str">
        <f aca="false">INDEX(Laporan!$A$1:$AZ$300,G1296,1)</f>
        <v>Water Treatment</v>
      </c>
      <c r="J1296" s="0" t="str">
        <f aca="false">INDEX(Laporan!$A$1:$AZ$300,G1296,2)</f>
        <v>1,5 L</v>
      </c>
      <c r="K1296" s="0" t="str">
        <f aca="false">INDEX(Laporan!$A$1:$AZ$300,G1296,3)</f>
        <v>Shift 2</v>
      </c>
      <c r="L1296" s="0" t="n">
        <f aca="false">INDEX(Laporan!$A$1:$AZ$300,G1296,4)</f>
        <v>1</v>
      </c>
      <c r="M1296" s="1" t="n">
        <f aca="false">DATE(Pemetaan!$B$1,VALUE(RIGHT(INDEX(Laporan!$A$1:$AZ$300,F1296+1,H1296),2)),VALUE(LEFT(INDEX(Laporan!$A$1:$AZ$300,F1296+1,H1296),2)))</f>
        <v>46108</v>
      </c>
      <c r="N1296" s="0" t="n">
        <f aca="false">INDEX(Laporan!$A$1:$AZ$300,G1296,H1296)</f>
        <v>8</v>
      </c>
      <c r="O1296" s="0" t="n">
        <f aca="false">IF(N1296="","",IFERROR(VALUE(SUBSTITUTE(SUBSTITUTE(N1296," btl",""),".","")),""))</f>
        <v>8</v>
      </c>
      <c r="P1296" s="0" t="str">
        <f aca="false">IF(B1296="PRODUKSI","produced","reject")</f>
        <v>reject</v>
      </c>
    </row>
    <row r="1297" customFormat="false" ht="15" hidden="false" customHeight="false" outlineLevel="0" collapsed="false">
      <c r="A1297" s="0" t="n">
        <v>1296</v>
      </c>
      <c r="B1297" s="0" t="str">
        <f aca="false">IF(A1297&lt;=36*25,"PRODUKSI","REJECT")</f>
        <v>REJECT</v>
      </c>
      <c r="C1297" s="0" t="n">
        <f aca="false">MOD(A1297-1,Pemetaan!$B$3*Pemetaan!$B$4)</f>
        <v>395</v>
      </c>
      <c r="D1297" s="0" t="n">
        <f aca="false">INT(C1297/Pemetaan!$B$4)</f>
        <v>15</v>
      </c>
      <c r="E1297" s="0" t="n">
        <f aca="false">MOD(C1297,Pemetaan!$B$4)</f>
        <v>20</v>
      </c>
      <c r="F1297" s="0" t="n">
        <f aca="false">IF(B1297="PRODUKSI",Pemetaan!$B$5,Pemetaan!$B$6)</f>
        <v>46</v>
      </c>
      <c r="G1297" s="0" t="n">
        <f aca="false">F1297+2+D1297</f>
        <v>63</v>
      </c>
      <c r="H1297" s="0" t="n">
        <f aca="false">Pemetaan!$B$2+E1297</f>
        <v>25</v>
      </c>
      <c r="I1297" s="0" t="str">
        <f aca="false">INDEX(Laporan!$A$1:$AZ$300,G1297,1)</f>
        <v>Water Treatment</v>
      </c>
      <c r="J1297" s="0" t="str">
        <f aca="false">INDEX(Laporan!$A$1:$AZ$300,G1297,2)</f>
        <v>1,5 L</v>
      </c>
      <c r="K1297" s="0" t="str">
        <f aca="false">INDEX(Laporan!$A$1:$AZ$300,G1297,3)</f>
        <v>Shift 2</v>
      </c>
      <c r="L1297" s="0" t="n">
        <f aca="false">INDEX(Laporan!$A$1:$AZ$300,G1297,4)</f>
        <v>1</v>
      </c>
      <c r="M1297" s="1" t="n">
        <f aca="false">DATE(Pemetaan!$B$1,VALUE(RIGHT(INDEX(Laporan!$A$1:$AZ$300,F1297+1,H1297),2)),VALUE(LEFT(INDEX(Laporan!$A$1:$AZ$300,F1297+1,H1297),2)))</f>
        <v>46111</v>
      </c>
      <c r="N1297" s="0" t="n">
        <f aca="false">INDEX(Laporan!$A$1:$AZ$300,G1297,H1297)</f>
        <v>3</v>
      </c>
      <c r="O1297" s="0" t="n">
        <f aca="false">IF(N1297="","",IFERROR(VALUE(SUBSTITUTE(SUBSTITUTE(N1297," btl",""),".","")),""))</f>
        <v>3</v>
      </c>
      <c r="P1297" s="0" t="str">
        <f aca="false">IF(B1297="PRODUKSI","produced","reject")</f>
        <v>reject</v>
      </c>
    </row>
    <row r="1298" customFormat="false" ht="15" hidden="false" customHeight="false" outlineLevel="0" collapsed="false">
      <c r="A1298" s="0" t="n">
        <v>1297</v>
      </c>
      <c r="B1298" s="0" t="str">
        <f aca="false">IF(A1298&lt;=36*25,"PRODUKSI","REJECT")</f>
        <v>REJECT</v>
      </c>
      <c r="C1298" s="0" t="n">
        <f aca="false">MOD(A1298-1,Pemetaan!$B$3*Pemetaan!$B$4)</f>
        <v>396</v>
      </c>
      <c r="D1298" s="0" t="n">
        <f aca="false">INT(C1298/Pemetaan!$B$4)</f>
        <v>15</v>
      </c>
      <c r="E1298" s="0" t="n">
        <f aca="false">MOD(C1298,Pemetaan!$B$4)</f>
        <v>21</v>
      </c>
      <c r="F1298" s="0" t="n">
        <f aca="false">IF(B1298="PRODUKSI",Pemetaan!$B$5,Pemetaan!$B$6)</f>
        <v>46</v>
      </c>
      <c r="G1298" s="0" t="n">
        <f aca="false">F1298+2+D1298</f>
        <v>63</v>
      </c>
      <c r="H1298" s="0" t="n">
        <f aca="false">Pemetaan!$B$2+E1298</f>
        <v>26</v>
      </c>
      <c r="I1298" s="0" t="str">
        <f aca="false">INDEX(Laporan!$A$1:$AZ$300,G1298,1)</f>
        <v>Water Treatment</v>
      </c>
      <c r="J1298" s="0" t="str">
        <f aca="false">INDEX(Laporan!$A$1:$AZ$300,G1298,2)</f>
        <v>1,5 L</v>
      </c>
      <c r="K1298" s="0" t="str">
        <f aca="false">INDEX(Laporan!$A$1:$AZ$300,G1298,3)</f>
        <v>Shift 2</v>
      </c>
      <c r="L1298" s="0" t="n">
        <f aca="false">INDEX(Laporan!$A$1:$AZ$300,G1298,4)</f>
        <v>1</v>
      </c>
      <c r="M1298" s="1" t="n">
        <f aca="false">DATE(Pemetaan!$B$1,VALUE(RIGHT(INDEX(Laporan!$A$1:$AZ$300,F1298+1,H1298),2)),VALUE(LEFT(INDEX(Laporan!$A$1:$AZ$300,F1298+1,H1298),2)))</f>
        <v>46112</v>
      </c>
      <c r="N1298" s="0" t="n">
        <f aca="false">INDEX(Laporan!$A$1:$AZ$300,G1298,H1298)</f>
        <v>8</v>
      </c>
      <c r="O1298" s="0" t="n">
        <f aca="false">IF(N1298="","",IFERROR(VALUE(SUBSTITUTE(SUBSTITUTE(N1298," btl",""),".","")),""))</f>
        <v>8</v>
      </c>
      <c r="P1298" s="0" t="str">
        <f aca="false">IF(B1298="PRODUKSI","produced","reject")</f>
        <v>reject</v>
      </c>
    </row>
    <row r="1299" customFormat="false" ht="15" hidden="false" customHeight="false" outlineLevel="0" collapsed="false">
      <c r="A1299" s="0" t="n">
        <v>1298</v>
      </c>
      <c r="B1299" s="0" t="str">
        <f aca="false">IF(A1299&lt;=36*25,"PRODUKSI","REJECT")</f>
        <v>REJECT</v>
      </c>
      <c r="C1299" s="0" t="n">
        <f aca="false">MOD(A1299-1,Pemetaan!$B$3*Pemetaan!$B$4)</f>
        <v>397</v>
      </c>
      <c r="D1299" s="0" t="n">
        <f aca="false">INT(C1299/Pemetaan!$B$4)</f>
        <v>15</v>
      </c>
      <c r="E1299" s="0" t="n">
        <f aca="false">MOD(C1299,Pemetaan!$B$4)</f>
        <v>22</v>
      </c>
      <c r="F1299" s="0" t="n">
        <f aca="false">IF(B1299="PRODUKSI",Pemetaan!$B$5,Pemetaan!$B$6)</f>
        <v>46</v>
      </c>
      <c r="G1299" s="0" t="n">
        <f aca="false">F1299+2+D1299</f>
        <v>63</v>
      </c>
      <c r="H1299" s="0" t="n">
        <f aca="false">Pemetaan!$B$2+E1299</f>
        <v>27</v>
      </c>
      <c r="I1299" s="0" t="str">
        <f aca="false">INDEX(Laporan!$A$1:$AZ$300,G1299,1)</f>
        <v>Water Treatment</v>
      </c>
      <c r="J1299" s="0" t="str">
        <f aca="false">INDEX(Laporan!$A$1:$AZ$300,G1299,2)</f>
        <v>1,5 L</v>
      </c>
      <c r="K1299" s="0" t="str">
        <f aca="false">INDEX(Laporan!$A$1:$AZ$300,G1299,3)</f>
        <v>Shift 2</v>
      </c>
      <c r="L1299" s="0" t="n">
        <f aca="false">INDEX(Laporan!$A$1:$AZ$300,G1299,4)</f>
        <v>1</v>
      </c>
      <c r="M1299" s="1" t="n">
        <f aca="false">DATE(Pemetaan!$B$1,VALUE(RIGHT(INDEX(Laporan!$A$1:$AZ$300,F1299+1,H1299),2)),VALUE(LEFT(INDEX(Laporan!$A$1:$AZ$300,F1299+1,H1299),2)))</f>
        <v>46113</v>
      </c>
      <c r="N1299" s="0" t="n">
        <f aca="false">INDEX(Laporan!$A$1:$AZ$300,G1299,H1299)</f>
        <v>10</v>
      </c>
      <c r="O1299" s="0" t="n">
        <f aca="false">IF(N1299="","",IFERROR(VALUE(SUBSTITUTE(SUBSTITUTE(N1299," btl",""),".","")),""))</f>
        <v>10</v>
      </c>
      <c r="P1299" s="0" t="str">
        <f aca="false">IF(B1299="PRODUKSI","produced","reject")</f>
        <v>reject</v>
      </c>
    </row>
    <row r="1300" customFormat="false" ht="15" hidden="false" customHeight="false" outlineLevel="0" collapsed="false">
      <c r="A1300" s="0" t="n">
        <v>1299</v>
      </c>
      <c r="B1300" s="0" t="str">
        <f aca="false">IF(A1300&lt;=36*25,"PRODUKSI","REJECT")</f>
        <v>REJECT</v>
      </c>
      <c r="C1300" s="0" t="n">
        <f aca="false">MOD(A1300-1,Pemetaan!$B$3*Pemetaan!$B$4)</f>
        <v>398</v>
      </c>
      <c r="D1300" s="0" t="n">
        <f aca="false">INT(C1300/Pemetaan!$B$4)</f>
        <v>15</v>
      </c>
      <c r="E1300" s="0" t="n">
        <f aca="false">MOD(C1300,Pemetaan!$B$4)</f>
        <v>23</v>
      </c>
      <c r="F1300" s="0" t="n">
        <f aca="false">IF(B1300="PRODUKSI",Pemetaan!$B$5,Pemetaan!$B$6)</f>
        <v>46</v>
      </c>
      <c r="G1300" s="0" t="n">
        <f aca="false">F1300+2+D1300</f>
        <v>63</v>
      </c>
      <c r="H1300" s="0" t="n">
        <f aca="false">Pemetaan!$B$2+E1300</f>
        <v>28</v>
      </c>
      <c r="I1300" s="0" t="str">
        <f aca="false">INDEX(Laporan!$A$1:$AZ$300,G1300,1)</f>
        <v>Water Treatment</v>
      </c>
      <c r="J1300" s="0" t="str">
        <f aca="false">INDEX(Laporan!$A$1:$AZ$300,G1300,2)</f>
        <v>1,5 L</v>
      </c>
      <c r="K1300" s="0" t="str">
        <f aca="false">INDEX(Laporan!$A$1:$AZ$300,G1300,3)</f>
        <v>Shift 2</v>
      </c>
      <c r="L1300" s="0" t="n">
        <f aca="false">INDEX(Laporan!$A$1:$AZ$300,G1300,4)</f>
        <v>1</v>
      </c>
      <c r="M1300" s="1" t="n">
        <f aca="false">DATE(Pemetaan!$B$1,VALUE(RIGHT(INDEX(Laporan!$A$1:$AZ$300,F1300+1,H1300),2)),VALUE(LEFT(INDEX(Laporan!$A$1:$AZ$300,F1300+1,H1300),2)))</f>
        <v>46114</v>
      </c>
      <c r="N1300" s="0" t="n">
        <f aca="false">INDEX(Laporan!$A$1:$AZ$300,G1300,H1300)</f>
        <v>5</v>
      </c>
      <c r="O1300" s="0" t="n">
        <f aca="false">IF(N1300="","",IFERROR(VALUE(SUBSTITUTE(SUBSTITUTE(N1300," btl",""),".","")),""))</f>
        <v>5</v>
      </c>
      <c r="P1300" s="0" t="str">
        <f aca="false">IF(B1300="PRODUKSI","produced","reject")</f>
        <v>reject</v>
      </c>
    </row>
    <row r="1301" customFormat="false" ht="15" hidden="false" customHeight="false" outlineLevel="0" collapsed="false">
      <c r="A1301" s="0" t="n">
        <v>1300</v>
      </c>
      <c r="B1301" s="0" t="str">
        <f aca="false">IF(A1301&lt;=36*25,"PRODUKSI","REJECT")</f>
        <v>REJECT</v>
      </c>
      <c r="C1301" s="0" t="n">
        <f aca="false">MOD(A1301-1,Pemetaan!$B$3*Pemetaan!$B$4)</f>
        <v>399</v>
      </c>
      <c r="D1301" s="0" t="n">
        <f aca="false">INT(C1301/Pemetaan!$B$4)</f>
        <v>15</v>
      </c>
      <c r="E1301" s="0" t="n">
        <f aca="false">MOD(C1301,Pemetaan!$B$4)</f>
        <v>24</v>
      </c>
      <c r="F1301" s="0" t="n">
        <f aca="false">IF(B1301="PRODUKSI",Pemetaan!$B$5,Pemetaan!$B$6)</f>
        <v>46</v>
      </c>
      <c r="G1301" s="0" t="n">
        <f aca="false">F1301+2+D1301</f>
        <v>63</v>
      </c>
      <c r="H1301" s="0" t="n">
        <f aca="false">Pemetaan!$B$2+E1301</f>
        <v>29</v>
      </c>
      <c r="I1301" s="0" t="str">
        <f aca="false">INDEX(Laporan!$A$1:$AZ$300,G1301,1)</f>
        <v>Water Treatment</v>
      </c>
      <c r="J1301" s="0" t="str">
        <f aca="false">INDEX(Laporan!$A$1:$AZ$300,G1301,2)</f>
        <v>1,5 L</v>
      </c>
      <c r="K1301" s="0" t="str">
        <f aca="false">INDEX(Laporan!$A$1:$AZ$300,G1301,3)</f>
        <v>Shift 2</v>
      </c>
      <c r="L1301" s="0" t="n">
        <f aca="false">INDEX(Laporan!$A$1:$AZ$300,G1301,4)</f>
        <v>1</v>
      </c>
      <c r="M1301" s="1" t="n">
        <f aca="false">DATE(Pemetaan!$B$1,VALUE(RIGHT(INDEX(Laporan!$A$1:$AZ$300,F1301+1,H1301),2)),VALUE(LEFT(INDEX(Laporan!$A$1:$AZ$300,F1301+1,H1301),2)))</f>
        <v>46115</v>
      </c>
      <c r="N1301" s="0" t="n">
        <f aca="false">INDEX(Laporan!$A$1:$AZ$300,G1301,H1301)</f>
        <v>6</v>
      </c>
      <c r="O1301" s="0" t="n">
        <f aca="false">IF(N1301="","",IFERROR(VALUE(SUBSTITUTE(SUBSTITUTE(N1301," btl",""),".","")),""))</f>
        <v>6</v>
      </c>
      <c r="P1301" s="0" t="str">
        <f aca="false">IF(B1301="PRODUKSI","produced","reject")</f>
        <v>reject</v>
      </c>
    </row>
    <row r="1302" customFormat="false" ht="15" hidden="false" customHeight="false" outlineLevel="0" collapsed="false">
      <c r="A1302" s="0" t="n">
        <v>1301</v>
      </c>
      <c r="B1302" s="0" t="str">
        <f aca="false">IF(A1302&lt;=36*25,"PRODUKSI","REJECT")</f>
        <v>REJECT</v>
      </c>
      <c r="C1302" s="0" t="n">
        <f aca="false">MOD(A1302-1,Pemetaan!$B$3*Pemetaan!$B$4)</f>
        <v>400</v>
      </c>
      <c r="D1302" s="0" t="n">
        <f aca="false">INT(C1302/Pemetaan!$B$4)</f>
        <v>16</v>
      </c>
      <c r="E1302" s="0" t="n">
        <f aca="false">MOD(C1302,Pemetaan!$B$4)</f>
        <v>0</v>
      </c>
      <c r="F1302" s="0" t="n">
        <f aca="false">IF(B1302="PRODUKSI",Pemetaan!$B$5,Pemetaan!$B$6)</f>
        <v>46</v>
      </c>
      <c r="G1302" s="0" t="n">
        <f aca="false">F1302+2+D1302</f>
        <v>64</v>
      </c>
      <c r="H1302" s="0" t="n">
        <f aca="false">Pemetaan!$B$2+E1302</f>
        <v>5</v>
      </c>
      <c r="I1302" s="0" t="str">
        <f aca="false">INDEX(Laporan!$A$1:$AZ$300,G1302,1)</f>
        <v>Water Treatment</v>
      </c>
      <c r="J1302" s="0" t="str">
        <f aca="false">INDEX(Laporan!$A$1:$AZ$300,G1302,2)</f>
        <v>1,5 L</v>
      </c>
      <c r="K1302" s="0" t="str">
        <f aca="false">INDEX(Laporan!$A$1:$AZ$300,G1302,3)</f>
        <v>Shift 2</v>
      </c>
      <c r="L1302" s="0" t="n">
        <f aca="false">INDEX(Laporan!$A$1:$AZ$300,G1302,4)</f>
        <v>2</v>
      </c>
      <c r="M1302" s="1" t="n">
        <f aca="false">DATE(Pemetaan!$B$1,VALUE(RIGHT(INDEX(Laporan!$A$1:$AZ$300,F1302+1,H1302),2)),VALUE(LEFT(INDEX(Laporan!$A$1:$AZ$300,F1302+1,H1302),2)))</f>
        <v>46083</v>
      </c>
      <c r="N1302" s="0" t="n">
        <f aca="false">INDEX(Laporan!$A$1:$AZ$300,G1302,H1302)</f>
        <v>3</v>
      </c>
      <c r="O1302" s="0" t="n">
        <f aca="false">IF(N1302="","",IFERROR(VALUE(SUBSTITUTE(SUBSTITUTE(N1302," btl",""),".","")),""))</f>
        <v>3</v>
      </c>
      <c r="P1302" s="0" t="str">
        <f aca="false">IF(B1302="PRODUKSI","produced","reject")</f>
        <v>reject</v>
      </c>
    </row>
    <row r="1303" customFormat="false" ht="15" hidden="false" customHeight="false" outlineLevel="0" collapsed="false">
      <c r="A1303" s="0" t="n">
        <v>1302</v>
      </c>
      <c r="B1303" s="0" t="str">
        <f aca="false">IF(A1303&lt;=36*25,"PRODUKSI","REJECT")</f>
        <v>REJECT</v>
      </c>
      <c r="C1303" s="0" t="n">
        <f aca="false">MOD(A1303-1,Pemetaan!$B$3*Pemetaan!$B$4)</f>
        <v>401</v>
      </c>
      <c r="D1303" s="0" t="n">
        <f aca="false">INT(C1303/Pemetaan!$B$4)</f>
        <v>16</v>
      </c>
      <c r="E1303" s="0" t="n">
        <f aca="false">MOD(C1303,Pemetaan!$B$4)</f>
        <v>1</v>
      </c>
      <c r="F1303" s="0" t="n">
        <f aca="false">IF(B1303="PRODUKSI",Pemetaan!$B$5,Pemetaan!$B$6)</f>
        <v>46</v>
      </c>
      <c r="G1303" s="0" t="n">
        <f aca="false">F1303+2+D1303</f>
        <v>64</v>
      </c>
      <c r="H1303" s="0" t="n">
        <f aca="false">Pemetaan!$B$2+E1303</f>
        <v>6</v>
      </c>
      <c r="I1303" s="0" t="str">
        <f aca="false">INDEX(Laporan!$A$1:$AZ$300,G1303,1)</f>
        <v>Water Treatment</v>
      </c>
      <c r="J1303" s="0" t="str">
        <f aca="false">INDEX(Laporan!$A$1:$AZ$300,G1303,2)</f>
        <v>1,5 L</v>
      </c>
      <c r="K1303" s="0" t="str">
        <f aca="false">INDEX(Laporan!$A$1:$AZ$300,G1303,3)</f>
        <v>Shift 2</v>
      </c>
      <c r="L1303" s="0" t="n">
        <f aca="false">INDEX(Laporan!$A$1:$AZ$300,G1303,4)</f>
        <v>2</v>
      </c>
      <c r="M1303" s="1" t="n">
        <f aca="false">DATE(Pemetaan!$B$1,VALUE(RIGHT(INDEX(Laporan!$A$1:$AZ$300,F1303+1,H1303),2)),VALUE(LEFT(INDEX(Laporan!$A$1:$AZ$300,F1303+1,H1303),2)))</f>
        <v>46084</v>
      </c>
      <c r="N1303" s="0" t="n">
        <f aca="false">INDEX(Laporan!$A$1:$AZ$300,G1303,H1303)</f>
        <v>8</v>
      </c>
      <c r="O1303" s="0" t="n">
        <f aca="false">IF(N1303="","",IFERROR(VALUE(SUBSTITUTE(SUBSTITUTE(N1303," btl",""),".","")),""))</f>
        <v>8</v>
      </c>
      <c r="P1303" s="0" t="str">
        <f aca="false">IF(B1303="PRODUKSI","produced","reject")</f>
        <v>reject</v>
      </c>
    </row>
    <row r="1304" customFormat="false" ht="15" hidden="false" customHeight="false" outlineLevel="0" collapsed="false">
      <c r="A1304" s="0" t="n">
        <v>1303</v>
      </c>
      <c r="B1304" s="0" t="str">
        <f aca="false">IF(A1304&lt;=36*25,"PRODUKSI","REJECT")</f>
        <v>REJECT</v>
      </c>
      <c r="C1304" s="0" t="n">
        <f aca="false">MOD(A1304-1,Pemetaan!$B$3*Pemetaan!$B$4)</f>
        <v>402</v>
      </c>
      <c r="D1304" s="0" t="n">
        <f aca="false">INT(C1304/Pemetaan!$B$4)</f>
        <v>16</v>
      </c>
      <c r="E1304" s="0" t="n">
        <f aca="false">MOD(C1304,Pemetaan!$B$4)</f>
        <v>2</v>
      </c>
      <c r="F1304" s="0" t="n">
        <f aca="false">IF(B1304="PRODUKSI",Pemetaan!$B$5,Pemetaan!$B$6)</f>
        <v>46</v>
      </c>
      <c r="G1304" s="0" t="n">
        <f aca="false">F1304+2+D1304</f>
        <v>64</v>
      </c>
      <c r="H1304" s="0" t="n">
        <f aca="false">Pemetaan!$B$2+E1304</f>
        <v>7</v>
      </c>
      <c r="I1304" s="0" t="str">
        <f aca="false">INDEX(Laporan!$A$1:$AZ$300,G1304,1)</f>
        <v>Water Treatment</v>
      </c>
      <c r="J1304" s="0" t="str">
        <f aca="false">INDEX(Laporan!$A$1:$AZ$300,G1304,2)</f>
        <v>1,5 L</v>
      </c>
      <c r="K1304" s="0" t="str">
        <f aca="false">INDEX(Laporan!$A$1:$AZ$300,G1304,3)</f>
        <v>Shift 2</v>
      </c>
      <c r="L1304" s="0" t="n">
        <f aca="false">INDEX(Laporan!$A$1:$AZ$300,G1304,4)</f>
        <v>2</v>
      </c>
      <c r="M1304" s="1" t="n">
        <f aca="false">DATE(Pemetaan!$B$1,VALUE(RIGHT(INDEX(Laporan!$A$1:$AZ$300,F1304+1,H1304),2)),VALUE(LEFT(INDEX(Laporan!$A$1:$AZ$300,F1304+1,H1304),2)))</f>
        <v>46085</v>
      </c>
      <c r="N1304" s="0" t="n">
        <f aca="false">INDEX(Laporan!$A$1:$AZ$300,G1304,H1304)</f>
        <v>4</v>
      </c>
      <c r="O1304" s="0" t="n">
        <f aca="false">IF(N1304="","",IFERROR(VALUE(SUBSTITUTE(SUBSTITUTE(N1304," btl",""),".","")),""))</f>
        <v>4</v>
      </c>
      <c r="P1304" s="0" t="str">
        <f aca="false">IF(B1304="PRODUKSI","produced","reject")</f>
        <v>reject</v>
      </c>
    </row>
    <row r="1305" customFormat="false" ht="15" hidden="false" customHeight="false" outlineLevel="0" collapsed="false">
      <c r="A1305" s="0" t="n">
        <v>1304</v>
      </c>
      <c r="B1305" s="0" t="str">
        <f aca="false">IF(A1305&lt;=36*25,"PRODUKSI","REJECT")</f>
        <v>REJECT</v>
      </c>
      <c r="C1305" s="0" t="n">
        <f aca="false">MOD(A1305-1,Pemetaan!$B$3*Pemetaan!$B$4)</f>
        <v>403</v>
      </c>
      <c r="D1305" s="0" t="n">
        <f aca="false">INT(C1305/Pemetaan!$B$4)</f>
        <v>16</v>
      </c>
      <c r="E1305" s="0" t="n">
        <f aca="false">MOD(C1305,Pemetaan!$B$4)</f>
        <v>3</v>
      </c>
      <c r="F1305" s="0" t="n">
        <f aca="false">IF(B1305="PRODUKSI",Pemetaan!$B$5,Pemetaan!$B$6)</f>
        <v>46</v>
      </c>
      <c r="G1305" s="0" t="n">
        <f aca="false">F1305+2+D1305</f>
        <v>64</v>
      </c>
      <c r="H1305" s="0" t="n">
        <f aca="false">Pemetaan!$B$2+E1305</f>
        <v>8</v>
      </c>
      <c r="I1305" s="0" t="str">
        <f aca="false">INDEX(Laporan!$A$1:$AZ$300,G1305,1)</f>
        <v>Water Treatment</v>
      </c>
      <c r="J1305" s="0" t="str">
        <f aca="false">INDEX(Laporan!$A$1:$AZ$300,G1305,2)</f>
        <v>1,5 L</v>
      </c>
      <c r="K1305" s="0" t="str">
        <f aca="false">INDEX(Laporan!$A$1:$AZ$300,G1305,3)</f>
        <v>Shift 2</v>
      </c>
      <c r="L1305" s="0" t="n">
        <f aca="false">INDEX(Laporan!$A$1:$AZ$300,G1305,4)</f>
        <v>2</v>
      </c>
      <c r="M1305" s="1" t="n">
        <f aca="false">DATE(Pemetaan!$B$1,VALUE(RIGHT(INDEX(Laporan!$A$1:$AZ$300,F1305+1,H1305),2)),VALUE(LEFT(INDEX(Laporan!$A$1:$AZ$300,F1305+1,H1305),2)))</f>
        <v>46086</v>
      </c>
      <c r="N1305" s="0" t="n">
        <f aca="false">INDEX(Laporan!$A$1:$AZ$300,G1305,H1305)</f>
        <v>6</v>
      </c>
      <c r="O1305" s="0" t="n">
        <f aca="false">IF(N1305="","",IFERROR(VALUE(SUBSTITUTE(SUBSTITUTE(N1305," btl",""),".","")),""))</f>
        <v>6</v>
      </c>
      <c r="P1305" s="0" t="str">
        <f aca="false">IF(B1305="PRODUKSI","produced","reject")</f>
        <v>reject</v>
      </c>
    </row>
    <row r="1306" customFormat="false" ht="15" hidden="false" customHeight="false" outlineLevel="0" collapsed="false">
      <c r="A1306" s="0" t="n">
        <v>1305</v>
      </c>
      <c r="B1306" s="0" t="str">
        <f aca="false">IF(A1306&lt;=36*25,"PRODUKSI","REJECT")</f>
        <v>REJECT</v>
      </c>
      <c r="C1306" s="0" t="n">
        <f aca="false">MOD(A1306-1,Pemetaan!$B$3*Pemetaan!$B$4)</f>
        <v>404</v>
      </c>
      <c r="D1306" s="0" t="n">
        <f aca="false">INT(C1306/Pemetaan!$B$4)</f>
        <v>16</v>
      </c>
      <c r="E1306" s="0" t="n">
        <f aca="false">MOD(C1306,Pemetaan!$B$4)</f>
        <v>4</v>
      </c>
      <c r="F1306" s="0" t="n">
        <f aca="false">IF(B1306="PRODUKSI",Pemetaan!$B$5,Pemetaan!$B$6)</f>
        <v>46</v>
      </c>
      <c r="G1306" s="0" t="n">
        <f aca="false">F1306+2+D1306</f>
        <v>64</v>
      </c>
      <c r="H1306" s="0" t="n">
        <f aca="false">Pemetaan!$B$2+E1306</f>
        <v>9</v>
      </c>
      <c r="I1306" s="0" t="str">
        <f aca="false">INDEX(Laporan!$A$1:$AZ$300,G1306,1)</f>
        <v>Water Treatment</v>
      </c>
      <c r="J1306" s="0" t="str">
        <f aca="false">INDEX(Laporan!$A$1:$AZ$300,G1306,2)</f>
        <v>1,5 L</v>
      </c>
      <c r="K1306" s="0" t="str">
        <f aca="false">INDEX(Laporan!$A$1:$AZ$300,G1306,3)</f>
        <v>Shift 2</v>
      </c>
      <c r="L1306" s="0" t="n">
        <f aca="false">INDEX(Laporan!$A$1:$AZ$300,G1306,4)</f>
        <v>2</v>
      </c>
      <c r="M1306" s="1" t="n">
        <f aca="false">DATE(Pemetaan!$B$1,VALUE(RIGHT(INDEX(Laporan!$A$1:$AZ$300,F1306+1,H1306),2)),VALUE(LEFT(INDEX(Laporan!$A$1:$AZ$300,F1306+1,H1306),2)))</f>
        <v>46087</v>
      </c>
      <c r="N1306" s="0" t="n">
        <f aca="false">INDEX(Laporan!$A$1:$AZ$300,G1306,H1306)</f>
        <v>5</v>
      </c>
      <c r="O1306" s="0" t="n">
        <f aca="false">IF(N1306="","",IFERROR(VALUE(SUBSTITUTE(SUBSTITUTE(N1306," btl",""),".","")),""))</f>
        <v>5</v>
      </c>
      <c r="P1306" s="0" t="str">
        <f aca="false">IF(B1306="PRODUKSI","produced","reject")</f>
        <v>reject</v>
      </c>
    </row>
    <row r="1307" customFormat="false" ht="15" hidden="false" customHeight="false" outlineLevel="0" collapsed="false">
      <c r="A1307" s="0" t="n">
        <v>1306</v>
      </c>
      <c r="B1307" s="0" t="str">
        <f aca="false">IF(A1307&lt;=36*25,"PRODUKSI","REJECT")</f>
        <v>REJECT</v>
      </c>
      <c r="C1307" s="0" t="n">
        <f aca="false">MOD(A1307-1,Pemetaan!$B$3*Pemetaan!$B$4)</f>
        <v>405</v>
      </c>
      <c r="D1307" s="0" t="n">
        <f aca="false">INT(C1307/Pemetaan!$B$4)</f>
        <v>16</v>
      </c>
      <c r="E1307" s="0" t="n">
        <f aca="false">MOD(C1307,Pemetaan!$B$4)</f>
        <v>5</v>
      </c>
      <c r="F1307" s="0" t="n">
        <f aca="false">IF(B1307="PRODUKSI",Pemetaan!$B$5,Pemetaan!$B$6)</f>
        <v>46</v>
      </c>
      <c r="G1307" s="0" t="n">
        <f aca="false">F1307+2+D1307</f>
        <v>64</v>
      </c>
      <c r="H1307" s="0" t="n">
        <f aca="false">Pemetaan!$B$2+E1307</f>
        <v>10</v>
      </c>
      <c r="I1307" s="0" t="str">
        <f aca="false">INDEX(Laporan!$A$1:$AZ$300,G1307,1)</f>
        <v>Water Treatment</v>
      </c>
      <c r="J1307" s="0" t="str">
        <f aca="false">INDEX(Laporan!$A$1:$AZ$300,G1307,2)</f>
        <v>1,5 L</v>
      </c>
      <c r="K1307" s="0" t="str">
        <f aca="false">INDEX(Laporan!$A$1:$AZ$300,G1307,3)</f>
        <v>Shift 2</v>
      </c>
      <c r="L1307" s="0" t="n">
        <f aca="false">INDEX(Laporan!$A$1:$AZ$300,G1307,4)</f>
        <v>2</v>
      </c>
      <c r="M1307" s="1" t="n">
        <f aca="false">DATE(Pemetaan!$B$1,VALUE(RIGHT(INDEX(Laporan!$A$1:$AZ$300,F1307+1,H1307),2)),VALUE(LEFT(INDEX(Laporan!$A$1:$AZ$300,F1307+1,H1307),2)))</f>
        <v>46090</v>
      </c>
      <c r="N1307" s="0" t="n">
        <f aca="false">INDEX(Laporan!$A$1:$AZ$300,G1307,H1307)</f>
        <v>5</v>
      </c>
      <c r="O1307" s="0" t="n">
        <f aca="false">IF(N1307="","",IFERROR(VALUE(SUBSTITUTE(SUBSTITUTE(N1307," btl",""),".","")),""))</f>
        <v>5</v>
      </c>
      <c r="P1307" s="0" t="str">
        <f aca="false">IF(B1307="PRODUKSI","produced","reject")</f>
        <v>reject</v>
      </c>
    </row>
    <row r="1308" customFormat="false" ht="15" hidden="false" customHeight="false" outlineLevel="0" collapsed="false">
      <c r="A1308" s="0" t="n">
        <v>1307</v>
      </c>
      <c r="B1308" s="0" t="str">
        <f aca="false">IF(A1308&lt;=36*25,"PRODUKSI","REJECT")</f>
        <v>REJECT</v>
      </c>
      <c r="C1308" s="0" t="n">
        <f aca="false">MOD(A1308-1,Pemetaan!$B$3*Pemetaan!$B$4)</f>
        <v>406</v>
      </c>
      <c r="D1308" s="0" t="n">
        <f aca="false">INT(C1308/Pemetaan!$B$4)</f>
        <v>16</v>
      </c>
      <c r="E1308" s="0" t="n">
        <f aca="false">MOD(C1308,Pemetaan!$B$4)</f>
        <v>6</v>
      </c>
      <c r="F1308" s="0" t="n">
        <f aca="false">IF(B1308="PRODUKSI",Pemetaan!$B$5,Pemetaan!$B$6)</f>
        <v>46</v>
      </c>
      <c r="G1308" s="0" t="n">
        <f aca="false">F1308+2+D1308</f>
        <v>64</v>
      </c>
      <c r="H1308" s="0" t="n">
        <f aca="false">Pemetaan!$B$2+E1308</f>
        <v>11</v>
      </c>
      <c r="I1308" s="0" t="str">
        <f aca="false">INDEX(Laporan!$A$1:$AZ$300,G1308,1)</f>
        <v>Water Treatment</v>
      </c>
      <c r="J1308" s="0" t="str">
        <f aca="false">INDEX(Laporan!$A$1:$AZ$300,G1308,2)</f>
        <v>1,5 L</v>
      </c>
      <c r="K1308" s="0" t="str">
        <f aca="false">INDEX(Laporan!$A$1:$AZ$300,G1308,3)</f>
        <v>Shift 2</v>
      </c>
      <c r="L1308" s="0" t="n">
        <f aca="false">INDEX(Laporan!$A$1:$AZ$300,G1308,4)</f>
        <v>2</v>
      </c>
      <c r="M1308" s="1" t="n">
        <f aca="false">DATE(Pemetaan!$B$1,VALUE(RIGHT(INDEX(Laporan!$A$1:$AZ$300,F1308+1,H1308),2)),VALUE(LEFT(INDEX(Laporan!$A$1:$AZ$300,F1308+1,H1308),2)))</f>
        <v>46091</v>
      </c>
      <c r="N1308" s="0" t="n">
        <f aca="false">INDEX(Laporan!$A$1:$AZ$300,G1308,H1308)</f>
        <v>3</v>
      </c>
      <c r="O1308" s="0" t="n">
        <f aca="false">IF(N1308="","",IFERROR(VALUE(SUBSTITUTE(SUBSTITUTE(N1308," btl",""),".","")),""))</f>
        <v>3</v>
      </c>
      <c r="P1308" s="0" t="str">
        <f aca="false">IF(B1308="PRODUKSI","produced","reject")</f>
        <v>reject</v>
      </c>
    </row>
    <row r="1309" customFormat="false" ht="15" hidden="false" customHeight="false" outlineLevel="0" collapsed="false">
      <c r="A1309" s="0" t="n">
        <v>1308</v>
      </c>
      <c r="B1309" s="0" t="str">
        <f aca="false">IF(A1309&lt;=36*25,"PRODUKSI","REJECT")</f>
        <v>REJECT</v>
      </c>
      <c r="C1309" s="0" t="n">
        <f aca="false">MOD(A1309-1,Pemetaan!$B$3*Pemetaan!$B$4)</f>
        <v>407</v>
      </c>
      <c r="D1309" s="0" t="n">
        <f aca="false">INT(C1309/Pemetaan!$B$4)</f>
        <v>16</v>
      </c>
      <c r="E1309" s="0" t="n">
        <f aca="false">MOD(C1309,Pemetaan!$B$4)</f>
        <v>7</v>
      </c>
      <c r="F1309" s="0" t="n">
        <f aca="false">IF(B1309="PRODUKSI",Pemetaan!$B$5,Pemetaan!$B$6)</f>
        <v>46</v>
      </c>
      <c r="G1309" s="0" t="n">
        <f aca="false">F1309+2+D1309</f>
        <v>64</v>
      </c>
      <c r="H1309" s="0" t="n">
        <f aca="false">Pemetaan!$B$2+E1309</f>
        <v>12</v>
      </c>
      <c r="I1309" s="0" t="str">
        <f aca="false">INDEX(Laporan!$A$1:$AZ$300,G1309,1)</f>
        <v>Water Treatment</v>
      </c>
      <c r="J1309" s="0" t="str">
        <f aca="false">INDEX(Laporan!$A$1:$AZ$300,G1309,2)</f>
        <v>1,5 L</v>
      </c>
      <c r="K1309" s="0" t="str">
        <f aca="false">INDEX(Laporan!$A$1:$AZ$300,G1309,3)</f>
        <v>Shift 2</v>
      </c>
      <c r="L1309" s="0" t="n">
        <f aca="false">INDEX(Laporan!$A$1:$AZ$300,G1309,4)</f>
        <v>2</v>
      </c>
      <c r="M1309" s="1" t="n">
        <f aca="false">DATE(Pemetaan!$B$1,VALUE(RIGHT(INDEX(Laporan!$A$1:$AZ$300,F1309+1,H1309),2)),VALUE(LEFT(INDEX(Laporan!$A$1:$AZ$300,F1309+1,H1309),2)))</f>
        <v>46092</v>
      </c>
      <c r="N1309" s="0" t="n">
        <f aca="false">INDEX(Laporan!$A$1:$AZ$300,G1309,H1309)</f>
        <v>4</v>
      </c>
      <c r="O1309" s="0" t="n">
        <f aca="false">IF(N1309="","",IFERROR(VALUE(SUBSTITUTE(SUBSTITUTE(N1309," btl",""),".","")),""))</f>
        <v>4</v>
      </c>
      <c r="P1309" s="0" t="str">
        <f aca="false">IF(B1309="PRODUKSI","produced","reject")</f>
        <v>reject</v>
      </c>
    </row>
    <row r="1310" customFormat="false" ht="15" hidden="false" customHeight="false" outlineLevel="0" collapsed="false">
      <c r="A1310" s="0" t="n">
        <v>1309</v>
      </c>
      <c r="B1310" s="0" t="str">
        <f aca="false">IF(A1310&lt;=36*25,"PRODUKSI","REJECT")</f>
        <v>REJECT</v>
      </c>
      <c r="C1310" s="0" t="n">
        <f aca="false">MOD(A1310-1,Pemetaan!$B$3*Pemetaan!$B$4)</f>
        <v>408</v>
      </c>
      <c r="D1310" s="0" t="n">
        <f aca="false">INT(C1310/Pemetaan!$B$4)</f>
        <v>16</v>
      </c>
      <c r="E1310" s="0" t="n">
        <f aca="false">MOD(C1310,Pemetaan!$B$4)</f>
        <v>8</v>
      </c>
      <c r="F1310" s="0" t="n">
        <f aca="false">IF(B1310="PRODUKSI",Pemetaan!$B$5,Pemetaan!$B$6)</f>
        <v>46</v>
      </c>
      <c r="G1310" s="0" t="n">
        <f aca="false">F1310+2+D1310</f>
        <v>64</v>
      </c>
      <c r="H1310" s="0" t="n">
        <f aca="false">Pemetaan!$B$2+E1310</f>
        <v>13</v>
      </c>
      <c r="I1310" s="0" t="str">
        <f aca="false">INDEX(Laporan!$A$1:$AZ$300,G1310,1)</f>
        <v>Water Treatment</v>
      </c>
      <c r="J1310" s="0" t="str">
        <f aca="false">INDEX(Laporan!$A$1:$AZ$300,G1310,2)</f>
        <v>1,5 L</v>
      </c>
      <c r="K1310" s="0" t="str">
        <f aca="false">INDEX(Laporan!$A$1:$AZ$300,G1310,3)</f>
        <v>Shift 2</v>
      </c>
      <c r="L1310" s="0" t="n">
        <f aca="false">INDEX(Laporan!$A$1:$AZ$300,G1310,4)</f>
        <v>2</v>
      </c>
      <c r="M1310" s="1" t="n">
        <f aca="false">DATE(Pemetaan!$B$1,VALUE(RIGHT(INDEX(Laporan!$A$1:$AZ$300,F1310+1,H1310),2)),VALUE(LEFT(INDEX(Laporan!$A$1:$AZ$300,F1310+1,H1310),2)))</f>
        <v>46093</v>
      </c>
      <c r="N1310" s="0" t="n">
        <f aca="false">INDEX(Laporan!$A$1:$AZ$300,G1310,H1310)</f>
        <v>4</v>
      </c>
      <c r="O1310" s="0" t="n">
        <f aca="false">IF(N1310="","",IFERROR(VALUE(SUBSTITUTE(SUBSTITUTE(N1310," btl",""),".","")),""))</f>
        <v>4</v>
      </c>
      <c r="P1310" s="0" t="str">
        <f aca="false">IF(B1310="PRODUKSI","produced","reject")</f>
        <v>reject</v>
      </c>
    </row>
    <row r="1311" customFormat="false" ht="15" hidden="false" customHeight="false" outlineLevel="0" collapsed="false">
      <c r="A1311" s="0" t="n">
        <v>1310</v>
      </c>
      <c r="B1311" s="0" t="str">
        <f aca="false">IF(A1311&lt;=36*25,"PRODUKSI","REJECT")</f>
        <v>REJECT</v>
      </c>
      <c r="C1311" s="0" t="n">
        <f aca="false">MOD(A1311-1,Pemetaan!$B$3*Pemetaan!$B$4)</f>
        <v>409</v>
      </c>
      <c r="D1311" s="0" t="n">
        <f aca="false">INT(C1311/Pemetaan!$B$4)</f>
        <v>16</v>
      </c>
      <c r="E1311" s="0" t="n">
        <f aca="false">MOD(C1311,Pemetaan!$B$4)</f>
        <v>9</v>
      </c>
      <c r="F1311" s="0" t="n">
        <f aca="false">IF(B1311="PRODUKSI",Pemetaan!$B$5,Pemetaan!$B$6)</f>
        <v>46</v>
      </c>
      <c r="G1311" s="0" t="n">
        <f aca="false">F1311+2+D1311</f>
        <v>64</v>
      </c>
      <c r="H1311" s="0" t="n">
        <f aca="false">Pemetaan!$B$2+E1311</f>
        <v>14</v>
      </c>
      <c r="I1311" s="0" t="str">
        <f aca="false">INDEX(Laporan!$A$1:$AZ$300,G1311,1)</f>
        <v>Water Treatment</v>
      </c>
      <c r="J1311" s="0" t="str">
        <f aca="false">INDEX(Laporan!$A$1:$AZ$300,G1311,2)</f>
        <v>1,5 L</v>
      </c>
      <c r="K1311" s="0" t="str">
        <f aca="false">INDEX(Laporan!$A$1:$AZ$300,G1311,3)</f>
        <v>Shift 2</v>
      </c>
      <c r="L1311" s="0" t="n">
        <f aca="false">INDEX(Laporan!$A$1:$AZ$300,G1311,4)</f>
        <v>2</v>
      </c>
      <c r="M1311" s="1" t="n">
        <f aca="false">DATE(Pemetaan!$B$1,VALUE(RIGHT(INDEX(Laporan!$A$1:$AZ$300,F1311+1,H1311),2)),VALUE(LEFT(INDEX(Laporan!$A$1:$AZ$300,F1311+1,H1311),2)))</f>
        <v>46094</v>
      </c>
      <c r="N1311" s="0" t="n">
        <f aca="false">INDEX(Laporan!$A$1:$AZ$300,G1311,H1311)</f>
        <v>4</v>
      </c>
      <c r="O1311" s="0" t="n">
        <f aca="false">IF(N1311="","",IFERROR(VALUE(SUBSTITUTE(SUBSTITUTE(N1311," btl",""),".","")),""))</f>
        <v>4</v>
      </c>
      <c r="P1311" s="0" t="str">
        <f aca="false">IF(B1311="PRODUKSI","produced","reject")</f>
        <v>reject</v>
      </c>
    </row>
    <row r="1312" customFormat="false" ht="15" hidden="false" customHeight="false" outlineLevel="0" collapsed="false">
      <c r="A1312" s="0" t="n">
        <v>1311</v>
      </c>
      <c r="B1312" s="0" t="str">
        <f aca="false">IF(A1312&lt;=36*25,"PRODUKSI","REJECT")</f>
        <v>REJECT</v>
      </c>
      <c r="C1312" s="0" t="n">
        <f aca="false">MOD(A1312-1,Pemetaan!$B$3*Pemetaan!$B$4)</f>
        <v>410</v>
      </c>
      <c r="D1312" s="0" t="n">
        <f aca="false">INT(C1312/Pemetaan!$B$4)</f>
        <v>16</v>
      </c>
      <c r="E1312" s="0" t="n">
        <f aca="false">MOD(C1312,Pemetaan!$B$4)</f>
        <v>10</v>
      </c>
      <c r="F1312" s="0" t="n">
        <f aca="false">IF(B1312="PRODUKSI",Pemetaan!$B$5,Pemetaan!$B$6)</f>
        <v>46</v>
      </c>
      <c r="G1312" s="0" t="n">
        <f aca="false">F1312+2+D1312</f>
        <v>64</v>
      </c>
      <c r="H1312" s="0" t="n">
        <f aca="false">Pemetaan!$B$2+E1312</f>
        <v>15</v>
      </c>
      <c r="I1312" s="0" t="str">
        <f aca="false">INDEX(Laporan!$A$1:$AZ$300,G1312,1)</f>
        <v>Water Treatment</v>
      </c>
      <c r="J1312" s="0" t="str">
        <f aca="false">INDEX(Laporan!$A$1:$AZ$300,G1312,2)</f>
        <v>1,5 L</v>
      </c>
      <c r="K1312" s="0" t="str">
        <f aca="false">INDEX(Laporan!$A$1:$AZ$300,G1312,3)</f>
        <v>Shift 2</v>
      </c>
      <c r="L1312" s="0" t="n">
        <f aca="false">INDEX(Laporan!$A$1:$AZ$300,G1312,4)</f>
        <v>2</v>
      </c>
      <c r="M1312" s="1" t="n">
        <f aca="false">DATE(Pemetaan!$B$1,VALUE(RIGHT(INDEX(Laporan!$A$1:$AZ$300,F1312+1,H1312),2)),VALUE(LEFT(INDEX(Laporan!$A$1:$AZ$300,F1312+1,H1312),2)))</f>
        <v>46097</v>
      </c>
      <c r="N1312" s="0" t="n">
        <f aca="false">INDEX(Laporan!$A$1:$AZ$300,G1312,H1312)</f>
        <v>5</v>
      </c>
      <c r="O1312" s="0" t="n">
        <f aca="false">IF(N1312="","",IFERROR(VALUE(SUBSTITUTE(SUBSTITUTE(N1312," btl",""),".","")),""))</f>
        <v>5</v>
      </c>
      <c r="P1312" s="0" t="str">
        <f aca="false">IF(B1312="PRODUKSI","produced","reject")</f>
        <v>reject</v>
      </c>
    </row>
    <row r="1313" customFormat="false" ht="15" hidden="false" customHeight="false" outlineLevel="0" collapsed="false">
      <c r="A1313" s="0" t="n">
        <v>1312</v>
      </c>
      <c r="B1313" s="0" t="str">
        <f aca="false">IF(A1313&lt;=36*25,"PRODUKSI","REJECT")</f>
        <v>REJECT</v>
      </c>
      <c r="C1313" s="0" t="n">
        <f aca="false">MOD(A1313-1,Pemetaan!$B$3*Pemetaan!$B$4)</f>
        <v>411</v>
      </c>
      <c r="D1313" s="0" t="n">
        <f aca="false">INT(C1313/Pemetaan!$B$4)</f>
        <v>16</v>
      </c>
      <c r="E1313" s="0" t="n">
        <f aca="false">MOD(C1313,Pemetaan!$B$4)</f>
        <v>11</v>
      </c>
      <c r="F1313" s="0" t="n">
        <f aca="false">IF(B1313="PRODUKSI",Pemetaan!$B$5,Pemetaan!$B$6)</f>
        <v>46</v>
      </c>
      <c r="G1313" s="0" t="n">
        <f aca="false">F1313+2+D1313</f>
        <v>64</v>
      </c>
      <c r="H1313" s="0" t="n">
        <f aca="false">Pemetaan!$B$2+E1313</f>
        <v>16</v>
      </c>
      <c r="I1313" s="0" t="str">
        <f aca="false">INDEX(Laporan!$A$1:$AZ$300,G1313,1)</f>
        <v>Water Treatment</v>
      </c>
      <c r="J1313" s="0" t="str">
        <f aca="false">INDEX(Laporan!$A$1:$AZ$300,G1313,2)</f>
        <v>1,5 L</v>
      </c>
      <c r="K1313" s="0" t="str">
        <f aca="false">INDEX(Laporan!$A$1:$AZ$300,G1313,3)</f>
        <v>Shift 2</v>
      </c>
      <c r="L1313" s="0" t="n">
        <f aca="false">INDEX(Laporan!$A$1:$AZ$300,G1313,4)</f>
        <v>2</v>
      </c>
      <c r="M1313" s="1" t="n">
        <f aca="false">DATE(Pemetaan!$B$1,VALUE(RIGHT(INDEX(Laporan!$A$1:$AZ$300,F1313+1,H1313),2)),VALUE(LEFT(INDEX(Laporan!$A$1:$AZ$300,F1313+1,H1313),2)))</f>
        <v>46098</v>
      </c>
      <c r="N1313" s="0" t="n">
        <f aca="false">INDEX(Laporan!$A$1:$AZ$300,G1313,H1313)</f>
        <v>5</v>
      </c>
      <c r="O1313" s="0" t="n">
        <f aca="false">IF(N1313="","",IFERROR(VALUE(SUBSTITUTE(SUBSTITUTE(N1313," btl",""),".","")),""))</f>
        <v>5</v>
      </c>
      <c r="P1313" s="0" t="str">
        <f aca="false">IF(B1313="PRODUKSI","produced","reject")</f>
        <v>reject</v>
      </c>
    </row>
    <row r="1314" customFormat="false" ht="15" hidden="false" customHeight="false" outlineLevel="0" collapsed="false">
      <c r="A1314" s="0" t="n">
        <v>1313</v>
      </c>
      <c r="B1314" s="0" t="str">
        <f aca="false">IF(A1314&lt;=36*25,"PRODUKSI","REJECT")</f>
        <v>REJECT</v>
      </c>
      <c r="C1314" s="0" t="n">
        <f aca="false">MOD(A1314-1,Pemetaan!$B$3*Pemetaan!$B$4)</f>
        <v>412</v>
      </c>
      <c r="D1314" s="0" t="n">
        <f aca="false">INT(C1314/Pemetaan!$B$4)</f>
        <v>16</v>
      </c>
      <c r="E1314" s="0" t="n">
        <f aca="false">MOD(C1314,Pemetaan!$B$4)</f>
        <v>12</v>
      </c>
      <c r="F1314" s="0" t="n">
        <f aca="false">IF(B1314="PRODUKSI",Pemetaan!$B$5,Pemetaan!$B$6)</f>
        <v>46</v>
      </c>
      <c r="G1314" s="0" t="n">
        <f aca="false">F1314+2+D1314</f>
        <v>64</v>
      </c>
      <c r="H1314" s="0" t="n">
        <f aca="false">Pemetaan!$B$2+E1314</f>
        <v>17</v>
      </c>
      <c r="I1314" s="0" t="str">
        <f aca="false">INDEX(Laporan!$A$1:$AZ$300,G1314,1)</f>
        <v>Water Treatment</v>
      </c>
      <c r="J1314" s="0" t="str">
        <f aca="false">INDEX(Laporan!$A$1:$AZ$300,G1314,2)</f>
        <v>1,5 L</v>
      </c>
      <c r="K1314" s="0" t="str">
        <f aca="false">INDEX(Laporan!$A$1:$AZ$300,G1314,3)</f>
        <v>Shift 2</v>
      </c>
      <c r="L1314" s="0" t="n">
        <f aca="false">INDEX(Laporan!$A$1:$AZ$300,G1314,4)</f>
        <v>2</v>
      </c>
      <c r="M1314" s="1" t="n">
        <f aca="false">DATE(Pemetaan!$B$1,VALUE(RIGHT(INDEX(Laporan!$A$1:$AZ$300,F1314+1,H1314),2)),VALUE(LEFT(INDEX(Laporan!$A$1:$AZ$300,F1314+1,H1314),2)))</f>
        <v>46099</v>
      </c>
      <c r="N1314" s="0" t="str">
        <f aca="false">INDEX(Laporan!$A$1:$AZ$300,G1314,H1314)</f>
        <v>-</v>
      </c>
      <c r="O1314" s="0" t="str">
        <f aca="false">IF(N1314="","",IFERROR(VALUE(SUBSTITUTE(SUBSTITUTE(N1314," btl",""),".","")),""))</f>
        <v/>
      </c>
      <c r="P1314" s="0" t="str">
        <f aca="false">IF(B1314="PRODUKSI","produced","reject")</f>
        <v>reject</v>
      </c>
    </row>
    <row r="1315" customFormat="false" ht="15" hidden="false" customHeight="false" outlineLevel="0" collapsed="false">
      <c r="A1315" s="0" t="n">
        <v>1314</v>
      </c>
      <c r="B1315" s="0" t="str">
        <f aca="false">IF(A1315&lt;=36*25,"PRODUKSI","REJECT")</f>
        <v>REJECT</v>
      </c>
      <c r="C1315" s="0" t="n">
        <f aca="false">MOD(A1315-1,Pemetaan!$B$3*Pemetaan!$B$4)</f>
        <v>413</v>
      </c>
      <c r="D1315" s="0" t="n">
        <f aca="false">INT(C1315/Pemetaan!$B$4)</f>
        <v>16</v>
      </c>
      <c r="E1315" s="0" t="n">
        <f aca="false">MOD(C1315,Pemetaan!$B$4)</f>
        <v>13</v>
      </c>
      <c r="F1315" s="0" t="n">
        <f aca="false">IF(B1315="PRODUKSI",Pemetaan!$B$5,Pemetaan!$B$6)</f>
        <v>46</v>
      </c>
      <c r="G1315" s="0" t="n">
        <f aca="false">F1315+2+D1315</f>
        <v>64</v>
      </c>
      <c r="H1315" s="0" t="n">
        <f aca="false">Pemetaan!$B$2+E1315</f>
        <v>18</v>
      </c>
      <c r="I1315" s="0" t="str">
        <f aca="false">INDEX(Laporan!$A$1:$AZ$300,G1315,1)</f>
        <v>Water Treatment</v>
      </c>
      <c r="J1315" s="0" t="str">
        <f aca="false">INDEX(Laporan!$A$1:$AZ$300,G1315,2)</f>
        <v>1,5 L</v>
      </c>
      <c r="K1315" s="0" t="str">
        <f aca="false">INDEX(Laporan!$A$1:$AZ$300,G1315,3)</f>
        <v>Shift 2</v>
      </c>
      <c r="L1315" s="0" t="n">
        <f aca="false">INDEX(Laporan!$A$1:$AZ$300,G1315,4)</f>
        <v>2</v>
      </c>
      <c r="M1315" s="1" t="n">
        <f aca="false">DATE(Pemetaan!$B$1,VALUE(RIGHT(INDEX(Laporan!$A$1:$AZ$300,F1315+1,H1315),2)),VALUE(LEFT(INDEX(Laporan!$A$1:$AZ$300,F1315+1,H1315),2)))</f>
        <v>46100</v>
      </c>
      <c r="N1315" s="0" t="n">
        <f aca="false">INDEX(Laporan!$A$1:$AZ$300,G1315,H1315)</f>
        <v>9</v>
      </c>
      <c r="O1315" s="0" t="n">
        <f aca="false">IF(N1315="","",IFERROR(VALUE(SUBSTITUTE(SUBSTITUTE(N1315," btl",""),".","")),""))</f>
        <v>9</v>
      </c>
      <c r="P1315" s="0" t="str">
        <f aca="false">IF(B1315="PRODUKSI","produced","reject")</f>
        <v>reject</v>
      </c>
    </row>
    <row r="1316" customFormat="false" ht="15" hidden="false" customHeight="false" outlineLevel="0" collapsed="false">
      <c r="A1316" s="0" t="n">
        <v>1315</v>
      </c>
      <c r="B1316" s="0" t="str">
        <f aca="false">IF(A1316&lt;=36*25,"PRODUKSI","REJECT")</f>
        <v>REJECT</v>
      </c>
      <c r="C1316" s="0" t="n">
        <f aca="false">MOD(A1316-1,Pemetaan!$B$3*Pemetaan!$B$4)</f>
        <v>414</v>
      </c>
      <c r="D1316" s="0" t="n">
        <f aca="false">INT(C1316/Pemetaan!$B$4)</f>
        <v>16</v>
      </c>
      <c r="E1316" s="0" t="n">
        <f aca="false">MOD(C1316,Pemetaan!$B$4)</f>
        <v>14</v>
      </c>
      <c r="F1316" s="0" t="n">
        <f aca="false">IF(B1316="PRODUKSI",Pemetaan!$B$5,Pemetaan!$B$6)</f>
        <v>46</v>
      </c>
      <c r="G1316" s="0" t="n">
        <f aca="false">F1316+2+D1316</f>
        <v>64</v>
      </c>
      <c r="H1316" s="0" t="n">
        <f aca="false">Pemetaan!$B$2+E1316</f>
        <v>19</v>
      </c>
      <c r="I1316" s="0" t="str">
        <f aca="false">INDEX(Laporan!$A$1:$AZ$300,G1316,1)</f>
        <v>Water Treatment</v>
      </c>
      <c r="J1316" s="0" t="str">
        <f aca="false">INDEX(Laporan!$A$1:$AZ$300,G1316,2)</f>
        <v>1,5 L</v>
      </c>
      <c r="K1316" s="0" t="str">
        <f aca="false">INDEX(Laporan!$A$1:$AZ$300,G1316,3)</f>
        <v>Shift 2</v>
      </c>
      <c r="L1316" s="0" t="n">
        <f aca="false">INDEX(Laporan!$A$1:$AZ$300,G1316,4)</f>
        <v>2</v>
      </c>
      <c r="M1316" s="1" t="n">
        <f aca="false">DATE(Pemetaan!$B$1,VALUE(RIGHT(INDEX(Laporan!$A$1:$AZ$300,F1316+1,H1316),2)),VALUE(LEFT(INDEX(Laporan!$A$1:$AZ$300,F1316+1,H1316),2)))</f>
        <v>46101</v>
      </c>
      <c r="N1316" s="0" t="n">
        <f aca="false">INDEX(Laporan!$A$1:$AZ$300,G1316,H1316)</f>
        <v>3</v>
      </c>
      <c r="O1316" s="0" t="n">
        <f aca="false">IF(N1316="","",IFERROR(VALUE(SUBSTITUTE(SUBSTITUTE(N1316," btl",""),".","")),""))</f>
        <v>3</v>
      </c>
      <c r="P1316" s="0" t="str">
        <f aca="false">IF(B1316="PRODUKSI","produced","reject")</f>
        <v>reject</v>
      </c>
    </row>
    <row r="1317" customFormat="false" ht="15" hidden="false" customHeight="false" outlineLevel="0" collapsed="false">
      <c r="A1317" s="0" t="n">
        <v>1316</v>
      </c>
      <c r="B1317" s="0" t="str">
        <f aca="false">IF(A1317&lt;=36*25,"PRODUKSI","REJECT")</f>
        <v>REJECT</v>
      </c>
      <c r="C1317" s="0" t="n">
        <f aca="false">MOD(A1317-1,Pemetaan!$B$3*Pemetaan!$B$4)</f>
        <v>415</v>
      </c>
      <c r="D1317" s="0" t="n">
        <f aca="false">INT(C1317/Pemetaan!$B$4)</f>
        <v>16</v>
      </c>
      <c r="E1317" s="0" t="n">
        <f aca="false">MOD(C1317,Pemetaan!$B$4)</f>
        <v>15</v>
      </c>
      <c r="F1317" s="0" t="n">
        <f aca="false">IF(B1317="PRODUKSI",Pemetaan!$B$5,Pemetaan!$B$6)</f>
        <v>46</v>
      </c>
      <c r="G1317" s="0" t="n">
        <f aca="false">F1317+2+D1317</f>
        <v>64</v>
      </c>
      <c r="H1317" s="0" t="n">
        <f aca="false">Pemetaan!$B$2+E1317</f>
        <v>20</v>
      </c>
      <c r="I1317" s="0" t="str">
        <f aca="false">INDEX(Laporan!$A$1:$AZ$300,G1317,1)</f>
        <v>Water Treatment</v>
      </c>
      <c r="J1317" s="0" t="str">
        <f aca="false">INDEX(Laporan!$A$1:$AZ$300,G1317,2)</f>
        <v>1,5 L</v>
      </c>
      <c r="K1317" s="0" t="str">
        <f aca="false">INDEX(Laporan!$A$1:$AZ$300,G1317,3)</f>
        <v>Shift 2</v>
      </c>
      <c r="L1317" s="0" t="n">
        <f aca="false">INDEX(Laporan!$A$1:$AZ$300,G1317,4)</f>
        <v>2</v>
      </c>
      <c r="M1317" s="1" t="n">
        <f aca="false">DATE(Pemetaan!$B$1,VALUE(RIGHT(INDEX(Laporan!$A$1:$AZ$300,F1317+1,H1317),2)),VALUE(LEFT(INDEX(Laporan!$A$1:$AZ$300,F1317+1,H1317),2)))</f>
        <v>46104</v>
      </c>
      <c r="N1317" s="0" t="n">
        <f aca="false">INDEX(Laporan!$A$1:$AZ$300,G1317,H1317)</f>
        <v>10</v>
      </c>
      <c r="O1317" s="0" t="n">
        <f aca="false">IF(N1317="","",IFERROR(VALUE(SUBSTITUTE(SUBSTITUTE(N1317," btl",""),".","")),""))</f>
        <v>10</v>
      </c>
      <c r="P1317" s="0" t="str">
        <f aca="false">IF(B1317="PRODUKSI","produced","reject")</f>
        <v>reject</v>
      </c>
    </row>
    <row r="1318" customFormat="false" ht="15" hidden="false" customHeight="false" outlineLevel="0" collapsed="false">
      <c r="A1318" s="0" t="n">
        <v>1317</v>
      </c>
      <c r="B1318" s="0" t="str">
        <f aca="false">IF(A1318&lt;=36*25,"PRODUKSI","REJECT")</f>
        <v>REJECT</v>
      </c>
      <c r="C1318" s="0" t="n">
        <f aca="false">MOD(A1318-1,Pemetaan!$B$3*Pemetaan!$B$4)</f>
        <v>416</v>
      </c>
      <c r="D1318" s="0" t="n">
        <f aca="false">INT(C1318/Pemetaan!$B$4)</f>
        <v>16</v>
      </c>
      <c r="E1318" s="0" t="n">
        <f aca="false">MOD(C1318,Pemetaan!$B$4)</f>
        <v>16</v>
      </c>
      <c r="F1318" s="0" t="n">
        <f aca="false">IF(B1318="PRODUKSI",Pemetaan!$B$5,Pemetaan!$B$6)</f>
        <v>46</v>
      </c>
      <c r="G1318" s="0" t="n">
        <f aca="false">F1318+2+D1318</f>
        <v>64</v>
      </c>
      <c r="H1318" s="0" t="n">
        <f aca="false">Pemetaan!$B$2+E1318</f>
        <v>21</v>
      </c>
      <c r="I1318" s="0" t="str">
        <f aca="false">INDEX(Laporan!$A$1:$AZ$300,G1318,1)</f>
        <v>Water Treatment</v>
      </c>
      <c r="J1318" s="0" t="str">
        <f aca="false">INDEX(Laporan!$A$1:$AZ$300,G1318,2)</f>
        <v>1,5 L</v>
      </c>
      <c r="K1318" s="0" t="str">
        <f aca="false">INDEX(Laporan!$A$1:$AZ$300,G1318,3)</f>
        <v>Shift 2</v>
      </c>
      <c r="L1318" s="0" t="n">
        <f aca="false">INDEX(Laporan!$A$1:$AZ$300,G1318,4)</f>
        <v>2</v>
      </c>
      <c r="M1318" s="1" t="n">
        <f aca="false">DATE(Pemetaan!$B$1,VALUE(RIGHT(INDEX(Laporan!$A$1:$AZ$300,F1318+1,H1318),2)),VALUE(LEFT(INDEX(Laporan!$A$1:$AZ$300,F1318+1,H1318),2)))</f>
        <v>46105</v>
      </c>
      <c r="N1318" s="0" t="n">
        <f aca="false">INDEX(Laporan!$A$1:$AZ$300,G1318,H1318)</f>
        <v>6</v>
      </c>
      <c r="O1318" s="0" t="n">
        <f aca="false">IF(N1318="","",IFERROR(VALUE(SUBSTITUTE(SUBSTITUTE(N1318," btl",""),".","")),""))</f>
        <v>6</v>
      </c>
      <c r="P1318" s="0" t="str">
        <f aca="false">IF(B1318="PRODUKSI","produced","reject")</f>
        <v>reject</v>
      </c>
    </row>
    <row r="1319" customFormat="false" ht="15" hidden="false" customHeight="false" outlineLevel="0" collapsed="false">
      <c r="A1319" s="0" t="n">
        <v>1318</v>
      </c>
      <c r="B1319" s="0" t="str">
        <f aca="false">IF(A1319&lt;=36*25,"PRODUKSI","REJECT")</f>
        <v>REJECT</v>
      </c>
      <c r="C1319" s="0" t="n">
        <f aca="false">MOD(A1319-1,Pemetaan!$B$3*Pemetaan!$B$4)</f>
        <v>417</v>
      </c>
      <c r="D1319" s="0" t="n">
        <f aca="false">INT(C1319/Pemetaan!$B$4)</f>
        <v>16</v>
      </c>
      <c r="E1319" s="0" t="n">
        <f aca="false">MOD(C1319,Pemetaan!$B$4)</f>
        <v>17</v>
      </c>
      <c r="F1319" s="0" t="n">
        <f aca="false">IF(B1319="PRODUKSI",Pemetaan!$B$5,Pemetaan!$B$6)</f>
        <v>46</v>
      </c>
      <c r="G1319" s="0" t="n">
        <f aca="false">F1319+2+D1319</f>
        <v>64</v>
      </c>
      <c r="H1319" s="0" t="n">
        <f aca="false">Pemetaan!$B$2+E1319</f>
        <v>22</v>
      </c>
      <c r="I1319" s="0" t="str">
        <f aca="false">INDEX(Laporan!$A$1:$AZ$300,G1319,1)</f>
        <v>Water Treatment</v>
      </c>
      <c r="J1319" s="0" t="str">
        <f aca="false">INDEX(Laporan!$A$1:$AZ$300,G1319,2)</f>
        <v>1,5 L</v>
      </c>
      <c r="K1319" s="0" t="str">
        <f aca="false">INDEX(Laporan!$A$1:$AZ$300,G1319,3)</f>
        <v>Shift 2</v>
      </c>
      <c r="L1319" s="0" t="n">
        <f aca="false">INDEX(Laporan!$A$1:$AZ$300,G1319,4)</f>
        <v>2</v>
      </c>
      <c r="M1319" s="1" t="n">
        <f aca="false">DATE(Pemetaan!$B$1,VALUE(RIGHT(INDEX(Laporan!$A$1:$AZ$300,F1319+1,H1319),2)),VALUE(LEFT(INDEX(Laporan!$A$1:$AZ$300,F1319+1,H1319),2)))</f>
        <v>46106</v>
      </c>
      <c r="N1319" s="0" t="n">
        <f aca="false">INDEX(Laporan!$A$1:$AZ$300,G1319,H1319)</f>
        <v>4</v>
      </c>
      <c r="O1319" s="0" t="n">
        <f aca="false">IF(N1319="","",IFERROR(VALUE(SUBSTITUTE(SUBSTITUTE(N1319," btl",""),".","")),""))</f>
        <v>4</v>
      </c>
      <c r="P1319" s="0" t="str">
        <f aca="false">IF(B1319="PRODUKSI","produced","reject")</f>
        <v>reject</v>
      </c>
    </row>
    <row r="1320" customFormat="false" ht="15" hidden="false" customHeight="false" outlineLevel="0" collapsed="false">
      <c r="A1320" s="0" t="n">
        <v>1319</v>
      </c>
      <c r="B1320" s="0" t="str">
        <f aca="false">IF(A1320&lt;=36*25,"PRODUKSI","REJECT")</f>
        <v>REJECT</v>
      </c>
      <c r="C1320" s="0" t="n">
        <f aca="false">MOD(A1320-1,Pemetaan!$B$3*Pemetaan!$B$4)</f>
        <v>418</v>
      </c>
      <c r="D1320" s="0" t="n">
        <f aca="false">INT(C1320/Pemetaan!$B$4)</f>
        <v>16</v>
      </c>
      <c r="E1320" s="0" t="n">
        <f aca="false">MOD(C1320,Pemetaan!$B$4)</f>
        <v>18</v>
      </c>
      <c r="F1320" s="0" t="n">
        <f aca="false">IF(B1320="PRODUKSI",Pemetaan!$B$5,Pemetaan!$B$6)</f>
        <v>46</v>
      </c>
      <c r="G1320" s="0" t="n">
        <f aca="false">F1320+2+D1320</f>
        <v>64</v>
      </c>
      <c r="H1320" s="0" t="n">
        <f aca="false">Pemetaan!$B$2+E1320</f>
        <v>23</v>
      </c>
      <c r="I1320" s="0" t="str">
        <f aca="false">INDEX(Laporan!$A$1:$AZ$300,G1320,1)</f>
        <v>Water Treatment</v>
      </c>
      <c r="J1320" s="0" t="str">
        <f aca="false">INDEX(Laporan!$A$1:$AZ$300,G1320,2)</f>
        <v>1,5 L</v>
      </c>
      <c r="K1320" s="0" t="str">
        <f aca="false">INDEX(Laporan!$A$1:$AZ$300,G1320,3)</f>
        <v>Shift 2</v>
      </c>
      <c r="L1320" s="0" t="n">
        <f aca="false">INDEX(Laporan!$A$1:$AZ$300,G1320,4)</f>
        <v>2</v>
      </c>
      <c r="M1320" s="1" t="n">
        <f aca="false">DATE(Pemetaan!$B$1,VALUE(RIGHT(INDEX(Laporan!$A$1:$AZ$300,F1320+1,H1320),2)),VALUE(LEFT(INDEX(Laporan!$A$1:$AZ$300,F1320+1,H1320),2)))</f>
        <v>46107</v>
      </c>
      <c r="N1320" s="0" t="n">
        <f aca="false">INDEX(Laporan!$A$1:$AZ$300,G1320,H1320)</f>
        <v>4</v>
      </c>
      <c r="O1320" s="0" t="n">
        <f aca="false">IF(N1320="","",IFERROR(VALUE(SUBSTITUTE(SUBSTITUTE(N1320," btl",""),".","")),""))</f>
        <v>4</v>
      </c>
      <c r="P1320" s="0" t="str">
        <f aca="false">IF(B1320="PRODUKSI","produced","reject")</f>
        <v>reject</v>
      </c>
    </row>
    <row r="1321" customFormat="false" ht="15" hidden="false" customHeight="false" outlineLevel="0" collapsed="false">
      <c r="A1321" s="0" t="n">
        <v>1320</v>
      </c>
      <c r="B1321" s="0" t="str">
        <f aca="false">IF(A1321&lt;=36*25,"PRODUKSI","REJECT")</f>
        <v>REJECT</v>
      </c>
      <c r="C1321" s="0" t="n">
        <f aca="false">MOD(A1321-1,Pemetaan!$B$3*Pemetaan!$B$4)</f>
        <v>419</v>
      </c>
      <c r="D1321" s="0" t="n">
        <f aca="false">INT(C1321/Pemetaan!$B$4)</f>
        <v>16</v>
      </c>
      <c r="E1321" s="0" t="n">
        <f aca="false">MOD(C1321,Pemetaan!$B$4)</f>
        <v>19</v>
      </c>
      <c r="F1321" s="0" t="n">
        <f aca="false">IF(B1321="PRODUKSI",Pemetaan!$B$5,Pemetaan!$B$6)</f>
        <v>46</v>
      </c>
      <c r="G1321" s="0" t="n">
        <f aca="false">F1321+2+D1321</f>
        <v>64</v>
      </c>
      <c r="H1321" s="0" t="n">
        <f aca="false">Pemetaan!$B$2+E1321</f>
        <v>24</v>
      </c>
      <c r="I1321" s="0" t="str">
        <f aca="false">INDEX(Laporan!$A$1:$AZ$300,G1321,1)</f>
        <v>Water Treatment</v>
      </c>
      <c r="J1321" s="0" t="str">
        <f aca="false">INDEX(Laporan!$A$1:$AZ$300,G1321,2)</f>
        <v>1,5 L</v>
      </c>
      <c r="K1321" s="0" t="str">
        <f aca="false">INDEX(Laporan!$A$1:$AZ$300,G1321,3)</f>
        <v>Shift 2</v>
      </c>
      <c r="L1321" s="0" t="n">
        <f aca="false">INDEX(Laporan!$A$1:$AZ$300,G1321,4)</f>
        <v>2</v>
      </c>
      <c r="M1321" s="1" t="n">
        <f aca="false">DATE(Pemetaan!$B$1,VALUE(RIGHT(INDEX(Laporan!$A$1:$AZ$300,F1321+1,H1321),2)),VALUE(LEFT(INDEX(Laporan!$A$1:$AZ$300,F1321+1,H1321),2)))</f>
        <v>46108</v>
      </c>
      <c r="N1321" s="0" t="n">
        <f aca="false">INDEX(Laporan!$A$1:$AZ$300,G1321,H1321)</f>
        <v>2</v>
      </c>
      <c r="O1321" s="0" t="n">
        <f aca="false">IF(N1321="","",IFERROR(VALUE(SUBSTITUTE(SUBSTITUTE(N1321," btl",""),".","")),""))</f>
        <v>2</v>
      </c>
      <c r="P1321" s="0" t="str">
        <f aca="false">IF(B1321="PRODUKSI","produced","reject")</f>
        <v>reject</v>
      </c>
    </row>
    <row r="1322" customFormat="false" ht="15" hidden="false" customHeight="false" outlineLevel="0" collapsed="false">
      <c r="A1322" s="0" t="n">
        <v>1321</v>
      </c>
      <c r="B1322" s="0" t="str">
        <f aca="false">IF(A1322&lt;=36*25,"PRODUKSI","REJECT")</f>
        <v>REJECT</v>
      </c>
      <c r="C1322" s="0" t="n">
        <f aca="false">MOD(A1322-1,Pemetaan!$B$3*Pemetaan!$B$4)</f>
        <v>420</v>
      </c>
      <c r="D1322" s="0" t="n">
        <f aca="false">INT(C1322/Pemetaan!$B$4)</f>
        <v>16</v>
      </c>
      <c r="E1322" s="0" t="n">
        <f aca="false">MOD(C1322,Pemetaan!$B$4)</f>
        <v>20</v>
      </c>
      <c r="F1322" s="0" t="n">
        <f aca="false">IF(B1322="PRODUKSI",Pemetaan!$B$5,Pemetaan!$B$6)</f>
        <v>46</v>
      </c>
      <c r="G1322" s="0" t="n">
        <f aca="false">F1322+2+D1322</f>
        <v>64</v>
      </c>
      <c r="H1322" s="0" t="n">
        <f aca="false">Pemetaan!$B$2+E1322</f>
        <v>25</v>
      </c>
      <c r="I1322" s="0" t="str">
        <f aca="false">INDEX(Laporan!$A$1:$AZ$300,G1322,1)</f>
        <v>Water Treatment</v>
      </c>
      <c r="J1322" s="0" t="str">
        <f aca="false">INDEX(Laporan!$A$1:$AZ$300,G1322,2)</f>
        <v>1,5 L</v>
      </c>
      <c r="K1322" s="0" t="str">
        <f aca="false">INDEX(Laporan!$A$1:$AZ$300,G1322,3)</f>
        <v>Shift 2</v>
      </c>
      <c r="L1322" s="0" t="n">
        <f aca="false">INDEX(Laporan!$A$1:$AZ$300,G1322,4)</f>
        <v>2</v>
      </c>
      <c r="M1322" s="1" t="n">
        <f aca="false">DATE(Pemetaan!$B$1,VALUE(RIGHT(INDEX(Laporan!$A$1:$AZ$300,F1322+1,H1322),2)),VALUE(LEFT(INDEX(Laporan!$A$1:$AZ$300,F1322+1,H1322),2)))</f>
        <v>46111</v>
      </c>
      <c r="N1322" s="0" t="n">
        <f aca="false">INDEX(Laporan!$A$1:$AZ$300,G1322,H1322)</f>
        <v>3</v>
      </c>
      <c r="O1322" s="0" t="n">
        <f aca="false">IF(N1322="","",IFERROR(VALUE(SUBSTITUTE(SUBSTITUTE(N1322," btl",""),".","")),""))</f>
        <v>3</v>
      </c>
      <c r="P1322" s="0" t="str">
        <f aca="false">IF(B1322="PRODUKSI","produced","reject")</f>
        <v>reject</v>
      </c>
    </row>
    <row r="1323" customFormat="false" ht="15" hidden="false" customHeight="false" outlineLevel="0" collapsed="false">
      <c r="A1323" s="0" t="n">
        <v>1322</v>
      </c>
      <c r="B1323" s="0" t="str">
        <f aca="false">IF(A1323&lt;=36*25,"PRODUKSI","REJECT")</f>
        <v>REJECT</v>
      </c>
      <c r="C1323" s="0" t="n">
        <f aca="false">MOD(A1323-1,Pemetaan!$B$3*Pemetaan!$B$4)</f>
        <v>421</v>
      </c>
      <c r="D1323" s="0" t="n">
        <f aca="false">INT(C1323/Pemetaan!$B$4)</f>
        <v>16</v>
      </c>
      <c r="E1323" s="0" t="n">
        <f aca="false">MOD(C1323,Pemetaan!$B$4)</f>
        <v>21</v>
      </c>
      <c r="F1323" s="0" t="n">
        <f aca="false">IF(B1323="PRODUKSI",Pemetaan!$B$5,Pemetaan!$B$6)</f>
        <v>46</v>
      </c>
      <c r="G1323" s="0" t="n">
        <f aca="false">F1323+2+D1323</f>
        <v>64</v>
      </c>
      <c r="H1323" s="0" t="n">
        <f aca="false">Pemetaan!$B$2+E1323</f>
        <v>26</v>
      </c>
      <c r="I1323" s="0" t="str">
        <f aca="false">INDEX(Laporan!$A$1:$AZ$300,G1323,1)</f>
        <v>Water Treatment</v>
      </c>
      <c r="J1323" s="0" t="str">
        <f aca="false">INDEX(Laporan!$A$1:$AZ$300,G1323,2)</f>
        <v>1,5 L</v>
      </c>
      <c r="K1323" s="0" t="str">
        <f aca="false">INDEX(Laporan!$A$1:$AZ$300,G1323,3)</f>
        <v>Shift 2</v>
      </c>
      <c r="L1323" s="0" t="n">
        <f aca="false">INDEX(Laporan!$A$1:$AZ$300,G1323,4)</f>
        <v>2</v>
      </c>
      <c r="M1323" s="1" t="n">
        <f aca="false">DATE(Pemetaan!$B$1,VALUE(RIGHT(INDEX(Laporan!$A$1:$AZ$300,F1323+1,H1323),2)),VALUE(LEFT(INDEX(Laporan!$A$1:$AZ$300,F1323+1,H1323),2)))</f>
        <v>46112</v>
      </c>
      <c r="N1323" s="0" t="n">
        <f aca="false">INDEX(Laporan!$A$1:$AZ$300,G1323,H1323)</f>
        <v>1</v>
      </c>
      <c r="O1323" s="0" t="n">
        <f aca="false">IF(N1323="","",IFERROR(VALUE(SUBSTITUTE(SUBSTITUTE(N1323," btl",""),".","")),""))</f>
        <v>1</v>
      </c>
      <c r="P1323" s="0" t="str">
        <f aca="false">IF(B1323="PRODUKSI","produced","reject")</f>
        <v>reject</v>
      </c>
    </row>
    <row r="1324" customFormat="false" ht="15" hidden="false" customHeight="false" outlineLevel="0" collapsed="false">
      <c r="A1324" s="0" t="n">
        <v>1323</v>
      </c>
      <c r="B1324" s="0" t="str">
        <f aca="false">IF(A1324&lt;=36*25,"PRODUKSI","REJECT")</f>
        <v>REJECT</v>
      </c>
      <c r="C1324" s="0" t="n">
        <f aca="false">MOD(A1324-1,Pemetaan!$B$3*Pemetaan!$B$4)</f>
        <v>422</v>
      </c>
      <c r="D1324" s="0" t="n">
        <f aca="false">INT(C1324/Pemetaan!$B$4)</f>
        <v>16</v>
      </c>
      <c r="E1324" s="0" t="n">
        <f aca="false">MOD(C1324,Pemetaan!$B$4)</f>
        <v>22</v>
      </c>
      <c r="F1324" s="0" t="n">
        <f aca="false">IF(B1324="PRODUKSI",Pemetaan!$B$5,Pemetaan!$B$6)</f>
        <v>46</v>
      </c>
      <c r="G1324" s="0" t="n">
        <f aca="false">F1324+2+D1324</f>
        <v>64</v>
      </c>
      <c r="H1324" s="0" t="n">
        <f aca="false">Pemetaan!$B$2+E1324</f>
        <v>27</v>
      </c>
      <c r="I1324" s="0" t="str">
        <f aca="false">INDEX(Laporan!$A$1:$AZ$300,G1324,1)</f>
        <v>Water Treatment</v>
      </c>
      <c r="J1324" s="0" t="str">
        <f aca="false">INDEX(Laporan!$A$1:$AZ$300,G1324,2)</f>
        <v>1,5 L</v>
      </c>
      <c r="K1324" s="0" t="str">
        <f aca="false">INDEX(Laporan!$A$1:$AZ$300,G1324,3)</f>
        <v>Shift 2</v>
      </c>
      <c r="L1324" s="0" t="n">
        <f aca="false">INDEX(Laporan!$A$1:$AZ$300,G1324,4)</f>
        <v>2</v>
      </c>
      <c r="M1324" s="1" t="n">
        <f aca="false">DATE(Pemetaan!$B$1,VALUE(RIGHT(INDEX(Laporan!$A$1:$AZ$300,F1324+1,H1324),2)),VALUE(LEFT(INDEX(Laporan!$A$1:$AZ$300,F1324+1,H1324),2)))</f>
        <v>46113</v>
      </c>
      <c r="N1324" s="0" t="n">
        <f aca="false">INDEX(Laporan!$A$1:$AZ$300,G1324,H1324)</f>
        <v>7</v>
      </c>
      <c r="O1324" s="0" t="n">
        <f aca="false">IF(N1324="","",IFERROR(VALUE(SUBSTITUTE(SUBSTITUTE(N1324," btl",""),".","")),""))</f>
        <v>7</v>
      </c>
      <c r="P1324" s="0" t="str">
        <f aca="false">IF(B1324="PRODUKSI","produced","reject")</f>
        <v>reject</v>
      </c>
    </row>
    <row r="1325" customFormat="false" ht="15" hidden="false" customHeight="false" outlineLevel="0" collapsed="false">
      <c r="A1325" s="0" t="n">
        <v>1324</v>
      </c>
      <c r="B1325" s="0" t="str">
        <f aca="false">IF(A1325&lt;=36*25,"PRODUKSI","REJECT")</f>
        <v>REJECT</v>
      </c>
      <c r="C1325" s="0" t="n">
        <f aca="false">MOD(A1325-1,Pemetaan!$B$3*Pemetaan!$B$4)</f>
        <v>423</v>
      </c>
      <c r="D1325" s="0" t="n">
        <f aca="false">INT(C1325/Pemetaan!$B$4)</f>
        <v>16</v>
      </c>
      <c r="E1325" s="0" t="n">
        <f aca="false">MOD(C1325,Pemetaan!$B$4)</f>
        <v>23</v>
      </c>
      <c r="F1325" s="0" t="n">
        <f aca="false">IF(B1325="PRODUKSI",Pemetaan!$B$5,Pemetaan!$B$6)</f>
        <v>46</v>
      </c>
      <c r="G1325" s="0" t="n">
        <f aca="false">F1325+2+D1325</f>
        <v>64</v>
      </c>
      <c r="H1325" s="0" t="n">
        <f aca="false">Pemetaan!$B$2+E1325</f>
        <v>28</v>
      </c>
      <c r="I1325" s="0" t="str">
        <f aca="false">INDEX(Laporan!$A$1:$AZ$300,G1325,1)</f>
        <v>Water Treatment</v>
      </c>
      <c r="J1325" s="0" t="str">
        <f aca="false">INDEX(Laporan!$A$1:$AZ$300,G1325,2)</f>
        <v>1,5 L</v>
      </c>
      <c r="K1325" s="0" t="str">
        <f aca="false">INDEX(Laporan!$A$1:$AZ$300,G1325,3)</f>
        <v>Shift 2</v>
      </c>
      <c r="L1325" s="0" t="n">
        <f aca="false">INDEX(Laporan!$A$1:$AZ$300,G1325,4)</f>
        <v>2</v>
      </c>
      <c r="M1325" s="1" t="n">
        <f aca="false">DATE(Pemetaan!$B$1,VALUE(RIGHT(INDEX(Laporan!$A$1:$AZ$300,F1325+1,H1325),2)),VALUE(LEFT(INDEX(Laporan!$A$1:$AZ$300,F1325+1,H1325),2)))</f>
        <v>46114</v>
      </c>
      <c r="N1325" s="0" t="n">
        <f aca="false">INDEX(Laporan!$A$1:$AZ$300,G1325,H1325)</f>
        <v>3</v>
      </c>
      <c r="O1325" s="0" t="n">
        <f aca="false">IF(N1325="","",IFERROR(VALUE(SUBSTITUTE(SUBSTITUTE(N1325," btl",""),".","")),""))</f>
        <v>3</v>
      </c>
      <c r="P1325" s="0" t="str">
        <f aca="false">IF(B1325="PRODUKSI","produced","reject")</f>
        <v>reject</v>
      </c>
    </row>
    <row r="1326" customFormat="false" ht="15" hidden="false" customHeight="false" outlineLevel="0" collapsed="false">
      <c r="A1326" s="0" t="n">
        <v>1325</v>
      </c>
      <c r="B1326" s="0" t="str">
        <f aca="false">IF(A1326&lt;=36*25,"PRODUKSI","REJECT")</f>
        <v>REJECT</v>
      </c>
      <c r="C1326" s="0" t="n">
        <f aca="false">MOD(A1326-1,Pemetaan!$B$3*Pemetaan!$B$4)</f>
        <v>424</v>
      </c>
      <c r="D1326" s="0" t="n">
        <f aca="false">INT(C1326/Pemetaan!$B$4)</f>
        <v>16</v>
      </c>
      <c r="E1326" s="0" t="n">
        <f aca="false">MOD(C1326,Pemetaan!$B$4)</f>
        <v>24</v>
      </c>
      <c r="F1326" s="0" t="n">
        <f aca="false">IF(B1326="PRODUKSI",Pemetaan!$B$5,Pemetaan!$B$6)</f>
        <v>46</v>
      </c>
      <c r="G1326" s="0" t="n">
        <f aca="false">F1326+2+D1326</f>
        <v>64</v>
      </c>
      <c r="H1326" s="0" t="n">
        <f aca="false">Pemetaan!$B$2+E1326</f>
        <v>29</v>
      </c>
      <c r="I1326" s="0" t="str">
        <f aca="false">INDEX(Laporan!$A$1:$AZ$300,G1326,1)</f>
        <v>Water Treatment</v>
      </c>
      <c r="J1326" s="0" t="str">
        <f aca="false">INDEX(Laporan!$A$1:$AZ$300,G1326,2)</f>
        <v>1,5 L</v>
      </c>
      <c r="K1326" s="0" t="str">
        <f aca="false">INDEX(Laporan!$A$1:$AZ$300,G1326,3)</f>
        <v>Shift 2</v>
      </c>
      <c r="L1326" s="0" t="n">
        <f aca="false">INDEX(Laporan!$A$1:$AZ$300,G1326,4)</f>
        <v>2</v>
      </c>
      <c r="M1326" s="1" t="n">
        <f aca="false">DATE(Pemetaan!$B$1,VALUE(RIGHT(INDEX(Laporan!$A$1:$AZ$300,F1326+1,H1326),2)),VALUE(LEFT(INDEX(Laporan!$A$1:$AZ$300,F1326+1,H1326),2)))</f>
        <v>46115</v>
      </c>
      <c r="N1326" s="0" t="n">
        <f aca="false">INDEX(Laporan!$A$1:$AZ$300,G1326,H1326)</f>
        <v>8</v>
      </c>
      <c r="O1326" s="0" t="n">
        <f aca="false">IF(N1326="","",IFERROR(VALUE(SUBSTITUTE(SUBSTITUTE(N1326," btl",""),".","")),""))</f>
        <v>8</v>
      </c>
      <c r="P1326" s="0" t="str">
        <f aca="false">IF(B1326="PRODUKSI","produced","reject")</f>
        <v>reject</v>
      </c>
    </row>
    <row r="1327" customFormat="false" ht="15" hidden="false" customHeight="false" outlineLevel="0" collapsed="false">
      <c r="A1327" s="0" t="n">
        <v>1326</v>
      </c>
      <c r="B1327" s="0" t="str">
        <f aca="false">IF(A1327&lt;=36*25,"PRODUKSI","REJECT")</f>
        <v>REJECT</v>
      </c>
      <c r="C1327" s="0" t="n">
        <f aca="false">MOD(A1327-1,Pemetaan!$B$3*Pemetaan!$B$4)</f>
        <v>425</v>
      </c>
      <c r="D1327" s="0" t="n">
        <f aca="false">INT(C1327/Pemetaan!$B$4)</f>
        <v>17</v>
      </c>
      <c r="E1327" s="0" t="n">
        <f aca="false">MOD(C1327,Pemetaan!$B$4)</f>
        <v>0</v>
      </c>
      <c r="F1327" s="0" t="n">
        <f aca="false">IF(B1327="PRODUKSI",Pemetaan!$B$5,Pemetaan!$B$6)</f>
        <v>46</v>
      </c>
      <c r="G1327" s="0" t="n">
        <f aca="false">F1327+2+D1327</f>
        <v>65</v>
      </c>
      <c r="H1327" s="0" t="n">
        <f aca="false">Pemetaan!$B$2+E1327</f>
        <v>5</v>
      </c>
      <c r="I1327" s="0" t="str">
        <f aca="false">INDEX(Laporan!$A$1:$AZ$300,G1327,1)</f>
        <v>Water Treatment</v>
      </c>
      <c r="J1327" s="0" t="str">
        <f aca="false">INDEX(Laporan!$A$1:$AZ$300,G1327,2)</f>
        <v>1,5 L</v>
      </c>
      <c r="K1327" s="0" t="str">
        <f aca="false">INDEX(Laporan!$A$1:$AZ$300,G1327,3)</f>
        <v>Shift 2</v>
      </c>
      <c r="L1327" s="0" t="n">
        <f aca="false">INDEX(Laporan!$A$1:$AZ$300,G1327,4)</f>
        <v>3</v>
      </c>
      <c r="M1327" s="1" t="n">
        <f aca="false">DATE(Pemetaan!$B$1,VALUE(RIGHT(INDEX(Laporan!$A$1:$AZ$300,F1327+1,H1327),2)),VALUE(LEFT(INDEX(Laporan!$A$1:$AZ$300,F1327+1,H1327),2)))</f>
        <v>46083</v>
      </c>
      <c r="N1327" s="0" t="n">
        <f aca="false">INDEX(Laporan!$A$1:$AZ$300,G1327,H1327)</f>
        <v>5</v>
      </c>
      <c r="O1327" s="0" t="n">
        <f aca="false">IF(N1327="","",IFERROR(VALUE(SUBSTITUTE(SUBSTITUTE(N1327," btl",""),".","")),""))</f>
        <v>5</v>
      </c>
      <c r="P1327" s="0" t="str">
        <f aca="false">IF(B1327="PRODUKSI","produced","reject")</f>
        <v>reject</v>
      </c>
    </row>
    <row r="1328" customFormat="false" ht="15" hidden="false" customHeight="false" outlineLevel="0" collapsed="false">
      <c r="A1328" s="0" t="n">
        <v>1327</v>
      </c>
      <c r="B1328" s="0" t="str">
        <f aca="false">IF(A1328&lt;=36*25,"PRODUKSI","REJECT")</f>
        <v>REJECT</v>
      </c>
      <c r="C1328" s="0" t="n">
        <f aca="false">MOD(A1328-1,Pemetaan!$B$3*Pemetaan!$B$4)</f>
        <v>426</v>
      </c>
      <c r="D1328" s="0" t="n">
        <f aca="false">INT(C1328/Pemetaan!$B$4)</f>
        <v>17</v>
      </c>
      <c r="E1328" s="0" t="n">
        <f aca="false">MOD(C1328,Pemetaan!$B$4)</f>
        <v>1</v>
      </c>
      <c r="F1328" s="0" t="n">
        <f aca="false">IF(B1328="PRODUKSI",Pemetaan!$B$5,Pemetaan!$B$6)</f>
        <v>46</v>
      </c>
      <c r="G1328" s="0" t="n">
        <f aca="false">F1328+2+D1328</f>
        <v>65</v>
      </c>
      <c r="H1328" s="0" t="n">
        <f aca="false">Pemetaan!$B$2+E1328</f>
        <v>6</v>
      </c>
      <c r="I1328" s="0" t="str">
        <f aca="false">INDEX(Laporan!$A$1:$AZ$300,G1328,1)</f>
        <v>Water Treatment</v>
      </c>
      <c r="J1328" s="0" t="str">
        <f aca="false">INDEX(Laporan!$A$1:$AZ$300,G1328,2)</f>
        <v>1,5 L</v>
      </c>
      <c r="K1328" s="0" t="str">
        <f aca="false">INDEX(Laporan!$A$1:$AZ$300,G1328,3)</f>
        <v>Shift 2</v>
      </c>
      <c r="L1328" s="0" t="n">
        <f aca="false">INDEX(Laporan!$A$1:$AZ$300,G1328,4)</f>
        <v>3</v>
      </c>
      <c r="M1328" s="1" t="n">
        <f aca="false">DATE(Pemetaan!$B$1,VALUE(RIGHT(INDEX(Laporan!$A$1:$AZ$300,F1328+1,H1328),2)),VALUE(LEFT(INDEX(Laporan!$A$1:$AZ$300,F1328+1,H1328),2)))</f>
        <v>46084</v>
      </c>
      <c r="N1328" s="0" t="n">
        <f aca="false">INDEX(Laporan!$A$1:$AZ$300,G1328,H1328)</f>
        <v>8</v>
      </c>
      <c r="O1328" s="0" t="n">
        <f aca="false">IF(N1328="","",IFERROR(VALUE(SUBSTITUTE(SUBSTITUTE(N1328," btl",""),".","")),""))</f>
        <v>8</v>
      </c>
      <c r="P1328" s="0" t="str">
        <f aca="false">IF(B1328="PRODUKSI","produced","reject")</f>
        <v>reject</v>
      </c>
    </row>
    <row r="1329" customFormat="false" ht="15" hidden="false" customHeight="false" outlineLevel="0" collapsed="false">
      <c r="A1329" s="0" t="n">
        <v>1328</v>
      </c>
      <c r="B1329" s="0" t="str">
        <f aca="false">IF(A1329&lt;=36*25,"PRODUKSI","REJECT")</f>
        <v>REJECT</v>
      </c>
      <c r="C1329" s="0" t="n">
        <f aca="false">MOD(A1329-1,Pemetaan!$B$3*Pemetaan!$B$4)</f>
        <v>427</v>
      </c>
      <c r="D1329" s="0" t="n">
        <f aca="false">INT(C1329/Pemetaan!$B$4)</f>
        <v>17</v>
      </c>
      <c r="E1329" s="0" t="n">
        <f aca="false">MOD(C1329,Pemetaan!$B$4)</f>
        <v>2</v>
      </c>
      <c r="F1329" s="0" t="n">
        <f aca="false">IF(B1329="PRODUKSI",Pemetaan!$B$5,Pemetaan!$B$6)</f>
        <v>46</v>
      </c>
      <c r="G1329" s="0" t="n">
        <f aca="false">F1329+2+D1329</f>
        <v>65</v>
      </c>
      <c r="H1329" s="0" t="n">
        <f aca="false">Pemetaan!$B$2+E1329</f>
        <v>7</v>
      </c>
      <c r="I1329" s="0" t="str">
        <f aca="false">INDEX(Laporan!$A$1:$AZ$300,G1329,1)</f>
        <v>Water Treatment</v>
      </c>
      <c r="J1329" s="0" t="str">
        <f aca="false">INDEX(Laporan!$A$1:$AZ$300,G1329,2)</f>
        <v>1,5 L</v>
      </c>
      <c r="K1329" s="0" t="str">
        <f aca="false">INDEX(Laporan!$A$1:$AZ$300,G1329,3)</f>
        <v>Shift 2</v>
      </c>
      <c r="L1329" s="0" t="n">
        <f aca="false">INDEX(Laporan!$A$1:$AZ$300,G1329,4)</f>
        <v>3</v>
      </c>
      <c r="M1329" s="1" t="n">
        <f aca="false">DATE(Pemetaan!$B$1,VALUE(RIGHT(INDEX(Laporan!$A$1:$AZ$300,F1329+1,H1329),2)),VALUE(LEFT(INDEX(Laporan!$A$1:$AZ$300,F1329+1,H1329),2)))</f>
        <v>46085</v>
      </c>
      <c r="N1329" s="0" t="n">
        <f aca="false">INDEX(Laporan!$A$1:$AZ$300,G1329,H1329)</f>
        <v>7</v>
      </c>
      <c r="O1329" s="0" t="n">
        <f aca="false">IF(N1329="","",IFERROR(VALUE(SUBSTITUTE(SUBSTITUTE(N1329," btl",""),".","")),""))</f>
        <v>7</v>
      </c>
      <c r="P1329" s="0" t="str">
        <f aca="false">IF(B1329="PRODUKSI","produced","reject")</f>
        <v>reject</v>
      </c>
    </row>
    <row r="1330" customFormat="false" ht="15" hidden="false" customHeight="false" outlineLevel="0" collapsed="false">
      <c r="A1330" s="0" t="n">
        <v>1329</v>
      </c>
      <c r="B1330" s="0" t="str">
        <f aca="false">IF(A1330&lt;=36*25,"PRODUKSI","REJECT")</f>
        <v>REJECT</v>
      </c>
      <c r="C1330" s="0" t="n">
        <f aca="false">MOD(A1330-1,Pemetaan!$B$3*Pemetaan!$B$4)</f>
        <v>428</v>
      </c>
      <c r="D1330" s="0" t="n">
        <f aca="false">INT(C1330/Pemetaan!$B$4)</f>
        <v>17</v>
      </c>
      <c r="E1330" s="0" t="n">
        <f aca="false">MOD(C1330,Pemetaan!$B$4)</f>
        <v>3</v>
      </c>
      <c r="F1330" s="0" t="n">
        <f aca="false">IF(B1330="PRODUKSI",Pemetaan!$B$5,Pemetaan!$B$6)</f>
        <v>46</v>
      </c>
      <c r="G1330" s="0" t="n">
        <f aca="false">F1330+2+D1330</f>
        <v>65</v>
      </c>
      <c r="H1330" s="0" t="n">
        <f aca="false">Pemetaan!$B$2+E1330</f>
        <v>8</v>
      </c>
      <c r="I1330" s="0" t="str">
        <f aca="false">INDEX(Laporan!$A$1:$AZ$300,G1330,1)</f>
        <v>Water Treatment</v>
      </c>
      <c r="J1330" s="0" t="str">
        <f aca="false">INDEX(Laporan!$A$1:$AZ$300,G1330,2)</f>
        <v>1,5 L</v>
      </c>
      <c r="K1330" s="0" t="str">
        <f aca="false">INDEX(Laporan!$A$1:$AZ$300,G1330,3)</f>
        <v>Shift 2</v>
      </c>
      <c r="L1330" s="0" t="n">
        <f aca="false">INDEX(Laporan!$A$1:$AZ$300,G1330,4)</f>
        <v>3</v>
      </c>
      <c r="M1330" s="1" t="n">
        <f aca="false">DATE(Pemetaan!$B$1,VALUE(RIGHT(INDEX(Laporan!$A$1:$AZ$300,F1330+1,H1330),2)),VALUE(LEFT(INDEX(Laporan!$A$1:$AZ$300,F1330+1,H1330),2)))</f>
        <v>46086</v>
      </c>
      <c r="N1330" s="0" t="n">
        <f aca="false">INDEX(Laporan!$A$1:$AZ$300,G1330,H1330)</f>
        <v>6</v>
      </c>
      <c r="O1330" s="0" t="n">
        <f aca="false">IF(N1330="","",IFERROR(VALUE(SUBSTITUTE(SUBSTITUTE(N1330," btl",""),".","")),""))</f>
        <v>6</v>
      </c>
      <c r="P1330" s="0" t="str">
        <f aca="false">IF(B1330="PRODUKSI","produced","reject")</f>
        <v>reject</v>
      </c>
    </row>
    <row r="1331" customFormat="false" ht="15" hidden="false" customHeight="false" outlineLevel="0" collapsed="false">
      <c r="A1331" s="0" t="n">
        <v>1330</v>
      </c>
      <c r="B1331" s="0" t="str">
        <f aca="false">IF(A1331&lt;=36*25,"PRODUKSI","REJECT")</f>
        <v>REJECT</v>
      </c>
      <c r="C1331" s="0" t="n">
        <f aca="false">MOD(A1331-1,Pemetaan!$B$3*Pemetaan!$B$4)</f>
        <v>429</v>
      </c>
      <c r="D1331" s="0" t="n">
        <f aca="false">INT(C1331/Pemetaan!$B$4)</f>
        <v>17</v>
      </c>
      <c r="E1331" s="0" t="n">
        <f aca="false">MOD(C1331,Pemetaan!$B$4)</f>
        <v>4</v>
      </c>
      <c r="F1331" s="0" t="n">
        <f aca="false">IF(B1331="PRODUKSI",Pemetaan!$B$5,Pemetaan!$B$6)</f>
        <v>46</v>
      </c>
      <c r="G1331" s="0" t="n">
        <f aca="false">F1331+2+D1331</f>
        <v>65</v>
      </c>
      <c r="H1331" s="0" t="n">
        <f aca="false">Pemetaan!$B$2+E1331</f>
        <v>9</v>
      </c>
      <c r="I1331" s="0" t="str">
        <f aca="false">INDEX(Laporan!$A$1:$AZ$300,G1331,1)</f>
        <v>Water Treatment</v>
      </c>
      <c r="J1331" s="0" t="str">
        <f aca="false">INDEX(Laporan!$A$1:$AZ$300,G1331,2)</f>
        <v>1,5 L</v>
      </c>
      <c r="K1331" s="0" t="str">
        <f aca="false">INDEX(Laporan!$A$1:$AZ$300,G1331,3)</f>
        <v>Shift 2</v>
      </c>
      <c r="L1331" s="0" t="n">
        <f aca="false">INDEX(Laporan!$A$1:$AZ$300,G1331,4)</f>
        <v>3</v>
      </c>
      <c r="M1331" s="1" t="n">
        <f aca="false">DATE(Pemetaan!$B$1,VALUE(RIGHT(INDEX(Laporan!$A$1:$AZ$300,F1331+1,H1331),2)),VALUE(LEFT(INDEX(Laporan!$A$1:$AZ$300,F1331+1,H1331),2)))</f>
        <v>46087</v>
      </c>
      <c r="N1331" s="0" t="n">
        <f aca="false">INDEX(Laporan!$A$1:$AZ$300,G1331,H1331)</f>
        <v>4</v>
      </c>
      <c r="O1331" s="0" t="n">
        <f aca="false">IF(N1331="","",IFERROR(VALUE(SUBSTITUTE(SUBSTITUTE(N1331," btl",""),".","")),""))</f>
        <v>4</v>
      </c>
      <c r="P1331" s="0" t="str">
        <f aca="false">IF(B1331="PRODUKSI","produced","reject")</f>
        <v>reject</v>
      </c>
    </row>
    <row r="1332" customFormat="false" ht="15" hidden="false" customHeight="false" outlineLevel="0" collapsed="false">
      <c r="A1332" s="0" t="n">
        <v>1331</v>
      </c>
      <c r="B1332" s="0" t="str">
        <f aca="false">IF(A1332&lt;=36*25,"PRODUKSI","REJECT")</f>
        <v>REJECT</v>
      </c>
      <c r="C1332" s="0" t="n">
        <f aca="false">MOD(A1332-1,Pemetaan!$B$3*Pemetaan!$B$4)</f>
        <v>430</v>
      </c>
      <c r="D1332" s="0" t="n">
        <f aca="false">INT(C1332/Pemetaan!$B$4)</f>
        <v>17</v>
      </c>
      <c r="E1332" s="0" t="n">
        <f aca="false">MOD(C1332,Pemetaan!$B$4)</f>
        <v>5</v>
      </c>
      <c r="F1332" s="0" t="n">
        <f aca="false">IF(B1332="PRODUKSI",Pemetaan!$B$5,Pemetaan!$B$6)</f>
        <v>46</v>
      </c>
      <c r="G1332" s="0" t="n">
        <f aca="false">F1332+2+D1332</f>
        <v>65</v>
      </c>
      <c r="H1332" s="0" t="n">
        <f aca="false">Pemetaan!$B$2+E1332</f>
        <v>10</v>
      </c>
      <c r="I1332" s="0" t="str">
        <f aca="false">INDEX(Laporan!$A$1:$AZ$300,G1332,1)</f>
        <v>Water Treatment</v>
      </c>
      <c r="J1332" s="0" t="str">
        <f aca="false">INDEX(Laporan!$A$1:$AZ$300,G1332,2)</f>
        <v>1,5 L</v>
      </c>
      <c r="K1332" s="0" t="str">
        <f aca="false">INDEX(Laporan!$A$1:$AZ$300,G1332,3)</f>
        <v>Shift 2</v>
      </c>
      <c r="L1332" s="0" t="n">
        <f aca="false">INDEX(Laporan!$A$1:$AZ$300,G1332,4)</f>
        <v>3</v>
      </c>
      <c r="M1332" s="1" t="n">
        <f aca="false">DATE(Pemetaan!$B$1,VALUE(RIGHT(INDEX(Laporan!$A$1:$AZ$300,F1332+1,H1332),2)),VALUE(LEFT(INDEX(Laporan!$A$1:$AZ$300,F1332+1,H1332),2)))</f>
        <v>46090</v>
      </c>
      <c r="N1332" s="0" t="n">
        <f aca="false">INDEX(Laporan!$A$1:$AZ$300,G1332,H1332)</f>
        <v>12</v>
      </c>
      <c r="O1332" s="0" t="n">
        <f aca="false">IF(N1332="","",IFERROR(VALUE(SUBSTITUTE(SUBSTITUTE(N1332," btl",""),".","")),""))</f>
        <v>12</v>
      </c>
      <c r="P1332" s="0" t="str">
        <f aca="false">IF(B1332="PRODUKSI","produced","reject")</f>
        <v>reject</v>
      </c>
    </row>
    <row r="1333" customFormat="false" ht="15" hidden="false" customHeight="false" outlineLevel="0" collapsed="false">
      <c r="A1333" s="0" t="n">
        <v>1332</v>
      </c>
      <c r="B1333" s="0" t="str">
        <f aca="false">IF(A1333&lt;=36*25,"PRODUKSI","REJECT")</f>
        <v>REJECT</v>
      </c>
      <c r="C1333" s="0" t="n">
        <f aca="false">MOD(A1333-1,Pemetaan!$B$3*Pemetaan!$B$4)</f>
        <v>431</v>
      </c>
      <c r="D1333" s="0" t="n">
        <f aca="false">INT(C1333/Pemetaan!$B$4)</f>
        <v>17</v>
      </c>
      <c r="E1333" s="0" t="n">
        <f aca="false">MOD(C1333,Pemetaan!$B$4)</f>
        <v>6</v>
      </c>
      <c r="F1333" s="0" t="n">
        <f aca="false">IF(B1333="PRODUKSI",Pemetaan!$B$5,Pemetaan!$B$6)</f>
        <v>46</v>
      </c>
      <c r="G1333" s="0" t="n">
        <f aca="false">F1333+2+D1333</f>
        <v>65</v>
      </c>
      <c r="H1333" s="0" t="n">
        <f aca="false">Pemetaan!$B$2+E1333</f>
        <v>11</v>
      </c>
      <c r="I1333" s="0" t="str">
        <f aca="false">INDEX(Laporan!$A$1:$AZ$300,G1333,1)</f>
        <v>Water Treatment</v>
      </c>
      <c r="J1333" s="0" t="str">
        <f aca="false">INDEX(Laporan!$A$1:$AZ$300,G1333,2)</f>
        <v>1,5 L</v>
      </c>
      <c r="K1333" s="0" t="str">
        <f aca="false">INDEX(Laporan!$A$1:$AZ$300,G1333,3)</f>
        <v>Shift 2</v>
      </c>
      <c r="L1333" s="0" t="n">
        <f aca="false">INDEX(Laporan!$A$1:$AZ$300,G1333,4)</f>
        <v>3</v>
      </c>
      <c r="M1333" s="1" t="n">
        <f aca="false">DATE(Pemetaan!$B$1,VALUE(RIGHT(INDEX(Laporan!$A$1:$AZ$300,F1333+1,H1333),2)),VALUE(LEFT(INDEX(Laporan!$A$1:$AZ$300,F1333+1,H1333),2)))</f>
        <v>46091</v>
      </c>
      <c r="N1333" s="0" t="n">
        <f aca="false">INDEX(Laporan!$A$1:$AZ$300,G1333,H1333)</f>
        <v>10</v>
      </c>
      <c r="O1333" s="0" t="n">
        <f aca="false">IF(N1333="","",IFERROR(VALUE(SUBSTITUTE(SUBSTITUTE(N1333," btl",""),".","")),""))</f>
        <v>10</v>
      </c>
      <c r="P1333" s="0" t="str">
        <f aca="false">IF(B1333="PRODUKSI","produced","reject")</f>
        <v>reject</v>
      </c>
    </row>
    <row r="1334" customFormat="false" ht="15" hidden="false" customHeight="false" outlineLevel="0" collapsed="false">
      <c r="A1334" s="0" t="n">
        <v>1333</v>
      </c>
      <c r="B1334" s="0" t="str">
        <f aca="false">IF(A1334&lt;=36*25,"PRODUKSI","REJECT")</f>
        <v>REJECT</v>
      </c>
      <c r="C1334" s="0" t="n">
        <f aca="false">MOD(A1334-1,Pemetaan!$B$3*Pemetaan!$B$4)</f>
        <v>432</v>
      </c>
      <c r="D1334" s="0" t="n">
        <f aca="false">INT(C1334/Pemetaan!$B$4)</f>
        <v>17</v>
      </c>
      <c r="E1334" s="0" t="n">
        <f aca="false">MOD(C1334,Pemetaan!$B$4)</f>
        <v>7</v>
      </c>
      <c r="F1334" s="0" t="n">
        <f aca="false">IF(B1334="PRODUKSI",Pemetaan!$B$5,Pemetaan!$B$6)</f>
        <v>46</v>
      </c>
      <c r="G1334" s="0" t="n">
        <f aca="false">F1334+2+D1334</f>
        <v>65</v>
      </c>
      <c r="H1334" s="0" t="n">
        <f aca="false">Pemetaan!$B$2+E1334</f>
        <v>12</v>
      </c>
      <c r="I1334" s="0" t="str">
        <f aca="false">INDEX(Laporan!$A$1:$AZ$300,G1334,1)</f>
        <v>Water Treatment</v>
      </c>
      <c r="J1334" s="0" t="str">
        <f aca="false">INDEX(Laporan!$A$1:$AZ$300,G1334,2)</f>
        <v>1,5 L</v>
      </c>
      <c r="K1334" s="0" t="str">
        <f aca="false">INDEX(Laporan!$A$1:$AZ$300,G1334,3)</f>
        <v>Shift 2</v>
      </c>
      <c r="L1334" s="0" t="n">
        <f aca="false">INDEX(Laporan!$A$1:$AZ$300,G1334,4)</f>
        <v>3</v>
      </c>
      <c r="M1334" s="1" t="n">
        <f aca="false">DATE(Pemetaan!$B$1,VALUE(RIGHT(INDEX(Laporan!$A$1:$AZ$300,F1334+1,H1334),2)),VALUE(LEFT(INDEX(Laporan!$A$1:$AZ$300,F1334+1,H1334),2)))</f>
        <v>46092</v>
      </c>
      <c r="N1334" s="0" t="n">
        <f aca="false">INDEX(Laporan!$A$1:$AZ$300,G1334,H1334)</f>
        <v>5</v>
      </c>
      <c r="O1334" s="0" t="n">
        <f aca="false">IF(N1334="","",IFERROR(VALUE(SUBSTITUTE(SUBSTITUTE(N1334," btl",""),".","")),""))</f>
        <v>5</v>
      </c>
      <c r="P1334" s="0" t="str">
        <f aca="false">IF(B1334="PRODUKSI","produced","reject")</f>
        <v>reject</v>
      </c>
    </row>
    <row r="1335" customFormat="false" ht="15" hidden="false" customHeight="false" outlineLevel="0" collapsed="false">
      <c r="A1335" s="0" t="n">
        <v>1334</v>
      </c>
      <c r="B1335" s="0" t="str">
        <f aca="false">IF(A1335&lt;=36*25,"PRODUKSI","REJECT")</f>
        <v>REJECT</v>
      </c>
      <c r="C1335" s="0" t="n">
        <f aca="false">MOD(A1335-1,Pemetaan!$B$3*Pemetaan!$B$4)</f>
        <v>433</v>
      </c>
      <c r="D1335" s="0" t="n">
        <f aca="false">INT(C1335/Pemetaan!$B$4)</f>
        <v>17</v>
      </c>
      <c r="E1335" s="0" t="n">
        <f aca="false">MOD(C1335,Pemetaan!$B$4)</f>
        <v>8</v>
      </c>
      <c r="F1335" s="0" t="n">
        <f aca="false">IF(B1335="PRODUKSI",Pemetaan!$B$5,Pemetaan!$B$6)</f>
        <v>46</v>
      </c>
      <c r="G1335" s="0" t="n">
        <f aca="false">F1335+2+D1335</f>
        <v>65</v>
      </c>
      <c r="H1335" s="0" t="n">
        <f aca="false">Pemetaan!$B$2+E1335</f>
        <v>13</v>
      </c>
      <c r="I1335" s="0" t="str">
        <f aca="false">INDEX(Laporan!$A$1:$AZ$300,G1335,1)</f>
        <v>Water Treatment</v>
      </c>
      <c r="J1335" s="0" t="str">
        <f aca="false">INDEX(Laporan!$A$1:$AZ$300,G1335,2)</f>
        <v>1,5 L</v>
      </c>
      <c r="K1335" s="0" t="str">
        <f aca="false">INDEX(Laporan!$A$1:$AZ$300,G1335,3)</f>
        <v>Shift 2</v>
      </c>
      <c r="L1335" s="0" t="n">
        <f aca="false">INDEX(Laporan!$A$1:$AZ$300,G1335,4)</f>
        <v>3</v>
      </c>
      <c r="M1335" s="1" t="n">
        <f aca="false">DATE(Pemetaan!$B$1,VALUE(RIGHT(INDEX(Laporan!$A$1:$AZ$300,F1335+1,H1335),2)),VALUE(LEFT(INDEX(Laporan!$A$1:$AZ$300,F1335+1,H1335),2)))</f>
        <v>46093</v>
      </c>
      <c r="N1335" s="0" t="n">
        <f aca="false">INDEX(Laporan!$A$1:$AZ$300,G1335,H1335)</f>
        <v>7</v>
      </c>
      <c r="O1335" s="0" t="n">
        <f aca="false">IF(N1335="","",IFERROR(VALUE(SUBSTITUTE(SUBSTITUTE(N1335," btl",""),".","")),""))</f>
        <v>7</v>
      </c>
      <c r="P1335" s="0" t="str">
        <f aca="false">IF(B1335="PRODUKSI","produced","reject")</f>
        <v>reject</v>
      </c>
    </row>
    <row r="1336" customFormat="false" ht="15" hidden="false" customHeight="false" outlineLevel="0" collapsed="false">
      <c r="A1336" s="0" t="n">
        <v>1335</v>
      </c>
      <c r="B1336" s="0" t="str">
        <f aca="false">IF(A1336&lt;=36*25,"PRODUKSI","REJECT")</f>
        <v>REJECT</v>
      </c>
      <c r="C1336" s="0" t="n">
        <f aca="false">MOD(A1336-1,Pemetaan!$B$3*Pemetaan!$B$4)</f>
        <v>434</v>
      </c>
      <c r="D1336" s="0" t="n">
        <f aca="false">INT(C1336/Pemetaan!$B$4)</f>
        <v>17</v>
      </c>
      <c r="E1336" s="0" t="n">
        <f aca="false">MOD(C1336,Pemetaan!$B$4)</f>
        <v>9</v>
      </c>
      <c r="F1336" s="0" t="n">
        <f aca="false">IF(B1336="PRODUKSI",Pemetaan!$B$5,Pemetaan!$B$6)</f>
        <v>46</v>
      </c>
      <c r="G1336" s="0" t="n">
        <f aca="false">F1336+2+D1336</f>
        <v>65</v>
      </c>
      <c r="H1336" s="0" t="n">
        <f aca="false">Pemetaan!$B$2+E1336</f>
        <v>14</v>
      </c>
      <c r="I1336" s="0" t="str">
        <f aca="false">INDEX(Laporan!$A$1:$AZ$300,G1336,1)</f>
        <v>Water Treatment</v>
      </c>
      <c r="J1336" s="0" t="str">
        <f aca="false">INDEX(Laporan!$A$1:$AZ$300,G1336,2)</f>
        <v>1,5 L</v>
      </c>
      <c r="K1336" s="0" t="str">
        <f aca="false">INDEX(Laporan!$A$1:$AZ$300,G1336,3)</f>
        <v>Shift 2</v>
      </c>
      <c r="L1336" s="0" t="n">
        <f aca="false">INDEX(Laporan!$A$1:$AZ$300,G1336,4)</f>
        <v>3</v>
      </c>
      <c r="M1336" s="1" t="n">
        <f aca="false">DATE(Pemetaan!$B$1,VALUE(RIGHT(INDEX(Laporan!$A$1:$AZ$300,F1336+1,H1336),2)),VALUE(LEFT(INDEX(Laporan!$A$1:$AZ$300,F1336+1,H1336),2)))</f>
        <v>46094</v>
      </c>
      <c r="N1336" s="0" t="n">
        <f aca="false">INDEX(Laporan!$A$1:$AZ$300,G1336,H1336)</f>
        <v>5</v>
      </c>
      <c r="O1336" s="0" t="n">
        <f aca="false">IF(N1336="","",IFERROR(VALUE(SUBSTITUTE(SUBSTITUTE(N1336," btl",""),".","")),""))</f>
        <v>5</v>
      </c>
      <c r="P1336" s="0" t="str">
        <f aca="false">IF(B1336="PRODUKSI","produced","reject")</f>
        <v>reject</v>
      </c>
    </row>
    <row r="1337" customFormat="false" ht="15" hidden="false" customHeight="false" outlineLevel="0" collapsed="false">
      <c r="A1337" s="0" t="n">
        <v>1336</v>
      </c>
      <c r="B1337" s="0" t="str">
        <f aca="false">IF(A1337&lt;=36*25,"PRODUKSI","REJECT")</f>
        <v>REJECT</v>
      </c>
      <c r="C1337" s="0" t="n">
        <f aca="false">MOD(A1337-1,Pemetaan!$B$3*Pemetaan!$B$4)</f>
        <v>435</v>
      </c>
      <c r="D1337" s="0" t="n">
        <f aca="false">INT(C1337/Pemetaan!$B$4)</f>
        <v>17</v>
      </c>
      <c r="E1337" s="0" t="n">
        <f aca="false">MOD(C1337,Pemetaan!$B$4)</f>
        <v>10</v>
      </c>
      <c r="F1337" s="0" t="n">
        <f aca="false">IF(B1337="PRODUKSI",Pemetaan!$B$5,Pemetaan!$B$6)</f>
        <v>46</v>
      </c>
      <c r="G1337" s="0" t="n">
        <f aca="false">F1337+2+D1337</f>
        <v>65</v>
      </c>
      <c r="H1337" s="0" t="n">
        <f aca="false">Pemetaan!$B$2+E1337</f>
        <v>15</v>
      </c>
      <c r="I1337" s="0" t="str">
        <f aca="false">INDEX(Laporan!$A$1:$AZ$300,G1337,1)</f>
        <v>Water Treatment</v>
      </c>
      <c r="J1337" s="0" t="str">
        <f aca="false">INDEX(Laporan!$A$1:$AZ$300,G1337,2)</f>
        <v>1,5 L</v>
      </c>
      <c r="K1337" s="0" t="str">
        <f aca="false">INDEX(Laporan!$A$1:$AZ$300,G1337,3)</f>
        <v>Shift 2</v>
      </c>
      <c r="L1337" s="0" t="n">
        <f aca="false">INDEX(Laporan!$A$1:$AZ$300,G1337,4)</f>
        <v>3</v>
      </c>
      <c r="M1337" s="1" t="n">
        <f aca="false">DATE(Pemetaan!$B$1,VALUE(RIGHT(INDEX(Laporan!$A$1:$AZ$300,F1337+1,H1337),2)),VALUE(LEFT(INDEX(Laporan!$A$1:$AZ$300,F1337+1,H1337),2)))</f>
        <v>46097</v>
      </c>
      <c r="N1337" s="0" t="n">
        <f aca="false">INDEX(Laporan!$A$1:$AZ$300,G1337,H1337)</f>
        <v>6</v>
      </c>
      <c r="O1337" s="0" t="n">
        <f aca="false">IF(N1337="","",IFERROR(VALUE(SUBSTITUTE(SUBSTITUTE(N1337," btl",""),".","")),""))</f>
        <v>6</v>
      </c>
      <c r="P1337" s="0" t="str">
        <f aca="false">IF(B1337="PRODUKSI","produced","reject")</f>
        <v>reject</v>
      </c>
    </row>
    <row r="1338" customFormat="false" ht="15" hidden="false" customHeight="false" outlineLevel="0" collapsed="false">
      <c r="A1338" s="0" t="n">
        <v>1337</v>
      </c>
      <c r="B1338" s="0" t="str">
        <f aca="false">IF(A1338&lt;=36*25,"PRODUKSI","REJECT")</f>
        <v>REJECT</v>
      </c>
      <c r="C1338" s="0" t="n">
        <f aca="false">MOD(A1338-1,Pemetaan!$B$3*Pemetaan!$B$4)</f>
        <v>436</v>
      </c>
      <c r="D1338" s="0" t="n">
        <f aca="false">INT(C1338/Pemetaan!$B$4)</f>
        <v>17</v>
      </c>
      <c r="E1338" s="0" t="n">
        <f aca="false">MOD(C1338,Pemetaan!$B$4)</f>
        <v>11</v>
      </c>
      <c r="F1338" s="0" t="n">
        <f aca="false">IF(B1338="PRODUKSI",Pemetaan!$B$5,Pemetaan!$B$6)</f>
        <v>46</v>
      </c>
      <c r="G1338" s="0" t="n">
        <f aca="false">F1338+2+D1338</f>
        <v>65</v>
      </c>
      <c r="H1338" s="0" t="n">
        <f aca="false">Pemetaan!$B$2+E1338</f>
        <v>16</v>
      </c>
      <c r="I1338" s="0" t="str">
        <f aca="false">INDEX(Laporan!$A$1:$AZ$300,G1338,1)</f>
        <v>Water Treatment</v>
      </c>
      <c r="J1338" s="0" t="str">
        <f aca="false">INDEX(Laporan!$A$1:$AZ$300,G1338,2)</f>
        <v>1,5 L</v>
      </c>
      <c r="K1338" s="0" t="str">
        <f aca="false">INDEX(Laporan!$A$1:$AZ$300,G1338,3)</f>
        <v>Shift 2</v>
      </c>
      <c r="L1338" s="0" t="n">
        <f aca="false">INDEX(Laporan!$A$1:$AZ$300,G1338,4)</f>
        <v>3</v>
      </c>
      <c r="M1338" s="1" t="n">
        <f aca="false">DATE(Pemetaan!$B$1,VALUE(RIGHT(INDEX(Laporan!$A$1:$AZ$300,F1338+1,H1338),2)),VALUE(LEFT(INDEX(Laporan!$A$1:$AZ$300,F1338+1,H1338),2)))</f>
        <v>46098</v>
      </c>
      <c r="N1338" s="0" t="n">
        <f aca="false">INDEX(Laporan!$A$1:$AZ$300,G1338,H1338)</f>
        <v>4</v>
      </c>
      <c r="O1338" s="0" t="n">
        <f aca="false">IF(N1338="","",IFERROR(VALUE(SUBSTITUTE(SUBSTITUTE(N1338," btl",""),".","")),""))</f>
        <v>4</v>
      </c>
      <c r="P1338" s="0" t="str">
        <f aca="false">IF(B1338="PRODUKSI","produced","reject")</f>
        <v>reject</v>
      </c>
    </row>
    <row r="1339" customFormat="false" ht="15" hidden="false" customHeight="false" outlineLevel="0" collapsed="false">
      <c r="A1339" s="0" t="n">
        <v>1338</v>
      </c>
      <c r="B1339" s="0" t="str">
        <f aca="false">IF(A1339&lt;=36*25,"PRODUKSI","REJECT")</f>
        <v>REJECT</v>
      </c>
      <c r="C1339" s="0" t="n">
        <f aca="false">MOD(A1339-1,Pemetaan!$B$3*Pemetaan!$B$4)</f>
        <v>437</v>
      </c>
      <c r="D1339" s="0" t="n">
        <f aca="false">INT(C1339/Pemetaan!$B$4)</f>
        <v>17</v>
      </c>
      <c r="E1339" s="0" t="n">
        <f aca="false">MOD(C1339,Pemetaan!$B$4)</f>
        <v>12</v>
      </c>
      <c r="F1339" s="0" t="n">
        <f aca="false">IF(B1339="PRODUKSI",Pemetaan!$B$5,Pemetaan!$B$6)</f>
        <v>46</v>
      </c>
      <c r="G1339" s="0" t="n">
        <f aca="false">F1339+2+D1339</f>
        <v>65</v>
      </c>
      <c r="H1339" s="0" t="n">
        <f aca="false">Pemetaan!$B$2+E1339</f>
        <v>17</v>
      </c>
      <c r="I1339" s="0" t="str">
        <f aca="false">INDEX(Laporan!$A$1:$AZ$300,G1339,1)</f>
        <v>Water Treatment</v>
      </c>
      <c r="J1339" s="0" t="str">
        <f aca="false">INDEX(Laporan!$A$1:$AZ$300,G1339,2)</f>
        <v>1,5 L</v>
      </c>
      <c r="K1339" s="0" t="str">
        <f aca="false">INDEX(Laporan!$A$1:$AZ$300,G1339,3)</f>
        <v>Shift 2</v>
      </c>
      <c r="L1339" s="0" t="n">
        <f aca="false">INDEX(Laporan!$A$1:$AZ$300,G1339,4)</f>
        <v>3</v>
      </c>
      <c r="M1339" s="1" t="n">
        <f aca="false">DATE(Pemetaan!$B$1,VALUE(RIGHT(INDEX(Laporan!$A$1:$AZ$300,F1339+1,H1339),2)),VALUE(LEFT(INDEX(Laporan!$A$1:$AZ$300,F1339+1,H1339),2)))</f>
        <v>46099</v>
      </c>
      <c r="N1339" s="0" t="n">
        <f aca="false">INDEX(Laporan!$A$1:$AZ$300,G1339,H1339)</f>
        <v>12</v>
      </c>
      <c r="O1339" s="0" t="n">
        <f aca="false">IF(N1339="","",IFERROR(VALUE(SUBSTITUTE(SUBSTITUTE(N1339," btl",""),".","")),""))</f>
        <v>12</v>
      </c>
      <c r="P1339" s="0" t="str">
        <f aca="false">IF(B1339="PRODUKSI","produced","reject")</f>
        <v>reject</v>
      </c>
    </row>
    <row r="1340" customFormat="false" ht="15" hidden="false" customHeight="false" outlineLevel="0" collapsed="false">
      <c r="A1340" s="0" t="n">
        <v>1339</v>
      </c>
      <c r="B1340" s="0" t="str">
        <f aca="false">IF(A1340&lt;=36*25,"PRODUKSI","REJECT")</f>
        <v>REJECT</v>
      </c>
      <c r="C1340" s="0" t="n">
        <f aca="false">MOD(A1340-1,Pemetaan!$B$3*Pemetaan!$B$4)</f>
        <v>438</v>
      </c>
      <c r="D1340" s="0" t="n">
        <f aca="false">INT(C1340/Pemetaan!$B$4)</f>
        <v>17</v>
      </c>
      <c r="E1340" s="0" t="n">
        <f aca="false">MOD(C1340,Pemetaan!$B$4)</f>
        <v>13</v>
      </c>
      <c r="F1340" s="0" t="n">
        <f aca="false">IF(B1340="PRODUKSI",Pemetaan!$B$5,Pemetaan!$B$6)</f>
        <v>46</v>
      </c>
      <c r="G1340" s="0" t="n">
        <f aca="false">F1340+2+D1340</f>
        <v>65</v>
      </c>
      <c r="H1340" s="0" t="n">
        <f aca="false">Pemetaan!$B$2+E1340</f>
        <v>18</v>
      </c>
      <c r="I1340" s="0" t="str">
        <f aca="false">INDEX(Laporan!$A$1:$AZ$300,G1340,1)</f>
        <v>Water Treatment</v>
      </c>
      <c r="J1340" s="0" t="str">
        <f aca="false">INDEX(Laporan!$A$1:$AZ$300,G1340,2)</f>
        <v>1,5 L</v>
      </c>
      <c r="K1340" s="0" t="str">
        <f aca="false">INDEX(Laporan!$A$1:$AZ$300,G1340,3)</f>
        <v>Shift 2</v>
      </c>
      <c r="L1340" s="0" t="n">
        <f aca="false">INDEX(Laporan!$A$1:$AZ$300,G1340,4)</f>
        <v>3</v>
      </c>
      <c r="M1340" s="1" t="n">
        <f aca="false">DATE(Pemetaan!$B$1,VALUE(RIGHT(INDEX(Laporan!$A$1:$AZ$300,F1340+1,H1340),2)),VALUE(LEFT(INDEX(Laporan!$A$1:$AZ$300,F1340+1,H1340),2)))</f>
        <v>46100</v>
      </c>
      <c r="N1340" s="0" t="n">
        <f aca="false">INDEX(Laporan!$A$1:$AZ$300,G1340,H1340)</f>
        <v>2</v>
      </c>
      <c r="O1340" s="0" t="n">
        <f aca="false">IF(N1340="","",IFERROR(VALUE(SUBSTITUTE(SUBSTITUTE(N1340," btl",""),".","")),""))</f>
        <v>2</v>
      </c>
      <c r="P1340" s="0" t="str">
        <f aca="false">IF(B1340="PRODUKSI","produced","reject")</f>
        <v>reject</v>
      </c>
    </row>
    <row r="1341" customFormat="false" ht="15" hidden="false" customHeight="false" outlineLevel="0" collapsed="false">
      <c r="A1341" s="0" t="n">
        <v>1340</v>
      </c>
      <c r="B1341" s="0" t="str">
        <f aca="false">IF(A1341&lt;=36*25,"PRODUKSI","REJECT")</f>
        <v>REJECT</v>
      </c>
      <c r="C1341" s="0" t="n">
        <f aca="false">MOD(A1341-1,Pemetaan!$B$3*Pemetaan!$B$4)</f>
        <v>439</v>
      </c>
      <c r="D1341" s="0" t="n">
        <f aca="false">INT(C1341/Pemetaan!$B$4)</f>
        <v>17</v>
      </c>
      <c r="E1341" s="0" t="n">
        <f aca="false">MOD(C1341,Pemetaan!$B$4)</f>
        <v>14</v>
      </c>
      <c r="F1341" s="0" t="n">
        <f aca="false">IF(B1341="PRODUKSI",Pemetaan!$B$5,Pemetaan!$B$6)</f>
        <v>46</v>
      </c>
      <c r="G1341" s="0" t="n">
        <f aca="false">F1341+2+D1341</f>
        <v>65</v>
      </c>
      <c r="H1341" s="0" t="n">
        <f aca="false">Pemetaan!$B$2+E1341</f>
        <v>19</v>
      </c>
      <c r="I1341" s="0" t="str">
        <f aca="false">INDEX(Laporan!$A$1:$AZ$300,G1341,1)</f>
        <v>Water Treatment</v>
      </c>
      <c r="J1341" s="0" t="str">
        <f aca="false">INDEX(Laporan!$A$1:$AZ$300,G1341,2)</f>
        <v>1,5 L</v>
      </c>
      <c r="K1341" s="0" t="str">
        <f aca="false">INDEX(Laporan!$A$1:$AZ$300,G1341,3)</f>
        <v>Shift 2</v>
      </c>
      <c r="L1341" s="0" t="n">
        <f aca="false">INDEX(Laporan!$A$1:$AZ$300,G1341,4)</f>
        <v>3</v>
      </c>
      <c r="M1341" s="1" t="n">
        <f aca="false">DATE(Pemetaan!$B$1,VALUE(RIGHT(INDEX(Laporan!$A$1:$AZ$300,F1341+1,H1341),2)),VALUE(LEFT(INDEX(Laporan!$A$1:$AZ$300,F1341+1,H1341),2)))</f>
        <v>46101</v>
      </c>
      <c r="N1341" s="0" t="n">
        <f aca="false">INDEX(Laporan!$A$1:$AZ$300,G1341,H1341)</f>
        <v>5</v>
      </c>
      <c r="O1341" s="0" t="n">
        <f aca="false">IF(N1341="","",IFERROR(VALUE(SUBSTITUTE(SUBSTITUTE(N1341," btl",""),".","")),""))</f>
        <v>5</v>
      </c>
      <c r="P1341" s="0" t="str">
        <f aca="false">IF(B1341="PRODUKSI","produced","reject")</f>
        <v>reject</v>
      </c>
    </row>
    <row r="1342" customFormat="false" ht="15" hidden="false" customHeight="false" outlineLevel="0" collapsed="false">
      <c r="A1342" s="0" t="n">
        <v>1341</v>
      </c>
      <c r="B1342" s="0" t="str">
        <f aca="false">IF(A1342&lt;=36*25,"PRODUKSI","REJECT")</f>
        <v>REJECT</v>
      </c>
      <c r="C1342" s="0" t="n">
        <f aca="false">MOD(A1342-1,Pemetaan!$B$3*Pemetaan!$B$4)</f>
        <v>440</v>
      </c>
      <c r="D1342" s="0" t="n">
        <f aca="false">INT(C1342/Pemetaan!$B$4)</f>
        <v>17</v>
      </c>
      <c r="E1342" s="0" t="n">
        <f aca="false">MOD(C1342,Pemetaan!$B$4)</f>
        <v>15</v>
      </c>
      <c r="F1342" s="0" t="n">
        <f aca="false">IF(B1342="PRODUKSI",Pemetaan!$B$5,Pemetaan!$B$6)</f>
        <v>46</v>
      </c>
      <c r="G1342" s="0" t="n">
        <f aca="false">F1342+2+D1342</f>
        <v>65</v>
      </c>
      <c r="H1342" s="0" t="n">
        <f aca="false">Pemetaan!$B$2+E1342</f>
        <v>20</v>
      </c>
      <c r="I1342" s="0" t="str">
        <f aca="false">INDEX(Laporan!$A$1:$AZ$300,G1342,1)</f>
        <v>Water Treatment</v>
      </c>
      <c r="J1342" s="0" t="str">
        <f aca="false">INDEX(Laporan!$A$1:$AZ$300,G1342,2)</f>
        <v>1,5 L</v>
      </c>
      <c r="K1342" s="0" t="str">
        <f aca="false">INDEX(Laporan!$A$1:$AZ$300,G1342,3)</f>
        <v>Shift 2</v>
      </c>
      <c r="L1342" s="0" t="n">
        <f aca="false">INDEX(Laporan!$A$1:$AZ$300,G1342,4)</f>
        <v>3</v>
      </c>
      <c r="M1342" s="1" t="n">
        <f aca="false">DATE(Pemetaan!$B$1,VALUE(RIGHT(INDEX(Laporan!$A$1:$AZ$300,F1342+1,H1342),2)),VALUE(LEFT(INDEX(Laporan!$A$1:$AZ$300,F1342+1,H1342),2)))</f>
        <v>46104</v>
      </c>
      <c r="N1342" s="0" t="n">
        <f aca="false">INDEX(Laporan!$A$1:$AZ$300,G1342,H1342)</f>
        <v>9</v>
      </c>
      <c r="O1342" s="0" t="n">
        <f aca="false">IF(N1342="","",IFERROR(VALUE(SUBSTITUTE(SUBSTITUTE(N1342," btl",""),".","")),""))</f>
        <v>9</v>
      </c>
      <c r="P1342" s="0" t="str">
        <f aca="false">IF(B1342="PRODUKSI","produced","reject")</f>
        <v>reject</v>
      </c>
    </row>
    <row r="1343" customFormat="false" ht="15" hidden="false" customHeight="false" outlineLevel="0" collapsed="false">
      <c r="A1343" s="0" t="n">
        <v>1342</v>
      </c>
      <c r="B1343" s="0" t="str">
        <f aca="false">IF(A1343&lt;=36*25,"PRODUKSI","REJECT")</f>
        <v>REJECT</v>
      </c>
      <c r="C1343" s="0" t="n">
        <f aca="false">MOD(A1343-1,Pemetaan!$B$3*Pemetaan!$B$4)</f>
        <v>441</v>
      </c>
      <c r="D1343" s="0" t="n">
        <f aca="false">INT(C1343/Pemetaan!$B$4)</f>
        <v>17</v>
      </c>
      <c r="E1343" s="0" t="n">
        <f aca="false">MOD(C1343,Pemetaan!$B$4)</f>
        <v>16</v>
      </c>
      <c r="F1343" s="0" t="n">
        <f aca="false">IF(B1343="PRODUKSI",Pemetaan!$B$5,Pemetaan!$B$6)</f>
        <v>46</v>
      </c>
      <c r="G1343" s="0" t="n">
        <f aca="false">F1343+2+D1343</f>
        <v>65</v>
      </c>
      <c r="H1343" s="0" t="n">
        <f aca="false">Pemetaan!$B$2+E1343</f>
        <v>21</v>
      </c>
      <c r="I1343" s="0" t="str">
        <f aca="false">INDEX(Laporan!$A$1:$AZ$300,G1343,1)</f>
        <v>Water Treatment</v>
      </c>
      <c r="J1343" s="0" t="str">
        <f aca="false">INDEX(Laporan!$A$1:$AZ$300,G1343,2)</f>
        <v>1,5 L</v>
      </c>
      <c r="K1343" s="0" t="str">
        <f aca="false">INDEX(Laporan!$A$1:$AZ$300,G1343,3)</f>
        <v>Shift 2</v>
      </c>
      <c r="L1343" s="0" t="n">
        <f aca="false">INDEX(Laporan!$A$1:$AZ$300,G1343,4)</f>
        <v>3</v>
      </c>
      <c r="M1343" s="1" t="n">
        <f aca="false">DATE(Pemetaan!$B$1,VALUE(RIGHT(INDEX(Laporan!$A$1:$AZ$300,F1343+1,H1343),2)),VALUE(LEFT(INDEX(Laporan!$A$1:$AZ$300,F1343+1,H1343),2)))</f>
        <v>46105</v>
      </c>
      <c r="N1343" s="0" t="n">
        <f aca="false">INDEX(Laporan!$A$1:$AZ$300,G1343,H1343)</f>
        <v>3</v>
      </c>
      <c r="O1343" s="0" t="n">
        <f aca="false">IF(N1343="","",IFERROR(VALUE(SUBSTITUTE(SUBSTITUTE(N1343," btl",""),".","")),""))</f>
        <v>3</v>
      </c>
      <c r="P1343" s="0" t="str">
        <f aca="false">IF(B1343="PRODUKSI","produced","reject")</f>
        <v>reject</v>
      </c>
    </row>
    <row r="1344" customFormat="false" ht="15" hidden="false" customHeight="false" outlineLevel="0" collapsed="false">
      <c r="A1344" s="0" t="n">
        <v>1343</v>
      </c>
      <c r="B1344" s="0" t="str">
        <f aca="false">IF(A1344&lt;=36*25,"PRODUKSI","REJECT")</f>
        <v>REJECT</v>
      </c>
      <c r="C1344" s="0" t="n">
        <f aca="false">MOD(A1344-1,Pemetaan!$B$3*Pemetaan!$B$4)</f>
        <v>442</v>
      </c>
      <c r="D1344" s="0" t="n">
        <f aca="false">INT(C1344/Pemetaan!$B$4)</f>
        <v>17</v>
      </c>
      <c r="E1344" s="0" t="n">
        <f aca="false">MOD(C1344,Pemetaan!$B$4)</f>
        <v>17</v>
      </c>
      <c r="F1344" s="0" t="n">
        <f aca="false">IF(B1344="PRODUKSI",Pemetaan!$B$5,Pemetaan!$B$6)</f>
        <v>46</v>
      </c>
      <c r="G1344" s="0" t="n">
        <f aca="false">F1344+2+D1344</f>
        <v>65</v>
      </c>
      <c r="H1344" s="0" t="n">
        <f aca="false">Pemetaan!$B$2+E1344</f>
        <v>22</v>
      </c>
      <c r="I1344" s="0" t="str">
        <f aca="false">INDEX(Laporan!$A$1:$AZ$300,G1344,1)</f>
        <v>Water Treatment</v>
      </c>
      <c r="J1344" s="0" t="str">
        <f aca="false">INDEX(Laporan!$A$1:$AZ$300,G1344,2)</f>
        <v>1,5 L</v>
      </c>
      <c r="K1344" s="0" t="str">
        <f aca="false">INDEX(Laporan!$A$1:$AZ$300,G1344,3)</f>
        <v>Shift 2</v>
      </c>
      <c r="L1344" s="0" t="n">
        <f aca="false">INDEX(Laporan!$A$1:$AZ$300,G1344,4)</f>
        <v>3</v>
      </c>
      <c r="M1344" s="1" t="n">
        <f aca="false">DATE(Pemetaan!$B$1,VALUE(RIGHT(INDEX(Laporan!$A$1:$AZ$300,F1344+1,H1344),2)),VALUE(LEFT(INDEX(Laporan!$A$1:$AZ$300,F1344+1,H1344),2)))</f>
        <v>46106</v>
      </c>
      <c r="N1344" s="0" t="n">
        <f aca="false">INDEX(Laporan!$A$1:$AZ$300,G1344,H1344)</f>
        <v>7</v>
      </c>
      <c r="O1344" s="0" t="n">
        <f aca="false">IF(N1344="","",IFERROR(VALUE(SUBSTITUTE(SUBSTITUTE(N1344," btl",""),".","")),""))</f>
        <v>7</v>
      </c>
      <c r="P1344" s="0" t="str">
        <f aca="false">IF(B1344="PRODUKSI","produced","reject")</f>
        <v>reject</v>
      </c>
    </row>
    <row r="1345" customFormat="false" ht="15" hidden="false" customHeight="false" outlineLevel="0" collapsed="false">
      <c r="A1345" s="0" t="n">
        <v>1344</v>
      </c>
      <c r="B1345" s="0" t="str">
        <f aca="false">IF(A1345&lt;=36*25,"PRODUKSI","REJECT")</f>
        <v>REJECT</v>
      </c>
      <c r="C1345" s="0" t="n">
        <f aca="false">MOD(A1345-1,Pemetaan!$B$3*Pemetaan!$B$4)</f>
        <v>443</v>
      </c>
      <c r="D1345" s="0" t="n">
        <f aca="false">INT(C1345/Pemetaan!$B$4)</f>
        <v>17</v>
      </c>
      <c r="E1345" s="0" t="n">
        <f aca="false">MOD(C1345,Pemetaan!$B$4)</f>
        <v>18</v>
      </c>
      <c r="F1345" s="0" t="n">
        <f aca="false">IF(B1345="PRODUKSI",Pemetaan!$B$5,Pemetaan!$B$6)</f>
        <v>46</v>
      </c>
      <c r="G1345" s="0" t="n">
        <f aca="false">F1345+2+D1345</f>
        <v>65</v>
      </c>
      <c r="H1345" s="0" t="n">
        <f aca="false">Pemetaan!$B$2+E1345</f>
        <v>23</v>
      </c>
      <c r="I1345" s="0" t="str">
        <f aca="false">INDEX(Laporan!$A$1:$AZ$300,G1345,1)</f>
        <v>Water Treatment</v>
      </c>
      <c r="J1345" s="0" t="str">
        <f aca="false">INDEX(Laporan!$A$1:$AZ$300,G1345,2)</f>
        <v>1,5 L</v>
      </c>
      <c r="K1345" s="0" t="str">
        <f aca="false">INDEX(Laporan!$A$1:$AZ$300,G1345,3)</f>
        <v>Shift 2</v>
      </c>
      <c r="L1345" s="0" t="n">
        <f aca="false">INDEX(Laporan!$A$1:$AZ$300,G1345,4)</f>
        <v>3</v>
      </c>
      <c r="M1345" s="1" t="n">
        <f aca="false">DATE(Pemetaan!$B$1,VALUE(RIGHT(INDEX(Laporan!$A$1:$AZ$300,F1345+1,H1345),2)),VALUE(LEFT(INDEX(Laporan!$A$1:$AZ$300,F1345+1,H1345),2)))</f>
        <v>46107</v>
      </c>
      <c r="N1345" s="0" t="n">
        <f aca="false">INDEX(Laporan!$A$1:$AZ$300,G1345,H1345)</f>
        <v>3</v>
      </c>
      <c r="O1345" s="0" t="n">
        <f aca="false">IF(N1345="","",IFERROR(VALUE(SUBSTITUTE(SUBSTITUTE(N1345," btl",""),".","")),""))</f>
        <v>3</v>
      </c>
      <c r="P1345" s="0" t="str">
        <f aca="false">IF(B1345="PRODUKSI","produced","reject")</f>
        <v>reject</v>
      </c>
    </row>
    <row r="1346" customFormat="false" ht="15" hidden="false" customHeight="false" outlineLevel="0" collapsed="false">
      <c r="A1346" s="0" t="n">
        <v>1345</v>
      </c>
      <c r="B1346" s="0" t="str">
        <f aca="false">IF(A1346&lt;=36*25,"PRODUKSI","REJECT")</f>
        <v>REJECT</v>
      </c>
      <c r="C1346" s="0" t="n">
        <f aca="false">MOD(A1346-1,Pemetaan!$B$3*Pemetaan!$B$4)</f>
        <v>444</v>
      </c>
      <c r="D1346" s="0" t="n">
        <f aca="false">INT(C1346/Pemetaan!$B$4)</f>
        <v>17</v>
      </c>
      <c r="E1346" s="0" t="n">
        <f aca="false">MOD(C1346,Pemetaan!$B$4)</f>
        <v>19</v>
      </c>
      <c r="F1346" s="0" t="n">
        <f aca="false">IF(B1346="PRODUKSI",Pemetaan!$B$5,Pemetaan!$B$6)</f>
        <v>46</v>
      </c>
      <c r="G1346" s="0" t="n">
        <f aca="false">F1346+2+D1346</f>
        <v>65</v>
      </c>
      <c r="H1346" s="0" t="n">
        <f aca="false">Pemetaan!$B$2+E1346</f>
        <v>24</v>
      </c>
      <c r="I1346" s="0" t="str">
        <f aca="false">INDEX(Laporan!$A$1:$AZ$300,G1346,1)</f>
        <v>Water Treatment</v>
      </c>
      <c r="J1346" s="0" t="str">
        <f aca="false">INDEX(Laporan!$A$1:$AZ$300,G1346,2)</f>
        <v>1,5 L</v>
      </c>
      <c r="K1346" s="0" t="str">
        <f aca="false">INDEX(Laporan!$A$1:$AZ$300,G1346,3)</f>
        <v>Shift 2</v>
      </c>
      <c r="L1346" s="0" t="n">
        <f aca="false">INDEX(Laporan!$A$1:$AZ$300,G1346,4)</f>
        <v>3</v>
      </c>
      <c r="M1346" s="1" t="n">
        <f aca="false">DATE(Pemetaan!$B$1,VALUE(RIGHT(INDEX(Laporan!$A$1:$AZ$300,F1346+1,H1346),2)),VALUE(LEFT(INDEX(Laporan!$A$1:$AZ$300,F1346+1,H1346),2)))</f>
        <v>46108</v>
      </c>
      <c r="N1346" s="0" t="n">
        <f aca="false">INDEX(Laporan!$A$1:$AZ$300,G1346,H1346)</f>
        <v>7</v>
      </c>
      <c r="O1346" s="0" t="n">
        <f aca="false">IF(N1346="","",IFERROR(VALUE(SUBSTITUTE(SUBSTITUTE(N1346," btl",""),".","")),""))</f>
        <v>7</v>
      </c>
      <c r="P1346" s="0" t="str">
        <f aca="false">IF(B1346="PRODUKSI","produced","reject")</f>
        <v>reject</v>
      </c>
    </row>
    <row r="1347" customFormat="false" ht="15" hidden="false" customHeight="false" outlineLevel="0" collapsed="false">
      <c r="A1347" s="0" t="n">
        <v>1346</v>
      </c>
      <c r="B1347" s="0" t="str">
        <f aca="false">IF(A1347&lt;=36*25,"PRODUKSI","REJECT")</f>
        <v>REJECT</v>
      </c>
      <c r="C1347" s="0" t="n">
        <f aca="false">MOD(A1347-1,Pemetaan!$B$3*Pemetaan!$B$4)</f>
        <v>445</v>
      </c>
      <c r="D1347" s="0" t="n">
        <f aca="false">INT(C1347/Pemetaan!$B$4)</f>
        <v>17</v>
      </c>
      <c r="E1347" s="0" t="n">
        <f aca="false">MOD(C1347,Pemetaan!$B$4)</f>
        <v>20</v>
      </c>
      <c r="F1347" s="0" t="n">
        <f aca="false">IF(B1347="PRODUKSI",Pemetaan!$B$5,Pemetaan!$B$6)</f>
        <v>46</v>
      </c>
      <c r="G1347" s="0" t="n">
        <f aca="false">F1347+2+D1347</f>
        <v>65</v>
      </c>
      <c r="H1347" s="0" t="n">
        <f aca="false">Pemetaan!$B$2+E1347</f>
        <v>25</v>
      </c>
      <c r="I1347" s="0" t="str">
        <f aca="false">INDEX(Laporan!$A$1:$AZ$300,G1347,1)</f>
        <v>Water Treatment</v>
      </c>
      <c r="J1347" s="0" t="str">
        <f aca="false">INDEX(Laporan!$A$1:$AZ$300,G1347,2)</f>
        <v>1,5 L</v>
      </c>
      <c r="K1347" s="0" t="str">
        <f aca="false">INDEX(Laporan!$A$1:$AZ$300,G1347,3)</f>
        <v>Shift 2</v>
      </c>
      <c r="L1347" s="0" t="n">
        <f aca="false">INDEX(Laporan!$A$1:$AZ$300,G1347,4)</f>
        <v>3</v>
      </c>
      <c r="M1347" s="1" t="n">
        <f aca="false">DATE(Pemetaan!$B$1,VALUE(RIGHT(INDEX(Laporan!$A$1:$AZ$300,F1347+1,H1347),2)),VALUE(LEFT(INDEX(Laporan!$A$1:$AZ$300,F1347+1,H1347),2)))</f>
        <v>46111</v>
      </c>
      <c r="N1347" s="0" t="n">
        <f aca="false">INDEX(Laporan!$A$1:$AZ$300,G1347,H1347)</f>
        <v>6</v>
      </c>
      <c r="O1347" s="0" t="n">
        <f aca="false">IF(N1347="","",IFERROR(VALUE(SUBSTITUTE(SUBSTITUTE(N1347," btl",""),".","")),""))</f>
        <v>6</v>
      </c>
      <c r="P1347" s="0" t="str">
        <f aca="false">IF(B1347="PRODUKSI","produced","reject")</f>
        <v>reject</v>
      </c>
    </row>
    <row r="1348" customFormat="false" ht="15" hidden="false" customHeight="false" outlineLevel="0" collapsed="false">
      <c r="A1348" s="0" t="n">
        <v>1347</v>
      </c>
      <c r="B1348" s="0" t="str">
        <f aca="false">IF(A1348&lt;=36*25,"PRODUKSI","REJECT")</f>
        <v>REJECT</v>
      </c>
      <c r="C1348" s="0" t="n">
        <f aca="false">MOD(A1348-1,Pemetaan!$B$3*Pemetaan!$B$4)</f>
        <v>446</v>
      </c>
      <c r="D1348" s="0" t="n">
        <f aca="false">INT(C1348/Pemetaan!$B$4)</f>
        <v>17</v>
      </c>
      <c r="E1348" s="0" t="n">
        <f aca="false">MOD(C1348,Pemetaan!$B$4)</f>
        <v>21</v>
      </c>
      <c r="F1348" s="0" t="n">
        <f aca="false">IF(B1348="PRODUKSI",Pemetaan!$B$5,Pemetaan!$B$6)</f>
        <v>46</v>
      </c>
      <c r="G1348" s="0" t="n">
        <f aca="false">F1348+2+D1348</f>
        <v>65</v>
      </c>
      <c r="H1348" s="0" t="n">
        <f aca="false">Pemetaan!$B$2+E1348</f>
        <v>26</v>
      </c>
      <c r="I1348" s="0" t="str">
        <f aca="false">INDEX(Laporan!$A$1:$AZ$300,G1348,1)</f>
        <v>Water Treatment</v>
      </c>
      <c r="J1348" s="0" t="str">
        <f aca="false">INDEX(Laporan!$A$1:$AZ$300,G1348,2)</f>
        <v>1,5 L</v>
      </c>
      <c r="K1348" s="0" t="str">
        <f aca="false">INDEX(Laporan!$A$1:$AZ$300,G1348,3)</f>
        <v>Shift 2</v>
      </c>
      <c r="L1348" s="0" t="n">
        <f aca="false">INDEX(Laporan!$A$1:$AZ$300,G1348,4)</f>
        <v>3</v>
      </c>
      <c r="M1348" s="1" t="n">
        <f aca="false">DATE(Pemetaan!$B$1,VALUE(RIGHT(INDEX(Laporan!$A$1:$AZ$300,F1348+1,H1348),2)),VALUE(LEFT(INDEX(Laporan!$A$1:$AZ$300,F1348+1,H1348),2)))</f>
        <v>46112</v>
      </c>
      <c r="N1348" s="0" t="n">
        <f aca="false">INDEX(Laporan!$A$1:$AZ$300,G1348,H1348)</f>
        <v>8</v>
      </c>
      <c r="O1348" s="0" t="n">
        <f aca="false">IF(N1348="","",IFERROR(VALUE(SUBSTITUTE(SUBSTITUTE(N1348," btl",""),".","")),""))</f>
        <v>8</v>
      </c>
      <c r="P1348" s="0" t="str">
        <f aca="false">IF(B1348="PRODUKSI","produced","reject")</f>
        <v>reject</v>
      </c>
    </row>
    <row r="1349" customFormat="false" ht="15" hidden="false" customHeight="false" outlineLevel="0" collapsed="false">
      <c r="A1349" s="0" t="n">
        <v>1348</v>
      </c>
      <c r="B1349" s="0" t="str">
        <f aca="false">IF(A1349&lt;=36*25,"PRODUKSI","REJECT")</f>
        <v>REJECT</v>
      </c>
      <c r="C1349" s="0" t="n">
        <f aca="false">MOD(A1349-1,Pemetaan!$B$3*Pemetaan!$B$4)</f>
        <v>447</v>
      </c>
      <c r="D1349" s="0" t="n">
        <f aca="false">INT(C1349/Pemetaan!$B$4)</f>
        <v>17</v>
      </c>
      <c r="E1349" s="0" t="n">
        <f aca="false">MOD(C1349,Pemetaan!$B$4)</f>
        <v>22</v>
      </c>
      <c r="F1349" s="0" t="n">
        <f aca="false">IF(B1349="PRODUKSI",Pemetaan!$B$5,Pemetaan!$B$6)</f>
        <v>46</v>
      </c>
      <c r="G1349" s="0" t="n">
        <f aca="false">F1349+2+D1349</f>
        <v>65</v>
      </c>
      <c r="H1349" s="0" t="n">
        <f aca="false">Pemetaan!$B$2+E1349</f>
        <v>27</v>
      </c>
      <c r="I1349" s="0" t="str">
        <f aca="false">INDEX(Laporan!$A$1:$AZ$300,G1349,1)</f>
        <v>Water Treatment</v>
      </c>
      <c r="J1349" s="0" t="str">
        <f aca="false">INDEX(Laporan!$A$1:$AZ$300,G1349,2)</f>
        <v>1,5 L</v>
      </c>
      <c r="K1349" s="0" t="str">
        <f aca="false">INDEX(Laporan!$A$1:$AZ$300,G1349,3)</f>
        <v>Shift 2</v>
      </c>
      <c r="L1349" s="0" t="n">
        <f aca="false">INDEX(Laporan!$A$1:$AZ$300,G1349,4)</f>
        <v>3</v>
      </c>
      <c r="M1349" s="1" t="n">
        <f aca="false">DATE(Pemetaan!$B$1,VALUE(RIGHT(INDEX(Laporan!$A$1:$AZ$300,F1349+1,H1349),2)),VALUE(LEFT(INDEX(Laporan!$A$1:$AZ$300,F1349+1,H1349),2)))</f>
        <v>46113</v>
      </c>
      <c r="N1349" s="0" t="n">
        <f aca="false">INDEX(Laporan!$A$1:$AZ$300,G1349,H1349)</f>
        <v>6</v>
      </c>
      <c r="O1349" s="0" t="n">
        <f aca="false">IF(N1349="","",IFERROR(VALUE(SUBSTITUTE(SUBSTITUTE(N1349," btl",""),".","")),""))</f>
        <v>6</v>
      </c>
      <c r="P1349" s="0" t="str">
        <f aca="false">IF(B1349="PRODUKSI","produced","reject")</f>
        <v>reject</v>
      </c>
    </row>
    <row r="1350" customFormat="false" ht="15" hidden="false" customHeight="false" outlineLevel="0" collapsed="false">
      <c r="A1350" s="0" t="n">
        <v>1349</v>
      </c>
      <c r="B1350" s="0" t="str">
        <f aca="false">IF(A1350&lt;=36*25,"PRODUKSI","REJECT")</f>
        <v>REJECT</v>
      </c>
      <c r="C1350" s="0" t="n">
        <f aca="false">MOD(A1350-1,Pemetaan!$B$3*Pemetaan!$B$4)</f>
        <v>448</v>
      </c>
      <c r="D1350" s="0" t="n">
        <f aca="false">INT(C1350/Pemetaan!$B$4)</f>
        <v>17</v>
      </c>
      <c r="E1350" s="0" t="n">
        <f aca="false">MOD(C1350,Pemetaan!$B$4)</f>
        <v>23</v>
      </c>
      <c r="F1350" s="0" t="n">
        <f aca="false">IF(B1350="PRODUKSI",Pemetaan!$B$5,Pemetaan!$B$6)</f>
        <v>46</v>
      </c>
      <c r="G1350" s="0" t="n">
        <f aca="false">F1350+2+D1350</f>
        <v>65</v>
      </c>
      <c r="H1350" s="0" t="n">
        <f aca="false">Pemetaan!$B$2+E1350</f>
        <v>28</v>
      </c>
      <c r="I1350" s="0" t="str">
        <f aca="false">INDEX(Laporan!$A$1:$AZ$300,G1350,1)</f>
        <v>Water Treatment</v>
      </c>
      <c r="J1350" s="0" t="str">
        <f aca="false">INDEX(Laporan!$A$1:$AZ$300,G1350,2)</f>
        <v>1,5 L</v>
      </c>
      <c r="K1350" s="0" t="str">
        <f aca="false">INDEX(Laporan!$A$1:$AZ$300,G1350,3)</f>
        <v>Shift 2</v>
      </c>
      <c r="L1350" s="0" t="n">
        <f aca="false">INDEX(Laporan!$A$1:$AZ$300,G1350,4)</f>
        <v>3</v>
      </c>
      <c r="M1350" s="1" t="n">
        <f aca="false">DATE(Pemetaan!$B$1,VALUE(RIGHT(INDEX(Laporan!$A$1:$AZ$300,F1350+1,H1350),2)),VALUE(LEFT(INDEX(Laporan!$A$1:$AZ$300,F1350+1,H1350),2)))</f>
        <v>46114</v>
      </c>
      <c r="N1350" s="0" t="n">
        <f aca="false">INDEX(Laporan!$A$1:$AZ$300,G1350,H1350)</f>
        <v>5</v>
      </c>
      <c r="O1350" s="0" t="n">
        <f aca="false">IF(N1350="","",IFERROR(VALUE(SUBSTITUTE(SUBSTITUTE(N1350," btl",""),".","")),""))</f>
        <v>5</v>
      </c>
      <c r="P1350" s="0" t="str">
        <f aca="false">IF(B1350="PRODUKSI","produced","reject")</f>
        <v>reject</v>
      </c>
    </row>
    <row r="1351" customFormat="false" ht="15" hidden="false" customHeight="false" outlineLevel="0" collapsed="false">
      <c r="A1351" s="0" t="n">
        <v>1350</v>
      </c>
      <c r="B1351" s="0" t="str">
        <f aca="false">IF(A1351&lt;=36*25,"PRODUKSI","REJECT")</f>
        <v>REJECT</v>
      </c>
      <c r="C1351" s="0" t="n">
        <f aca="false">MOD(A1351-1,Pemetaan!$B$3*Pemetaan!$B$4)</f>
        <v>449</v>
      </c>
      <c r="D1351" s="0" t="n">
        <f aca="false">INT(C1351/Pemetaan!$B$4)</f>
        <v>17</v>
      </c>
      <c r="E1351" s="0" t="n">
        <f aca="false">MOD(C1351,Pemetaan!$B$4)</f>
        <v>24</v>
      </c>
      <c r="F1351" s="0" t="n">
        <f aca="false">IF(B1351="PRODUKSI",Pemetaan!$B$5,Pemetaan!$B$6)</f>
        <v>46</v>
      </c>
      <c r="G1351" s="0" t="n">
        <f aca="false">F1351+2+D1351</f>
        <v>65</v>
      </c>
      <c r="H1351" s="0" t="n">
        <f aca="false">Pemetaan!$B$2+E1351</f>
        <v>29</v>
      </c>
      <c r="I1351" s="0" t="str">
        <f aca="false">INDEX(Laporan!$A$1:$AZ$300,G1351,1)</f>
        <v>Water Treatment</v>
      </c>
      <c r="J1351" s="0" t="str">
        <f aca="false">INDEX(Laporan!$A$1:$AZ$300,G1351,2)</f>
        <v>1,5 L</v>
      </c>
      <c r="K1351" s="0" t="str">
        <f aca="false">INDEX(Laporan!$A$1:$AZ$300,G1351,3)</f>
        <v>Shift 2</v>
      </c>
      <c r="L1351" s="0" t="n">
        <f aca="false">INDEX(Laporan!$A$1:$AZ$300,G1351,4)</f>
        <v>3</v>
      </c>
      <c r="M1351" s="1" t="n">
        <f aca="false">DATE(Pemetaan!$B$1,VALUE(RIGHT(INDEX(Laporan!$A$1:$AZ$300,F1351+1,H1351),2)),VALUE(LEFT(INDEX(Laporan!$A$1:$AZ$300,F1351+1,H1351),2)))</f>
        <v>46115</v>
      </c>
      <c r="N1351" s="0" t="n">
        <f aca="false">INDEX(Laporan!$A$1:$AZ$300,G1351,H1351)</f>
        <v>6</v>
      </c>
      <c r="O1351" s="0" t="n">
        <f aca="false">IF(N1351="","",IFERROR(VALUE(SUBSTITUTE(SUBSTITUTE(N1351," btl",""),".","")),""))</f>
        <v>6</v>
      </c>
      <c r="P1351" s="0" t="str">
        <f aca="false">IF(B1351="PRODUKSI","produced","reject")</f>
        <v>reject</v>
      </c>
    </row>
    <row r="1352" customFormat="false" ht="15" hidden="false" customHeight="false" outlineLevel="0" collapsed="false">
      <c r="A1352" s="0" t="n">
        <v>1351</v>
      </c>
      <c r="B1352" s="0" t="str">
        <f aca="false">IF(A1352&lt;=36*25,"PRODUKSI","REJECT")</f>
        <v>REJECT</v>
      </c>
      <c r="C1352" s="0" t="n">
        <f aca="false">MOD(A1352-1,Pemetaan!$B$3*Pemetaan!$B$4)</f>
        <v>450</v>
      </c>
      <c r="D1352" s="0" t="n">
        <f aca="false">INT(C1352/Pemetaan!$B$4)</f>
        <v>18</v>
      </c>
      <c r="E1352" s="0" t="n">
        <f aca="false">MOD(C1352,Pemetaan!$B$4)</f>
        <v>0</v>
      </c>
      <c r="F1352" s="0" t="n">
        <f aca="false">IF(B1352="PRODUKSI",Pemetaan!$B$5,Pemetaan!$B$6)</f>
        <v>46</v>
      </c>
      <c r="G1352" s="0" t="n">
        <f aca="false">F1352+2+D1352</f>
        <v>66</v>
      </c>
      <c r="H1352" s="0" t="n">
        <f aca="false">Pemetaan!$B$2+E1352</f>
        <v>5</v>
      </c>
      <c r="I1352" s="0" t="str">
        <f aca="false">INDEX(Laporan!$A$1:$AZ$300,G1352,1)</f>
        <v>Mixing</v>
      </c>
      <c r="J1352" s="0" t="str">
        <f aca="false">INDEX(Laporan!$A$1:$AZ$300,G1352,2)</f>
        <v>330 ml</v>
      </c>
      <c r="K1352" s="0" t="str">
        <f aca="false">INDEX(Laporan!$A$1:$AZ$300,G1352,3)</f>
        <v>Shift 1</v>
      </c>
      <c r="L1352" s="0" t="n">
        <f aca="false">INDEX(Laporan!$A$1:$AZ$300,G1352,4)</f>
        <v>1</v>
      </c>
      <c r="M1352" s="1" t="n">
        <f aca="false">DATE(Pemetaan!$B$1,VALUE(RIGHT(INDEX(Laporan!$A$1:$AZ$300,F1352+1,H1352),2)),VALUE(LEFT(INDEX(Laporan!$A$1:$AZ$300,F1352+1,H1352),2)))</f>
        <v>46083</v>
      </c>
      <c r="N1352" s="0" t="n">
        <f aca="false">INDEX(Laporan!$A$1:$AZ$300,G1352,H1352)</f>
        <v>22</v>
      </c>
      <c r="O1352" s="0" t="n">
        <f aca="false">IF(N1352="","",IFERROR(VALUE(SUBSTITUTE(SUBSTITUTE(N1352," btl",""),".","")),""))</f>
        <v>22</v>
      </c>
      <c r="P1352" s="0" t="str">
        <f aca="false">IF(B1352="PRODUKSI","produced","reject")</f>
        <v>reject</v>
      </c>
    </row>
    <row r="1353" customFormat="false" ht="15" hidden="false" customHeight="false" outlineLevel="0" collapsed="false">
      <c r="A1353" s="0" t="n">
        <v>1352</v>
      </c>
      <c r="B1353" s="0" t="str">
        <f aca="false">IF(A1353&lt;=36*25,"PRODUKSI","REJECT")</f>
        <v>REJECT</v>
      </c>
      <c r="C1353" s="0" t="n">
        <f aca="false">MOD(A1353-1,Pemetaan!$B$3*Pemetaan!$B$4)</f>
        <v>451</v>
      </c>
      <c r="D1353" s="0" t="n">
        <f aca="false">INT(C1353/Pemetaan!$B$4)</f>
        <v>18</v>
      </c>
      <c r="E1353" s="0" t="n">
        <f aca="false">MOD(C1353,Pemetaan!$B$4)</f>
        <v>1</v>
      </c>
      <c r="F1353" s="0" t="n">
        <f aca="false">IF(B1353="PRODUKSI",Pemetaan!$B$5,Pemetaan!$B$6)</f>
        <v>46</v>
      </c>
      <c r="G1353" s="0" t="n">
        <f aca="false">F1353+2+D1353</f>
        <v>66</v>
      </c>
      <c r="H1353" s="0" t="n">
        <f aca="false">Pemetaan!$B$2+E1353</f>
        <v>6</v>
      </c>
      <c r="I1353" s="0" t="str">
        <f aca="false">INDEX(Laporan!$A$1:$AZ$300,G1353,1)</f>
        <v>Mixing</v>
      </c>
      <c r="J1353" s="0" t="str">
        <f aca="false">INDEX(Laporan!$A$1:$AZ$300,G1353,2)</f>
        <v>330 ml</v>
      </c>
      <c r="K1353" s="0" t="str">
        <f aca="false">INDEX(Laporan!$A$1:$AZ$300,G1353,3)</f>
        <v>Shift 1</v>
      </c>
      <c r="L1353" s="0" t="n">
        <f aca="false">INDEX(Laporan!$A$1:$AZ$300,G1353,4)</f>
        <v>1</v>
      </c>
      <c r="M1353" s="1" t="n">
        <f aca="false">DATE(Pemetaan!$B$1,VALUE(RIGHT(INDEX(Laporan!$A$1:$AZ$300,F1353+1,H1353),2)),VALUE(LEFT(INDEX(Laporan!$A$1:$AZ$300,F1353+1,H1353),2)))</f>
        <v>46084</v>
      </c>
      <c r="N1353" s="0" t="n">
        <f aca="false">INDEX(Laporan!$A$1:$AZ$300,G1353,H1353)</f>
        <v>18</v>
      </c>
      <c r="O1353" s="0" t="n">
        <f aca="false">IF(N1353="","",IFERROR(VALUE(SUBSTITUTE(SUBSTITUTE(N1353," btl",""),".","")),""))</f>
        <v>18</v>
      </c>
      <c r="P1353" s="0" t="str">
        <f aca="false">IF(B1353="PRODUKSI","produced","reject")</f>
        <v>reject</v>
      </c>
    </row>
    <row r="1354" customFormat="false" ht="15" hidden="false" customHeight="false" outlineLevel="0" collapsed="false">
      <c r="A1354" s="0" t="n">
        <v>1353</v>
      </c>
      <c r="B1354" s="0" t="str">
        <f aca="false">IF(A1354&lt;=36*25,"PRODUKSI","REJECT")</f>
        <v>REJECT</v>
      </c>
      <c r="C1354" s="0" t="n">
        <f aca="false">MOD(A1354-1,Pemetaan!$B$3*Pemetaan!$B$4)</f>
        <v>452</v>
      </c>
      <c r="D1354" s="0" t="n">
        <f aca="false">INT(C1354/Pemetaan!$B$4)</f>
        <v>18</v>
      </c>
      <c r="E1354" s="0" t="n">
        <f aca="false">MOD(C1354,Pemetaan!$B$4)</f>
        <v>2</v>
      </c>
      <c r="F1354" s="0" t="n">
        <f aca="false">IF(B1354="PRODUKSI",Pemetaan!$B$5,Pemetaan!$B$6)</f>
        <v>46</v>
      </c>
      <c r="G1354" s="0" t="n">
        <f aca="false">F1354+2+D1354</f>
        <v>66</v>
      </c>
      <c r="H1354" s="0" t="n">
        <f aca="false">Pemetaan!$B$2+E1354</f>
        <v>7</v>
      </c>
      <c r="I1354" s="0" t="str">
        <f aca="false">INDEX(Laporan!$A$1:$AZ$300,G1354,1)</f>
        <v>Mixing</v>
      </c>
      <c r="J1354" s="0" t="str">
        <f aca="false">INDEX(Laporan!$A$1:$AZ$300,G1354,2)</f>
        <v>330 ml</v>
      </c>
      <c r="K1354" s="0" t="str">
        <f aca="false">INDEX(Laporan!$A$1:$AZ$300,G1354,3)</f>
        <v>Shift 1</v>
      </c>
      <c r="L1354" s="0" t="n">
        <f aca="false">INDEX(Laporan!$A$1:$AZ$300,G1354,4)</f>
        <v>1</v>
      </c>
      <c r="M1354" s="1" t="n">
        <f aca="false">DATE(Pemetaan!$B$1,VALUE(RIGHT(INDEX(Laporan!$A$1:$AZ$300,F1354+1,H1354),2)),VALUE(LEFT(INDEX(Laporan!$A$1:$AZ$300,F1354+1,H1354),2)))</f>
        <v>46085</v>
      </c>
      <c r="N1354" s="0" t="n">
        <f aca="false">INDEX(Laporan!$A$1:$AZ$300,G1354,H1354)</f>
        <v>24</v>
      </c>
      <c r="O1354" s="0" t="n">
        <f aca="false">IF(N1354="","",IFERROR(VALUE(SUBSTITUTE(SUBSTITUTE(N1354," btl",""),".","")),""))</f>
        <v>24</v>
      </c>
      <c r="P1354" s="0" t="str">
        <f aca="false">IF(B1354="PRODUKSI","produced","reject")</f>
        <v>reject</v>
      </c>
    </row>
    <row r="1355" customFormat="false" ht="15" hidden="false" customHeight="false" outlineLevel="0" collapsed="false">
      <c r="A1355" s="0" t="n">
        <v>1354</v>
      </c>
      <c r="B1355" s="0" t="str">
        <f aca="false">IF(A1355&lt;=36*25,"PRODUKSI","REJECT")</f>
        <v>REJECT</v>
      </c>
      <c r="C1355" s="0" t="n">
        <f aca="false">MOD(A1355-1,Pemetaan!$B$3*Pemetaan!$B$4)</f>
        <v>453</v>
      </c>
      <c r="D1355" s="0" t="n">
        <f aca="false">INT(C1355/Pemetaan!$B$4)</f>
        <v>18</v>
      </c>
      <c r="E1355" s="0" t="n">
        <f aca="false">MOD(C1355,Pemetaan!$B$4)</f>
        <v>3</v>
      </c>
      <c r="F1355" s="0" t="n">
        <f aca="false">IF(B1355="PRODUKSI",Pemetaan!$B$5,Pemetaan!$B$6)</f>
        <v>46</v>
      </c>
      <c r="G1355" s="0" t="n">
        <f aca="false">F1355+2+D1355</f>
        <v>66</v>
      </c>
      <c r="H1355" s="0" t="n">
        <f aca="false">Pemetaan!$B$2+E1355</f>
        <v>8</v>
      </c>
      <c r="I1355" s="0" t="str">
        <f aca="false">INDEX(Laporan!$A$1:$AZ$300,G1355,1)</f>
        <v>Mixing</v>
      </c>
      <c r="J1355" s="0" t="str">
        <f aca="false">INDEX(Laporan!$A$1:$AZ$300,G1355,2)</f>
        <v>330 ml</v>
      </c>
      <c r="K1355" s="0" t="str">
        <f aca="false">INDEX(Laporan!$A$1:$AZ$300,G1355,3)</f>
        <v>Shift 1</v>
      </c>
      <c r="L1355" s="0" t="n">
        <f aca="false">INDEX(Laporan!$A$1:$AZ$300,G1355,4)</f>
        <v>1</v>
      </c>
      <c r="M1355" s="1" t="n">
        <f aca="false">DATE(Pemetaan!$B$1,VALUE(RIGHT(INDEX(Laporan!$A$1:$AZ$300,F1355+1,H1355),2)),VALUE(LEFT(INDEX(Laporan!$A$1:$AZ$300,F1355+1,H1355),2)))</f>
        <v>46086</v>
      </c>
      <c r="N1355" s="0" t="n">
        <f aca="false">INDEX(Laporan!$A$1:$AZ$300,G1355,H1355)</f>
        <v>21</v>
      </c>
      <c r="O1355" s="0" t="n">
        <f aca="false">IF(N1355="","",IFERROR(VALUE(SUBSTITUTE(SUBSTITUTE(N1355," btl",""),".","")),""))</f>
        <v>21</v>
      </c>
      <c r="P1355" s="0" t="str">
        <f aca="false">IF(B1355="PRODUKSI","produced","reject")</f>
        <v>reject</v>
      </c>
    </row>
    <row r="1356" customFormat="false" ht="15" hidden="false" customHeight="false" outlineLevel="0" collapsed="false">
      <c r="A1356" s="0" t="n">
        <v>1355</v>
      </c>
      <c r="B1356" s="0" t="str">
        <f aca="false">IF(A1356&lt;=36*25,"PRODUKSI","REJECT")</f>
        <v>REJECT</v>
      </c>
      <c r="C1356" s="0" t="n">
        <f aca="false">MOD(A1356-1,Pemetaan!$B$3*Pemetaan!$B$4)</f>
        <v>454</v>
      </c>
      <c r="D1356" s="0" t="n">
        <f aca="false">INT(C1356/Pemetaan!$B$4)</f>
        <v>18</v>
      </c>
      <c r="E1356" s="0" t="n">
        <f aca="false">MOD(C1356,Pemetaan!$B$4)</f>
        <v>4</v>
      </c>
      <c r="F1356" s="0" t="n">
        <f aca="false">IF(B1356="PRODUKSI",Pemetaan!$B$5,Pemetaan!$B$6)</f>
        <v>46</v>
      </c>
      <c r="G1356" s="0" t="n">
        <f aca="false">F1356+2+D1356</f>
        <v>66</v>
      </c>
      <c r="H1356" s="0" t="n">
        <f aca="false">Pemetaan!$B$2+E1356</f>
        <v>9</v>
      </c>
      <c r="I1356" s="0" t="str">
        <f aca="false">INDEX(Laporan!$A$1:$AZ$300,G1356,1)</f>
        <v>Mixing</v>
      </c>
      <c r="J1356" s="0" t="str">
        <f aca="false">INDEX(Laporan!$A$1:$AZ$300,G1356,2)</f>
        <v>330 ml</v>
      </c>
      <c r="K1356" s="0" t="str">
        <f aca="false">INDEX(Laporan!$A$1:$AZ$300,G1356,3)</f>
        <v>Shift 1</v>
      </c>
      <c r="L1356" s="0" t="n">
        <f aca="false">INDEX(Laporan!$A$1:$AZ$300,G1356,4)</f>
        <v>1</v>
      </c>
      <c r="M1356" s="1" t="n">
        <f aca="false">DATE(Pemetaan!$B$1,VALUE(RIGHT(INDEX(Laporan!$A$1:$AZ$300,F1356+1,H1356),2)),VALUE(LEFT(INDEX(Laporan!$A$1:$AZ$300,F1356+1,H1356),2)))</f>
        <v>46087</v>
      </c>
      <c r="N1356" s="0" t="n">
        <f aca="false">INDEX(Laporan!$A$1:$AZ$300,G1356,H1356)</f>
        <v>14</v>
      </c>
      <c r="O1356" s="0" t="n">
        <f aca="false">IF(N1356="","",IFERROR(VALUE(SUBSTITUTE(SUBSTITUTE(N1356," btl",""),".","")),""))</f>
        <v>14</v>
      </c>
      <c r="P1356" s="0" t="str">
        <f aca="false">IF(B1356="PRODUKSI","produced","reject")</f>
        <v>reject</v>
      </c>
    </row>
    <row r="1357" customFormat="false" ht="15" hidden="false" customHeight="false" outlineLevel="0" collapsed="false">
      <c r="A1357" s="0" t="n">
        <v>1356</v>
      </c>
      <c r="B1357" s="0" t="str">
        <f aca="false">IF(A1357&lt;=36*25,"PRODUKSI","REJECT")</f>
        <v>REJECT</v>
      </c>
      <c r="C1357" s="0" t="n">
        <f aca="false">MOD(A1357-1,Pemetaan!$B$3*Pemetaan!$B$4)</f>
        <v>455</v>
      </c>
      <c r="D1357" s="0" t="n">
        <f aca="false">INT(C1357/Pemetaan!$B$4)</f>
        <v>18</v>
      </c>
      <c r="E1357" s="0" t="n">
        <f aca="false">MOD(C1357,Pemetaan!$B$4)</f>
        <v>5</v>
      </c>
      <c r="F1357" s="0" t="n">
        <f aca="false">IF(B1357="PRODUKSI",Pemetaan!$B$5,Pemetaan!$B$6)</f>
        <v>46</v>
      </c>
      <c r="G1357" s="0" t="n">
        <f aca="false">F1357+2+D1357</f>
        <v>66</v>
      </c>
      <c r="H1357" s="0" t="n">
        <f aca="false">Pemetaan!$B$2+E1357</f>
        <v>10</v>
      </c>
      <c r="I1357" s="0" t="str">
        <f aca="false">INDEX(Laporan!$A$1:$AZ$300,G1357,1)</f>
        <v>Mixing</v>
      </c>
      <c r="J1357" s="0" t="str">
        <f aca="false">INDEX(Laporan!$A$1:$AZ$300,G1357,2)</f>
        <v>330 ml</v>
      </c>
      <c r="K1357" s="0" t="str">
        <f aca="false">INDEX(Laporan!$A$1:$AZ$300,G1357,3)</f>
        <v>Shift 1</v>
      </c>
      <c r="L1357" s="0" t="n">
        <f aca="false">INDEX(Laporan!$A$1:$AZ$300,G1357,4)</f>
        <v>1</v>
      </c>
      <c r="M1357" s="1" t="n">
        <f aca="false">DATE(Pemetaan!$B$1,VALUE(RIGHT(INDEX(Laporan!$A$1:$AZ$300,F1357+1,H1357),2)),VALUE(LEFT(INDEX(Laporan!$A$1:$AZ$300,F1357+1,H1357),2)))</f>
        <v>46090</v>
      </c>
      <c r="N1357" s="0" t="n">
        <f aca="false">INDEX(Laporan!$A$1:$AZ$300,G1357,H1357)</f>
        <v>20</v>
      </c>
      <c r="O1357" s="0" t="n">
        <f aca="false">IF(N1357="","",IFERROR(VALUE(SUBSTITUTE(SUBSTITUTE(N1357," btl",""),".","")),""))</f>
        <v>20</v>
      </c>
      <c r="P1357" s="0" t="str">
        <f aca="false">IF(B1357="PRODUKSI","produced","reject")</f>
        <v>reject</v>
      </c>
    </row>
    <row r="1358" customFormat="false" ht="15" hidden="false" customHeight="false" outlineLevel="0" collapsed="false">
      <c r="A1358" s="0" t="n">
        <v>1357</v>
      </c>
      <c r="B1358" s="0" t="str">
        <f aca="false">IF(A1358&lt;=36*25,"PRODUKSI","REJECT")</f>
        <v>REJECT</v>
      </c>
      <c r="C1358" s="0" t="n">
        <f aca="false">MOD(A1358-1,Pemetaan!$B$3*Pemetaan!$B$4)</f>
        <v>456</v>
      </c>
      <c r="D1358" s="0" t="n">
        <f aca="false">INT(C1358/Pemetaan!$B$4)</f>
        <v>18</v>
      </c>
      <c r="E1358" s="0" t="n">
        <f aca="false">MOD(C1358,Pemetaan!$B$4)</f>
        <v>6</v>
      </c>
      <c r="F1358" s="0" t="n">
        <f aca="false">IF(B1358="PRODUKSI",Pemetaan!$B$5,Pemetaan!$B$6)</f>
        <v>46</v>
      </c>
      <c r="G1358" s="0" t="n">
        <f aca="false">F1358+2+D1358</f>
        <v>66</v>
      </c>
      <c r="H1358" s="0" t="n">
        <f aca="false">Pemetaan!$B$2+E1358</f>
        <v>11</v>
      </c>
      <c r="I1358" s="0" t="str">
        <f aca="false">INDEX(Laporan!$A$1:$AZ$300,G1358,1)</f>
        <v>Mixing</v>
      </c>
      <c r="J1358" s="0" t="str">
        <f aca="false">INDEX(Laporan!$A$1:$AZ$300,G1358,2)</f>
        <v>330 ml</v>
      </c>
      <c r="K1358" s="0" t="str">
        <f aca="false">INDEX(Laporan!$A$1:$AZ$300,G1358,3)</f>
        <v>Shift 1</v>
      </c>
      <c r="L1358" s="0" t="n">
        <f aca="false">INDEX(Laporan!$A$1:$AZ$300,G1358,4)</f>
        <v>1</v>
      </c>
      <c r="M1358" s="1" t="n">
        <f aca="false">DATE(Pemetaan!$B$1,VALUE(RIGHT(INDEX(Laporan!$A$1:$AZ$300,F1358+1,H1358),2)),VALUE(LEFT(INDEX(Laporan!$A$1:$AZ$300,F1358+1,H1358),2)))</f>
        <v>46091</v>
      </c>
      <c r="N1358" s="0" t="n">
        <f aca="false">INDEX(Laporan!$A$1:$AZ$300,G1358,H1358)</f>
        <v>25</v>
      </c>
      <c r="O1358" s="0" t="n">
        <f aca="false">IF(N1358="","",IFERROR(VALUE(SUBSTITUTE(SUBSTITUTE(N1358," btl",""),".","")),""))</f>
        <v>25</v>
      </c>
      <c r="P1358" s="0" t="str">
        <f aca="false">IF(B1358="PRODUKSI","produced","reject")</f>
        <v>reject</v>
      </c>
    </row>
    <row r="1359" customFormat="false" ht="15" hidden="false" customHeight="false" outlineLevel="0" collapsed="false">
      <c r="A1359" s="0" t="n">
        <v>1358</v>
      </c>
      <c r="B1359" s="0" t="str">
        <f aca="false">IF(A1359&lt;=36*25,"PRODUKSI","REJECT")</f>
        <v>REJECT</v>
      </c>
      <c r="C1359" s="0" t="n">
        <f aca="false">MOD(A1359-1,Pemetaan!$B$3*Pemetaan!$B$4)</f>
        <v>457</v>
      </c>
      <c r="D1359" s="0" t="n">
        <f aca="false">INT(C1359/Pemetaan!$B$4)</f>
        <v>18</v>
      </c>
      <c r="E1359" s="0" t="n">
        <f aca="false">MOD(C1359,Pemetaan!$B$4)</f>
        <v>7</v>
      </c>
      <c r="F1359" s="0" t="n">
        <f aca="false">IF(B1359="PRODUKSI",Pemetaan!$B$5,Pemetaan!$B$6)</f>
        <v>46</v>
      </c>
      <c r="G1359" s="0" t="n">
        <f aca="false">F1359+2+D1359</f>
        <v>66</v>
      </c>
      <c r="H1359" s="0" t="n">
        <f aca="false">Pemetaan!$B$2+E1359</f>
        <v>12</v>
      </c>
      <c r="I1359" s="0" t="str">
        <f aca="false">INDEX(Laporan!$A$1:$AZ$300,G1359,1)</f>
        <v>Mixing</v>
      </c>
      <c r="J1359" s="0" t="str">
        <f aca="false">INDEX(Laporan!$A$1:$AZ$300,G1359,2)</f>
        <v>330 ml</v>
      </c>
      <c r="K1359" s="0" t="str">
        <f aca="false">INDEX(Laporan!$A$1:$AZ$300,G1359,3)</f>
        <v>Shift 1</v>
      </c>
      <c r="L1359" s="0" t="n">
        <f aca="false">INDEX(Laporan!$A$1:$AZ$300,G1359,4)</f>
        <v>1</v>
      </c>
      <c r="M1359" s="1" t="n">
        <f aca="false">DATE(Pemetaan!$B$1,VALUE(RIGHT(INDEX(Laporan!$A$1:$AZ$300,F1359+1,H1359),2)),VALUE(LEFT(INDEX(Laporan!$A$1:$AZ$300,F1359+1,H1359),2)))</f>
        <v>46092</v>
      </c>
      <c r="N1359" s="0" t="n">
        <f aca="false">INDEX(Laporan!$A$1:$AZ$300,G1359,H1359)</f>
        <v>18</v>
      </c>
      <c r="O1359" s="0" t="n">
        <f aca="false">IF(N1359="","",IFERROR(VALUE(SUBSTITUTE(SUBSTITUTE(N1359," btl",""),".","")),""))</f>
        <v>18</v>
      </c>
      <c r="P1359" s="0" t="str">
        <f aca="false">IF(B1359="PRODUKSI","produced","reject")</f>
        <v>reject</v>
      </c>
    </row>
    <row r="1360" customFormat="false" ht="15" hidden="false" customHeight="false" outlineLevel="0" collapsed="false">
      <c r="A1360" s="0" t="n">
        <v>1359</v>
      </c>
      <c r="B1360" s="0" t="str">
        <f aca="false">IF(A1360&lt;=36*25,"PRODUKSI","REJECT")</f>
        <v>REJECT</v>
      </c>
      <c r="C1360" s="0" t="n">
        <f aca="false">MOD(A1360-1,Pemetaan!$B$3*Pemetaan!$B$4)</f>
        <v>458</v>
      </c>
      <c r="D1360" s="0" t="n">
        <f aca="false">INT(C1360/Pemetaan!$B$4)</f>
        <v>18</v>
      </c>
      <c r="E1360" s="0" t="n">
        <f aca="false">MOD(C1360,Pemetaan!$B$4)</f>
        <v>8</v>
      </c>
      <c r="F1360" s="0" t="n">
        <f aca="false">IF(B1360="PRODUKSI",Pemetaan!$B$5,Pemetaan!$B$6)</f>
        <v>46</v>
      </c>
      <c r="G1360" s="0" t="n">
        <f aca="false">F1360+2+D1360</f>
        <v>66</v>
      </c>
      <c r="H1360" s="0" t="n">
        <f aca="false">Pemetaan!$B$2+E1360</f>
        <v>13</v>
      </c>
      <c r="I1360" s="0" t="str">
        <f aca="false">INDEX(Laporan!$A$1:$AZ$300,G1360,1)</f>
        <v>Mixing</v>
      </c>
      <c r="J1360" s="0" t="str">
        <f aca="false">INDEX(Laporan!$A$1:$AZ$300,G1360,2)</f>
        <v>330 ml</v>
      </c>
      <c r="K1360" s="0" t="str">
        <f aca="false">INDEX(Laporan!$A$1:$AZ$300,G1360,3)</f>
        <v>Shift 1</v>
      </c>
      <c r="L1360" s="0" t="n">
        <f aca="false">INDEX(Laporan!$A$1:$AZ$300,G1360,4)</f>
        <v>1</v>
      </c>
      <c r="M1360" s="1" t="n">
        <f aca="false">DATE(Pemetaan!$B$1,VALUE(RIGHT(INDEX(Laporan!$A$1:$AZ$300,F1360+1,H1360),2)),VALUE(LEFT(INDEX(Laporan!$A$1:$AZ$300,F1360+1,H1360),2)))</f>
        <v>46093</v>
      </c>
      <c r="N1360" s="0" t="n">
        <f aca="false">INDEX(Laporan!$A$1:$AZ$300,G1360,H1360)</f>
        <v>17</v>
      </c>
      <c r="O1360" s="0" t="n">
        <f aca="false">IF(N1360="","",IFERROR(VALUE(SUBSTITUTE(SUBSTITUTE(N1360," btl",""),".","")),""))</f>
        <v>17</v>
      </c>
      <c r="P1360" s="0" t="str">
        <f aca="false">IF(B1360="PRODUKSI","produced","reject")</f>
        <v>reject</v>
      </c>
    </row>
    <row r="1361" customFormat="false" ht="15" hidden="false" customHeight="false" outlineLevel="0" collapsed="false">
      <c r="A1361" s="0" t="n">
        <v>1360</v>
      </c>
      <c r="B1361" s="0" t="str">
        <f aca="false">IF(A1361&lt;=36*25,"PRODUKSI","REJECT")</f>
        <v>REJECT</v>
      </c>
      <c r="C1361" s="0" t="n">
        <f aca="false">MOD(A1361-1,Pemetaan!$B$3*Pemetaan!$B$4)</f>
        <v>459</v>
      </c>
      <c r="D1361" s="0" t="n">
        <f aca="false">INT(C1361/Pemetaan!$B$4)</f>
        <v>18</v>
      </c>
      <c r="E1361" s="0" t="n">
        <f aca="false">MOD(C1361,Pemetaan!$B$4)</f>
        <v>9</v>
      </c>
      <c r="F1361" s="0" t="n">
        <f aca="false">IF(B1361="PRODUKSI",Pemetaan!$B$5,Pemetaan!$B$6)</f>
        <v>46</v>
      </c>
      <c r="G1361" s="0" t="n">
        <f aca="false">F1361+2+D1361</f>
        <v>66</v>
      </c>
      <c r="H1361" s="0" t="n">
        <f aca="false">Pemetaan!$B$2+E1361</f>
        <v>14</v>
      </c>
      <c r="I1361" s="0" t="str">
        <f aca="false">INDEX(Laporan!$A$1:$AZ$300,G1361,1)</f>
        <v>Mixing</v>
      </c>
      <c r="J1361" s="0" t="str">
        <f aca="false">INDEX(Laporan!$A$1:$AZ$300,G1361,2)</f>
        <v>330 ml</v>
      </c>
      <c r="K1361" s="0" t="str">
        <f aca="false">INDEX(Laporan!$A$1:$AZ$300,G1361,3)</f>
        <v>Shift 1</v>
      </c>
      <c r="L1361" s="0" t="n">
        <f aca="false">INDEX(Laporan!$A$1:$AZ$300,G1361,4)</f>
        <v>1</v>
      </c>
      <c r="M1361" s="1" t="n">
        <f aca="false">DATE(Pemetaan!$B$1,VALUE(RIGHT(INDEX(Laporan!$A$1:$AZ$300,F1361+1,H1361),2)),VALUE(LEFT(INDEX(Laporan!$A$1:$AZ$300,F1361+1,H1361),2)))</f>
        <v>46094</v>
      </c>
      <c r="N1361" s="0" t="n">
        <f aca="false">INDEX(Laporan!$A$1:$AZ$300,G1361,H1361)</f>
        <v>16</v>
      </c>
      <c r="O1361" s="0" t="n">
        <f aca="false">IF(N1361="","",IFERROR(VALUE(SUBSTITUTE(SUBSTITUTE(N1361," btl",""),".","")),""))</f>
        <v>16</v>
      </c>
      <c r="P1361" s="0" t="str">
        <f aca="false">IF(B1361="PRODUKSI","produced","reject")</f>
        <v>reject</v>
      </c>
    </row>
    <row r="1362" customFormat="false" ht="15" hidden="false" customHeight="false" outlineLevel="0" collapsed="false">
      <c r="A1362" s="0" t="n">
        <v>1361</v>
      </c>
      <c r="B1362" s="0" t="str">
        <f aca="false">IF(A1362&lt;=36*25,"PRODUKSI","REJECT")</f>
        <v>REJECT</v>
      </c>
      <c r="C1362" s="0" t="n">
        <f aca="false">MOD(A1362-1,Pemetaan!$B$3*Pemetaan!$B$4)</f>
        <v>460</v>
      </c>
      <c r="D1362" s="0" t="n">
        <f aca="false">INT(C1362/Pemetaan!$B$4)</f>
        <v>18</v>
      </c>
      <c r="E1362" s="0" t="n">
        <f aca="false">MOD(C1362,Pemetaan!$B$4)</f>
        <v>10</v>
      </c>
      <c r="F1362" s="0" t="n">
        <f aca="false">IF(B1362="PRODUKSI",Pemetaan!$B$5,Pemetaan!$B$6)</f>
        <v>46</v>
      </c>
      <c r="G1362" s="0" t="n">
        <f aca="false">F1362+2+D1362</f>
        <v>66</v>
      </c>
      <c r="H1362" s="0" t="n">
        <f aca="false">Pemetaan!$B$2+E1362</f>
        <v>15</v>
      </c>
      <c r="I1362" s="0" t="str">
        <f aca="false">INDEX(Laporan!$A$1:$AZ$300,G1362,1)</f>
        <v>Mixing</v>
      </c>
      <c r="J1362" s="0" t="str">
        <f aca="false">INDEX(Laporan!$A$1:$AZ$300,G1362,2)</f>
        <v>330 ml</v>
      </c>
      <c r="K1362" s="0" t="str">
        <f aca="false">INDEX(Laporan!$A$1:$AZ$300,G1362,3)</f>
        <v>Shift 1</v>
      </c>
      <c r="L1362" s="0" t="n">
        <f aca="false">INDEX(Laporan!$A$1:$AZ$300,G1362,4)</f>
        <v>1</v>
      </c>
      <c r="M1362" s="1" t="n">
        <f aca="false">DATE(Pemetaan!$B$1,VALUE(RIGHT(INDEX(Laporan!$A$1:$AZ$300,F1362+1,H1362),2)),VALUE(LEFT(INDEX(Laporan!$A$1:$AZ$300,F1362+1,H1362),2)))</f>
        <v>46097</v>
      </c>
      <c r="N1362" s="0" t="n">
        <f aca="false">INDEX(Laporan!$A$1:$AZ$300,G1362,H1362)</f>
        <v>17</v>
      </c>
      <c r="O1362" s="0" t="n">
        <f aca="false">IF(N1362="","",IFERROR(VALUE(SUBSTITUTE(SUBSTITUTE(N1362," btl",""),".","")),""))</f>
        <v>17</v>
      </c>
      <c r="P1362" s="0" t="str">
        <f aca="false">IF(B1362="PRODUKSI","produced","reject")</f>
        <v>reject</v>
      </c>
    </row>
    <row r="1363" customFormat="false" ht="15" hidden="false" customHeight="false" outlineLevel="0" collapsed="false">
      <c r="A1363" s="0" t="n">
        <v>1362</v>
      </c>
      <c r="B1363" s="0" t="str">
        <f aca="false">IF(A1363&lt;=36*25,"PRODUKSI","REJECT")</f>
        <v>REJECT</v>
      </c>
      <c r="C1363" s="0" t="n">
        <f aca="false">MOD(A1363-1,Pemetaan!$B$3*Pemetaan!$B$4)</f>
        <v>461</v>
      </c>
      <c r="D1363" s="0" t="n">
        <f aca="false">INT(C1363/Pemetaan!$B$4)</f>
        <v>18</v>
      </c>
      <c r="E1363" s="0" t="n">
        <f aca="false">MOD(C1363,Pemetaan!$B$4)</f>
        <v>11</v>
      </c>
      <c r="F1363" s="0" t="n">
        <f aca="false">IF(B1363="PRODUKSI",Pemetaan!$B$5,Pemetaan!$B$6)</f>
        <v>46</v>
      </c>
      <c r="G1363" s="0" t="n">
        <f aca="false">F1363+2+D1363</f>
        <v>66</v>
      </c>
      <c r="H1363" s="0" t="n">
        <f aca="false">Pemetaan!$B$2+E1363</f>
        <v>16</v>
      </c>
      <c r="I1363" s="0" t="str">
        <f aca="false">INDEX(Laporan!$A$1:$AZ$300,G1363,1)</f>
        <v>Mixing</v>
      </c>
      <c r="J1363" s="0" t="str">
        <f aca="false">INDEX(Laporan!$A$1:$AZ$300,G1363,2)</f>
        <v>330 ml</v>
      </c>
      <c r="K1363" s="0" t="str">
        <f aca="false">INDEX(Laporan!$A$1:$AZ$300,G1363,3)</f>
        <v>Shift 1</v>
      </c>
      <c r="L1363" s="0" t="n">
        <f aca="false">INDEX(Laporan!$A$1:$AZ$300,G1363,4)</f>
        <v>1</v>
      </c>
      <c r="M1363" s="1" t="n">
        <f aca="false">DATE(Pemetaan!$B$1,VALUE(RIGHT(INDEX(Laporan!$A$1:$AZ$300,F1363+1,H1363),2)),VALUE(LEFT(INDEX(Laporan!$A$1:$AZ$300,F1363+1,H1363),2)))</f>
        <v>46098</v>
      </c>
      <c r="N1363" s="0" t="n">
        <f aca="false">INDEX(Laporan!$A$1:$AZ$300,G1363,H1363)</f>
        <v>16</v>
      </c>
      <c r="O1363" s="0" t="n">
        <f aca="false">IF(N1363="","",IFERROR(VALUE(SUBSTITUTE(SUBSTITUTE(N1363," btl",""),".","")),""))</f>
        <v>16</v>
      </c>
      <c r="P1363" s="0" t="str">
        <f aca="false">IF(B1363="PRODUKSI","produced","reject")</f>
        <v>reject</v>
      </c>
    </row>
    <row r="1364" customFormat="false" ht="15" hidden="false" customHeight="false" outlineLevel="0" collapsed="false">
      <c r="A1364" s="0" t="n">
        <v>1363</v>
      </c>
      <c r="B1364" s="0" t="str">
        <f aca="false">IF(A1364&lt;=36*25,"PRODUKSI","REJECT")</f>
        <v>REJECT</v>
      </c>
      <c r="C1364" s="0" t="n">
        <f aca="false">MOD(A1364-1,Pemetaan!$B$3*Pemetaan!$B$4)</f>
        <v>462</v>
      </c>
      <c r="D1364" s="0" t="n">
        <f aca="false">INT(C1364/Pemetaan!$B$4)</f>
        <v>18</v>
      </c>
      <c r="E1364" s="0" t="n">
        <f aca="false">MOD(C1364,Pemetaan!$B$4)</f>
        <v>12</v>
      </c>
      <c r="F1364" s="0" t="n">
        <f aca="false">IF(B1364="PRODUKSI",Pemetaan!$B$5,Pemetaan!$B$6)</f>
        <v>46</v>
      </c>
      <c r="G1364" s="0" t="n">
        <f aca="false">F1364+2+D1364</f>
        <v>66</v>
      </c>
      <c r="H1364" s="0" t="n">
        <f aca="false">Pemetaan!$B$2+E1364</f>
        <v>17</v>
      </c>
      <c r="I1364" s="0" t="str">
        <f aca="false">INDEX(Laporan!$A$1:$AZ$300,G1364,1)</f>
        <v>Mixing</v>
      </c>
      <c r="J1364" s="0" t="str">
        <f aca="false">INDEX(Laporan!$A$1:$AZ$300,G1364,2)</f>
        <v>330 ml</v>
      </c>
      <c r="K1364" s="0" t="str">
        <f aca="false">INDEX(Laporan!$A$1:$AZ$300,G1364,3)</f>
        <v>Shift 1</v>
      </c>
      <c r="L1364" s="0" t="n">
        <f aca="false">INDEX(Laporan!$A$1:$AZ$300,G1364,4)</f>
        <v>1</v>
      </c>
      <c r="M1364" s="1" t="n">
        <f aca="false">DATE(Pemetaan!$B$1,VALUE(RIGHT(INDEX(Laporan!$A$1:$AZ$300,F1364+1,H1364),2)),VALUE(LEFT(INDEX(Laporan!$A$1:$AZ$300,F1364+1,H1364),2)))</f>
        <v>46099</v>
      </c>
      <c r="N1364" s="0" t="n">
        <f aca="false">INDEX(Laporan!$A$1:$AZ$300,G1364,H1364)</f>
        <v>22</v>
      </c>
      <c r="O1364" s="0" t="n">
        <f aca="false">IF(N1364="","",IFERROR(VALUE(SUBSTITUTE(SUBSTITUTE(N1364," btl",""),".","")),""))</f>
        <v>22</v>
      </c>
      <c r="P1364" s="0" t="str">
        <f aca="false">IF(B1364="PRODUKSI","produced","reject")</f>
        <v>reject</v>
      </c>
    </row>
    <row r="1365" customFormat="false" ht="15" hidden="false" customHeight="false" outlineLevel="0" collapsed="false">
      <c r="A1365" s="0" t="n">
        <v>1364</v>
      </c>
      <c r="B1365" s="0" t="str">
        <f aca="false">IF(A1365&lt;=36*25,"PRODUKSI","REJECT")</f>
        <v>REJECT</v>
      </c>
      <c r="C1365" s="0" t="n">
        <f aca="false">MOD(A1365-1,Pemetaan!$B$3*Pemetaan!$B$4)</f>
        <v>463</v>
      </c>
      <c r="D1365" s="0" t="n">
        <f aca="false">INT(C1365/Pemetaan!$B$4)</f>
        <v>18</v>
      </c>
      <c r="E1365" s="0" t="n">
        <f aca="false">MOD(C1365,Pemetaan!$B$4)</f>
        <v>13</v>
      </c>
      <c r="F1365" s="0" t="n">
        <f aca="false">IF(B1365="PRODUKSI",Pemetaan!$B$5,Pemetaan!$B$6)</f>
        <v>46</v>
      </c>
      <c r="G1365" s="0" t="n">
        <f aca="false">F1365+2+D1365</f>
        <v>66</v>
      </c>
      <c r="H1365" s="0" t="n">
        <f aca="false">Pemetaan!$B$2+E1365</f>
        <v>18</v>
      </c>
      <c r="I1365" s="0" t="str">
        <f aca="false">INDEX(Laporan!$A$1:$AZ$300,G1365,1)</f>
        <v>Mixing</v>
      </c>
      <c r="J1365" s="0" t="str">
        <f aca="false">INDEX(Laporan!$A$1:$AZ$300,G1365,2)</f>
        <v>330 ml</v>
      </c>
      <c r="K1365" s="0" t="str">
        <f aca="false">INDEX(Laporan!$A$1:$AZ$300,G1365,3)</f>
        <v>Shift 1</v>
      </c>
      <c r="L1365" s="0" t="n">
        <f aca="false">INDEX(Laporan!$A$1:$AZ$300,G1365,4)</f>
        <v>1</v>
      </c>
      <c r="M1365" s="1" t="n">
        <f aca="false">DATE(Pemetaan!$B$1,VALUE(RIGHT(INDEX(Laporan!$A$1:$AZ$300,F1365+1,H1365),2)),VALUE(LEFT(INDEX(Laporan!$A$1:$AZ$300,F1365+1,H1365),2)))</f>
        <v>46100</v>
      </c>
      <c r="N1365" s="0" t="n">
        <f aca="false">INDEX(Laporan!$A$1:$AZ$300,G1365,H1365)</f>
        <v>7</v>
      </c>
      <c r="O1365" s="0" t="n">
        <f aca="false">IF(N1365="","",IFERROR(VALUE(SUBSTITUTE(SUBSTITUTE(N1365," btl",""),".","")),""))</f>
        <v>7</v>
      </c>
      <c r="P1365" s="0" t="str">
        <f aca="false">IF(B1365="PRODUKSI","produced","reject")</f>
        <v>reject</v>
      </c>
    </row>
    <row r="1366" customFormat="false" ht="15" hidden="false" customHeight="false" outlineLevel="0" collapsed="false">
      <c r="A1366" s="0" t="n">
        <v>1365</v>
      </c>
      <c r="B1366" s="0" t="str">
        <f aca="false">IF(A1366&lt;=36*25,"PRODUKSI","REJECT")</f>
        <v>REJECT</v>
      </c>
      <c r="C1366" s="0" t="n">
        <f aca="false">MOD(A1366-1,Pemetaan!$B$3*Pemetaan!$B$4)</f>
        <v>464</v>
      </c>
      <c r="D1366" s="0" t="n">
        <f aca="false">INT(C1366/Pemetaan!$B$4)</f>
        <v>18</v>
      </c>
      <c r="E1366" s="0" t="n">
        <f aca="false">MOD(C1366,Pemetaan!$B$4)</f>
        <v>14</v>
      </c>
      <c r="F1366" s="0" t="n">
        <f aca="false">IF(B1366="PRODUKSI",Pemetaan!$B$5,Pemetaan!$B$6)</f>
        <v>46</v>
      </c>
      <c r="G1366" s="0" t="n">
        <f aca="false">F1366+2+D1366</f>
        <v>66</v>
      </c>
      <c r="H1366" s="0" t="n">
        <f aca="false">Pemetaan!$B$2+E1366</f>
        <v>19</v>
      </c>
      <c r="I1366" s="0" t="str">
        <f aca="false">INDEX(Laporan!$A$1:$AZ$300,G1366,1)</f>
        <v>Mixing</v>
      </c>
      <c r="J1366" s="0" t="str">
        <f aca="false">INDEX(Laporan!$A$1:$AZ$300,G1366,2)</f>
        <v>330 ml</v>
      </c>
      <c r="K1366" s="0" t="str">
        <f aca="false">INDEX(Laporan!$A$1:$AZ$300,G1366,3)</f>
        <v>Shift 1</v>
      </c>
      <c r="L1366" s="0" t="n">
        <f aca="false">INDEX(Laporan!$A$1:$AZ$300,G1366,4)</f>
        <v>1</v>
      </c>
      <c r="M1366" s="1" t="n">
        <f aca="false">DATE(Pemetaan!$B$1,VALUE(RIGHT(INDEX(Laporan!$A$1:$AZ$300,F1366+1,H1366),2)),VALUE(LEFT(INDEX(Laporan!$A$1:$AZ$300,F1366+1,H1366),2)))</f>
        <v>46101</v>
      </c>
      <c r="N1366" s="0" t="n">
        <f aca="false">INDEX(Laporan!$A$1:$AZ$300,G1366,H1366)</f>
        <v>16</v>
      </c>
      <c r="O1366" s="0" t="n">
        <f aca="false">IF(N1366="","",IFERROR(VALUE(SUBSTITUTE(SUBSTITUTE(N1366," btl",""),".","")),""))</f>
        <v>16</v>
      </c>
      <c r="P1366" s="0" t="str">
        <f aca="false">IF(B1366="PRODUKSI","produced","reject")</f>
        <v>reject</v>
      </c>
    </row>
    <row r="1367" customFormat="false" ht="15" hidden="false" customHeight="false" outlineLevel="0" collapsed="false">
      <c r="A1367" s="0" t="n">
        <v>1366</v>
      </c>
      <c r="B1367" s="0" t="str">
        <f aca="false">IF(A1367&lt;=36*25,"PRODUKSI","REJECT")</f>
        <v>REJECT</v>
      </c>
      <c r="C1367" s="0" t="n">
        <f aca="false">MOD(A1367-1,Pemetaan!$B$3*Pemetaan!$B$4)</f>
        <v>465</v>
      </c>
      <c r="D1367" s="0" t="n">
        <f aca="false">INT(C1367/Pemetaan!$B$4)</f>
        <v>18</v>
      </c>
      <c r="E1367" s="0" t="n">
        <f aca="false">MOD(C1367,Pemetaan!$B$4)</f>
        <v>15</v>
      </c>
      <c r="F1367" s="0" t="n">
        <f aca="false">IF(B1367="PRODUKSI",Pemetaan!$B$5,Pemetaan!$B$6)</f>
        <v>46</v>
      </c>
      <c r="G1367" s="0" t="n">
        <f aca="false">F1367+2+D1367</f>
        <v>66</v>
      </c>
      <c r="H1367" s="0" t="n">
        <f aca="false">Pemetaan!$B$2+E1367</f>
        <v>20</v>
      </c>
      <c r="I1367" s="0" t="str">
        <f aca="false">INDEX(Laporan!$A$1:$AZ$300,G1367,1)</f>
        <v>Mixing</v>
      </c>
      <c r="J1367" s="0" t="str">
        <f aca="false">INDEX(Laporan!$A$1:$AZ$300,G1367,2)</f>
        <v>330 ml</v>
      </c>
      <c r="K1367" s="0" t="str">
        <f aca="false">INDEX(Laporan!$A$1:$AZ$300,G1367,3)</f>
        <v>Shift 1</v>
      </c>
      <c r="L1367" s="0" t="n">
        <f aca="false">INDEX(Laporan!$A$1:$AZ$300,G1367,4)</f>
        <v>1</v>
      </c>
      <c r="M1367" s="1" t="n">
        <f aca="false">DATE(Pemetaan!$B$1,VALUE(RIGHT(INDEX(Laporan!$A$1:$AZ$300,F1367+1,H1367),2)),VALUE(LEFT(INDEX(Laporan!$A$1:$AZ$300,F1367+1,H1367),2)))</f>
        <v>46104</v>
      </c>
      <c r="N1367" s="0" t="n">
        <f aca="false">INDEX(Laporan!$A$1:$AZ$300,G1367,H1367)</f>
        <v>13</v>
      </c>
      <c r="O1367" s="0" t="n">
        <f aca="false">IF(N1367="","",IFERROR(VALUE(SUBSTITUTE(SUBSTITUTE(N1367," btl",""),".","")),""))</f>
        <v>13</v>
      </c>
      <c r="P1367" s="0" t="str">
        <f aca="false">IF(B1367="PRODUKSI","produced","reject")</f>
        <v>reject</v>
      </c>
    </row>
    <row r="1368" customFormat="false" ht="15" hidden="false" customHeight="false" outlineLevel="0" collapsed="false">
      <c r="A1368" s="0" t="n">
        <v>1367</v>
      </c>
      <c r="B1368" s="0" t="str">
        <f aca="false">IF(A1368&lt;=36*25,"PRODUKSI","REJECT")</f>
        <v>REJECT</v>
      </c>
      <c r="C1368" s="0" t="n">
        <f aca="false">MOD(A1368-1,Pemetaan!$B$3*Pemetaan!$B$4)</f>
        <v>466</v>
      </c>
      <c r="D1368" s="0" t="n">
        <f aca="false">INT(C1368/Pemetaan!$B$4)</f>
        <v>18</v>
      </c>
      <c r="E1368" s="0" t="n">
        <f aca="false">MOD(C1368,Pemetaan!$B$4)</f>
        <v>16</v>
      </c>
      <c r="F1368" s="0" t="n">
        <f aca="false">IF(B1368="PRODUKSI",Pemetaan!$B$5,Pemetaan!$B$6)</f>
        <v>46</v>
      </c>
      <c r="G1368" s="0" t="n">
        <f aca="false">F1368+2+D1368</f>
        <v>66</v>
      </c>
      <c r="H1368" s="0" t="n">
        <f aca="false">Pemetaan!$B$2+E1368</f>
        <v>21</v>
      </c>
      <c r="I1368" s="0" t="str">
        <f aca="false">INDEX(Laporan!$A$1:$AZ$300,G1368,1)</f>
        <v>Mixing</v>
      </c>
      <c r="J1368" s="0" t="str">
        <f aca="false">INDEX(Laporan!$A$1:$AZ$300,G1368,2)</f>
        <v>330 ml</v>
      </c>
      <c r="K1368" s="0" t="str">
        <f aca="false">INDEX(Laporan!$A$1:$AZ$300,G1368,3)</f>
        <v>Shift 1</v>
      </c>
      <c r="L1368" s="0" t="n">
        <f aca="false">INDEX(Laporan!$A$1:$AZ$300,G1368,4)</f>
        <v>1</v>
      </c>
      <c r="M1368" s="1" t="n">
        <f aca="false">DATE(Pemetaan!$B$1,VALUE(RIGHT(INDEX(Laporan!$A$1:$AZ$300,F1368+1,H1368),2)),VALUE(LEFT(INDEX(Laporan!$A$1:$AZ$300,F1368+1,H1368),2)))</f>
        <v>46105</v>
      </c>
      <c r="N1368" s="0" t="n">
        <f aca="false">INDEX(Laporan!$A$1:$AZ$300,G1368,H1368)</f>
        <v>14</v>
      </c>
      <c r="O1368" s="0" t="n">
        <f aca="false">IF(N1368="","",IFERROR(VALUE(SUBSTITUTE(SUBSTITUTE(N1368," btl",""),".","")),""))</f>
        <v>14</v>
      </c>
      <c r="P1368" s="0" t="str">
        <f aca="false">IF(B1368="PRODUKSI","produced","reject")</f>
        <v>reject</v>
      </c>
    </row>
    <row r="1369" customFormat="false" ht="15" hidden="false" customHeight="false" outlineLevel="0" collapsed="false">
      <c r="A1369" s="0" t="n">
        <v>1368</v>
      </c>
      <c r="B1369" s="0" t="str">
        <f aca="false">IF(A1369&lt;=36*25,"PRODUKSI","REJECT")</f>
        <v>REJECT</v>
      </c>
      <c r="C1369" s="0" t="n">
        <f aca="false">MOD(A1369-1,Pemetaan!$B$3*Pemetaan!$B$4)</f>
        <v>467</v>
      </c>
      <c r="D1369" s="0" t="n">
        <f aca="false">INT(C1369/Pemetaan!$B$4)</f>
        <v>18</v>
      </c>
      <c r="E1369" s="0" t="n">
        <f aca="false">MOD(C1369,Pemetaan!$B$4)</f>
        <v>17</v>
      </c>
      <c r="F1369" s="0" t="n">
        <f aca="false">IF(B1369="PRODUKSI",Pemetaan!$B$5,Pemetaan!$B$6)</f>
        <v>46</v>
      </c>
      <c r="G1369" s="0" t="n">
        <f aca="false">F1369+2+D1369</f>
        <v>66</v>
      </c>
      <c r="H1369" s="0" t="n">
        <f aca="false">Pemetaan!$B$2+E1369</f>
        <v>22</v>
      </c>
      <c r="I1369" s="0" t="str">
        <f aca="false">INDEX(Laporan!$A$1:$AZ$300,G1369,1)</f>
        <v>Mixing</v>
      </c>
      <c r="J1369" s="0" t="str">
        <f aca="false">INDEX(Laporan!$A$1:$AZ$300,G1369,2)</f>
        <v>330 ml</v>
      </c>
      <c r="K1369" s="0" t="str">
        <f aca="false">INDEX(Laporan!$A$1:$AZ$300,G1369,3)</f>
        <v>Shift 1</v>
      </c>
      <c r="L1369" s="0" t="n">
        <f aca="false">INDEX(Laporan!$A$1:$AZ$300,G1369,4)</f>
        <v>1</v>
      </c>
      <c r="M1369" s="1" t="n">
        <f aca="false">DATE(Pemetaan!$B$1,VALUE(RIGHT(INDEX(Laporan!$A$1:$AZ$300,F1369+1,H1369),2)),VALUE(LEFT(INDEX(Laporan!$A$1:$AZ$300,F1369+1,H1369),2)))</f>
        <v>46106</v>
      </c>
      <c r="N1369" s="0" t="n">
        <f aca="false">INDEX(Laporan!$A$1:$AZ$300,G1369,H1369)</f>
        <v>23</v>
      </c>
      <c r="O1369" s="0" t="n">
        <f aca="false">IF(N1369="","",IFERROR(VALUE(SUBSTITUTE(SUBSTITUTE(N1369," btl",""),".","")),""))</f>
        <v>23</v>
      </c>
      <c r="P1369" s="0" t="str">
        <f aca="false">IF(B1369="PRODUKSI","produced","reject")</f>
        <v>reject</v>
      </c>
    </row>
    <row r="1370" customFormat="false" ht="15" hidden="false" customHeight="false" outlineLevel="0" collapsed="false">
      <c r="A1370" s="0" t="n">
        <v>1369</v>
      </c>
      <c r="B1370" s="0" t="str">
        <f aca="false">IF(A1370&lt;=36*25,"PRODUKSI","REJECT")</f>
        <v>REJECT</v>
      </c>
      <c r="C1370" s="0" t="n">
        <f aca="false">MOD(A1370-1,Pemetaan!$B$3*Pemetaan!$B$4)</f>
        <v>468</v>
      </c>
      <c r="D1370" s="0" t="n">
        <f aca="false">INT(C1370/Pemetaan!$B$4)</f>
        <v>18</v>
      </c>
      <c r="E1370" s="0" t="n">
        <f aca="false">MOD(C1370,Pemetaan!$B$4)</f>
        <v>18</v>
      </c>
      <c r="F1370" s="0" t="n">
        <f aca="false">IF(B1370="PRODUKSI",Pemetaan!$B$5,Pemetaan!$B$6)</f>
        <v>46</v>
      </c>
      <c r="G1370" s="0" t="n">
        <f aca="false">F1370+2+D1370</f>
        <v>66</v>
      </c>
      <c r="H1370" s="0" t="n">
        <f aca="false">Pemetaan!$B$2+E1370</f>
        <v>23</v>
      </c>
      <c r="I1370" s="0" t="str">
        <f aca="false">INDEX(Laporan!$A$1:$AZ$300,G1370,1)</f>
        <v>Mixing</v>
      </c>
      <c r="J1370" s="0" t="str">
        <f aca="false">INDEX(Laporan!$A$1:$AZ$300,G1370,2)</f>
        <v>330 ml</v>
      </c>
      <c r="K1370" s="0" t="str">
        <f aca="false">INDEX(Laporan!$A$1:$AZ$300,G1370,3)</f>
        <v>Shift 1</v>
      </c>
      <c r="L1370" s="0" t="n">
        <f aca="false">INDEX(Laporan!$A$1:$AZ$300,G1370,4)</f>
        <v>1</v>
      </c>
      <c r="M1370" s="1" t="n">
        <f aca="false">DATE(Pemetaan!$B$1,VALUE(RIGHT(INDEX(Laporan!$A$1:$AZ$300,F1370+1,H1370),2)),VALUE(LEFT(INDEX(Laporan!$A$1:$AZ$300,F1370+1,H1370),2)))</f>
        <v>46107</v>
      </c>
      <c r="N1370" s="0" t="n">
        <f aca="false">INDEX(Laporan!$A$1:$AZ$300,G1370,H1370)</f>
        <v>24</v>
      </c>
      <c r="O1370" s="0" t="n">
        <f aca="false">IF(N1370="","",IFERROR(VALUE(SUBSTITUTE(SUBSTITUTE(N1370," btl",""),".","")),""))</f>
        <v>24</v>
      </c>
      <c r="P1370" s="0" t="str">
        <f aca="false">IF(B1370="PRODUKSI","produced","reject")</f>
        <v>reject</v>
      </c>
    </row>
    <row r="1371" customFormat="false" ht="15" hidden="false" customHeight="false" outlineLevel="0" collapsed="false">
      <c r="A1371" s="0" t="n">
        <v>1370</v>
      </c>
      <c r="B1371" s="0" t="str">
        <f aca="false">IF(A1371&lt;=36*25,"PRODUKSI","REJECT")</f>
        <v>REJECT</v>
      </c>
      <c r="C1371" s="0" t="n">
        <f aca="false">MOD(A1371-1,Pemetaan!$B$3*Pemetaan!$B$4)</f>
        <v>469</v>
      </c>
      <c r="D1371" s="0" t="n">
        <f aca="false">INT(C1371/Pemetaan!$B$4)</f>
        <v>18</v>
      </c>
      <c r="E1371" s="0" t="n">
        <f aca="false">MOD(C1371,Pemetaan!$B$4)</f>
        <v>19</v>
      </c>
      <c r="F1371" s="0" t="n">
        <f aca="false">IF(B1371="PRODUKSI",Pemetaan!$B$5,Pemetaan!$B$6)</f>
        <v>46</v>
      </c>
      <c r="G1371" s="0" t="n">
        <f aca="false">F1371+2+D1371</f>
        <v>66</v>
      </c>
      <c r="H1371" s="0" t="n">
        <f aca="false">Pemetaan!$B$2+E1371</f>
        <v>24</v>
      </c>
      <c r="I1371" s="0" t="str">
        <f aca="false">INDEX(Laporan!$A$1:$AZ$300,G1371,1)</f>
        <v>Mixing</v>
      </c>
      <c r="J1371" s="0" t="str">
        <f aca="false">INDEX(Laporan!$A$1:$AZ$300,G1371,2)</f>
        <v>330 ml</v>
      </c>
      <c r="K1371" s="0" t="str">
        <f aca="false">INDEX(Laporan!$A$1:$AZ$300,G1371,3)</f>
        <v>Shift 1</v>
      </c>
      <c r="L1371" s="0" t="n">
        <f aca="false">INDEX(Laporan!$A$1:$AZ$300,G1371,4)</f>
        <v>1</v>
      </c>
      <c r="M1371" s="1" t="n">
        <f aca="false">DATE(Pemetaan!$B$1,VALUE(RIGHT(INDEX(Laporan!$A$1:$AZ$300,F1371+1,H1371),2)),VALUE(LEFT(INDEX(Laporan!$A$1:$AZ$300,F1371+1,H1371),2)))</f>
        <v>46108</v>
      </c>
      <c r="N1371" s="0" t="n">
        <f aca="false">INDEX(Laporan!$A$1:$AZ$300,G1371,H1371)</f>
        <v>25</v>
      </c>
      <c r="O1371" s="0" t="n">
        <f aca="false">IF(N1371="","",IFERROR(VALUE(SUBSTITUTE(SUBSTITUTE(N1371," btl",""),".","")),""))</f>
        <v>25</v>
      </c>
      <c r="P1371" s="0" t="str">
        <f aca="false">IF(B1371="PRODUKSI","produced","reject")</f>
        <v>reject</v>
      </c>
    </row>
    <row r="1372" customFormat="false" ht="15" hidden="false" customHeight="false" outlineLevel="0" collapsed="false">
      <c r="A1372" s="0" t="n">
        <v>1371</v>
      </c>
      <c r="B1372" s="0" t="str">
        <f aca="false">IF(A1372&lt;=36*25,"PRODUKSI","REJECT")</f>
        <v>REJECT</v>
      </c>
      <c r="C1372" s="0" t="n">
        <f aca="false">MOD(A1372-1,Pemetaan!$B$3*Pemetaan!$B$4)</f>
        <v>470</v>
      </c>
      <c r="D1372" s="0" t="n">
        <f aca="false">INT(C1372/Pemetaan!$B$4)</f>
        <v>18</v>
      </c>
      <c r="E1372" s="0" t="n">
        <f aca="false">MOD(C1372,Pemetaan!$B$4)</f>
        <v>20</v>
      </c>
      <c r="F1372" s="0" t="n">
        <f aca="false">IF(B1372="PRODUKSI",Pemetaan!$B$5,Pemetaan!$B$6)</f>
        <v>46</v>
      </c>
      <c r="G1372" s="0" t="n">
        <f aca="false">F1372+2+D1372</f>
        <v>66</v>
      </c>
      <c r="H1372" s="0" t="n">
        <f aca="false">Pemetaan!$B$2+E1372</f>
        <v>25</v>
      </c>
      <c r="I1372" s="0" t="str">
        <f aca="false">INDEX(Laporan!$A$1:$AZ$300,G1372,1)</f>
        <v>Mixing</v>
      </c>
      <c r="J1372" s="0" t="str">
        <f aca="false">INDEX(Laporan!$A$1:$AZ$300,G1372,2)</f>
        <v>330 ml</v>
      </c>
      <c r="K1372" s="0" t="str">
        <f aca="false">INDEX(Laporan!$A$1:$AZ$300,G1372,3)</f>
        <v>Shift 1</v>
      </c>
      <c r="L1372" s="0" t="n">
        <f aca="false">INDEX(Laporan!$A$1:$AZ$300,G1372,4)</f>
        <v>1</v>
      </c>
      <c r="M1372" s="1" t="n">
        <f aca="false">DATE(Pemetaan!$B$1,VALUE(RIGHT(INDEX(Laporan!$A$1:$AZ$300,F1372+1,H1372),2)),VALUE(LEFT(INDEX(Laporan!$A$1:$AZ$300,F1372+1,H1372),2)))</f>
        <v>46111</v>
      </c>
      <c r="N1372" s="0" t="n">
        <f aca="false">INDEX(Laporan!$A$1:$AZ$300,G1372,H1372)</f>
        <v>12</v>
      </c>
      <c r="O1372" s="0" t="n">
        <f aca="false">IF(N1372="","",IFERROR(VALUE(SUBSTITUTE(SUBSTITUTE(N1372," btl",""),".","")),""))</f>
        <v>12</v>
      </c>
      <c r="P1372" s="0" t="str">
        <f aca="false">IF(B1372="PRODUKSI","produced","reject")</f>
        <v>reject</v>
      </c>
    </row>
    <row r="1373" customFormat="false" ht="15" hidden="false" customHeight="false" outlineLevel="0" collapsed="false">
      <c r="A1373" s="0" t="n">
        <v>1372</v>
      </c>
      <c r="B1373" s="0" t="str">
        <f aca="false">IF(A1373&lt;=36*25,"PRODUKSI","REJECT")</f>
        <v>REJECT</v>
      </c>
      <c r="C1373" s="0" t="n">
        <f aca="false">MOD(A1373-1,Pemetaan!$B$3*Pemetaan!$B$4)</f>
        <v>471</v>
      </c>
      <c r="D1373" s="0" t="n">
        <f aca="false">INT(C1373/Pemetaan!$B$4)</f>
        <v>18</v>
      </c>
      <c r="E1373" s="0" t="n">
        <f aca="false">MOD(C1373,Pemetaan!$B$4)</f>
        <v>21</v>
      </c>
      <c r="F1373" s="0" t="n">
        <f aca="false">IF(B1373="PRODUKSI",Pemetaan!$B$5,Pemetaan!$B$6)</f>
        <v>46</v>
      </c>
      <c r="G1373" s="0" t="n">
        <f aca="false">F1373+2+D1373</f>
        <v>66</v>
      </c>
      <c r="H1373" s="0" t="n">
        <f aca="false">Pemetaan!$B$2+E1373</f>
        <v>26</v>
      </c>
      <c r="I1373" s="0" t="str">
        <f aca="false">INDEX(Laporan!$A$1:$AZ$300,G1373,1)</f>
        <v>Mixing</v>
      </c>
      <c r="J1373" s="0" t="str">
        <f aca="false">INDEX(Laporan!$A$1:$AZ$300,G1373,2)</f>
        <v>330 ml</v>
      </c>
      <c r="K1373" s="0" t="str">
        <f aca="false">INDEX(Laporan!$A$1:$AZ$300,G1373,3)</f>
        <v>Shift 1</v>
      </c>
      <c r="L1373" s="0" t="n">
        <f aca="false">INDEX(Laporan!$A$1:$AZ$300,G1373,4)</f>
        <v>1</v>
      </c>
      <c r="M1373" s="1" t="n">
        <f aca="false">DATE(Pemetaan!$B$1,VALUE(RIGHT(INDEX(Laporan!$A$1:$AZ$300,F1373+1,H1373),2)),VALUE(LEFT(INDEX(Laporan!$A$1:$AZ$300,F1373+1,H1373),2)))</f>
        <v>46112</v>
      </c>
      <c r="N1373" s="0" t="n">
        <f aca="false">INDEX(Laporan!$A$1:$AZ$300,G1373,H1373)</f>
        <v>25</v>
      </c>
      <c r="O1373" s="0" t="n">
        <f aca="false">IF(N1373="","",IFERROR(VALUE(SUBSTITUTE(SUBSTITUTE(N1373," btl",""),".","")),""))</f>
        <v>25</v>
      </c>
      <c r="P1373" s="0" t="str">
        <f aca="false">IF(B1373="PRODUKSI","produced","reject")</f>
        <v>reject</v>
      </c>
    </row>
    <row r="1374" customFormat="false" ht="15" hidden="false" customHeight="false" outlineLevel="0" collapsed="false">
      <c r="A1374" s="0" t="n">
        <v>1373</v>
      </c>
      <c r="B1374" s="0" t="str">
        <f aca="false">IF(A1374&lt;=36*25,"PRODUKSI","REJECT")</f>
        <v>REJECT</v>
      </c>
      <c r="C1374" s="0" t="n">
        <f aca="false">MOD(A1374-1,Pemetaan!$B$3*Pemetaan!$B$4)</f>
        <v>472</v>
      </c>
      <c r="D1374" s="0" t="n">
        <f aca="false">INT(C1374/Pemetaan!$B$4)</f>
        <v>18</v>
      </c>
      <c r="E1374" s="0" t="n">
        <f aca="false">MOD(C1374,Pemetaan!$B$4)</f>
        <v>22</v>
      </c>
      <c r="F1374" s="0" t="n">
        <f aca="false">IF(B1374="PRODUKSI",Pemetaan!$B$5,Pemetaan!$B$6)</f>
        <v>46</v>
      </c>
      <c r="G1374" s="0" t="n">
        <f aca="false">F1374+2+D1374</f>
        <v>66</v>
      </c>
      <c r="H1374" s="0" t="n">
        <f aca="false">Pemetaan!$B$2+E1374</f>
        <v>27</v>
      </c>
      <c r="I1374" s="0" t="str">
        <f aca="false">INDEX(Laporan!$A$1:$AZ$300,G1374,1)</f>
        <v>Mixing</v>
      </c>
      <c r="J1374" s="0" t="str">
        <f aca="false">INDEX(Laporan!$A$1:$AZ$300,G1374,2)</f>
        <v>330 ml</v>
      </c>
      <c r="K1374" s="0" t="str">
        <f aca="false">INDEX(Laporan!$A$1:$AZ$300,G1374,3)</f>
        <v>Shift 1</v>
      </c>
      <c r="L1374" s="0" t="n">
        <f aca="false">INDEX(Laporan!$A$1:$AZ$300,G1374,4)</f>
        <v>1</v>
      </c>
      <c r="M1374" s="1" t="n">
        <f aca="false">DATE(Pemetaan!$B$1,VALUE(RIGHT(INDEX(Laporan!$A$1:$AZ$300,F1374+1,H1374),2)),VALUE(LEFT(INDEX(Laporan!$A$1:$AZ$300,F1374+1,H1374),2)))</f>
        <v>46113</v>
      </c>
      <c r="N1374" s="0" t="n">
        <f aca="false">INDEX(Laporan!$A$1:$AZ$300,G1374,H1374)</f>
        <v>17</v>
      </c>
      <c r="O1374" s="0" t="n">
        <f aca="false">IF(N1374="","",IFERROR(VALUE(SUBSTITUTE(SUBSTITUTE(N1374," btl",""),".","")),""))</f>
        <v>17</v>
      </c>
      <c r="P1374" s="0" t="str">
        <f aca="false">IF(B1374="PRODUKSI","produced","reject")</f>
        <v>reject</v>
      </c>
    </row>
    <row r="1375" customFormat="false" ht="15" hidden="false" customHeight="false" outlineLevel="0" collapsed="false">
      <c r="A1375" s="0" t="n">
        <v>1374</v>
      </c>
      <c r="B1375" s="0" t="str">
        <f aca="false">IF(A1375&lt;=36*25,"PRODUKSI","REJECT")</f>
        <v>REJECT</v>
      </c>
      <c r="C1375" s="0" t="n">
        <f aca="false">MOD(A1375-1,Pemetaan!$B$3*Pemetaan!$B$4)</f>
        <v>473</v>
      </c>
      <c r="D1375" s="0" t="n">
        <f aca="false">INT(C1375/Pemetaan!$B$4)</f>
        <v>18</v>
      </c>
      <c r="E1375" s="0" t="n">
        <f aca="false">MOD(C1375,Pemetaan!$B$4)</f>
        <v>23</v>
      </c>
      <c r="F1375" s="0" t="n">
        <f aca="false">IF(B1375="PRODUKSI",Pemetaan!$B$5,Pemetaan!$B$6)</f>
        <v>46</v>
      </c>
      <c r="G1375" s="0" t="n">
        <f aca="false">F1375+2+D1375</f>
        <v>66</v>
      </c>
      <c r="H1375" s="0" t="n">
        <f aca="false">Pemetaan!$B$2+E1375</f>
        <v>28</v>
      </c>
      <c r="I1375" s="0" t="str">
        <f aca="false">INDEX(Laporan!$A$1:$AZ$300,G1375,1)</f>
        <v>Mixing</v>
      </c>
      <c r="J1375" s="0" t="str">
        <f aca="false">INDEX(Laporan!$A$1:$AZ$300,G1375,2)</f>
        <v>330 ml</v>
      </c>
      <c r="K1375" s="0" t="str">
        <f aca="false">INDEX(Laporan!$A$1:$AZ$300,G1375,3)</f>
        <v>Shift 1</v>
      </c>
      <c r="L1375" s="0" t="n">
        <f aca="false">INDEX(Laporan!$A$1:$AZ$300,G1375,4)</f>
        <v>1</v>
      </c>
      <c r="M1375" s="1" t="n">
        <f aca="false">DATE(Pemetaan!$B$1,VALUE(RIGHT(INDEX(Laporan!$A$1:$AZ$300,F1375+1,H1375),2)),VALUE(LEFT(INDEX(Laporan!$A$1:$AZ$300,F1375+1,H1375),2)))</f>
        <v>46114</v>
      </c>
      <c r="N1375" s="0" t="n">
        <f aca="false">INDEX(Laporan!$A$1:$AZ$300,G1375,H1375)</f>
        <v>18</v>
      </c>
      <c r="O1375" s="0" t="n">
        <f aca="false">IF(N1375="","",IFERROR(VALUE(SUBSTITUTE(SUBSTITUTE(N1375," btl",""),".","")),""))</f>
        <v>18</v>
      </c>
      <c r="P1375" s="0" t="str">
        <f aca="false">IF(B1375="PRODUKSI","produced","reject")</f>
        <v>reject</v>
      </c>
    </row>
    <row r="1376" customFormat="false" ht="15" hidden="false" customHeight="false" outlineLevel="0" collapsed="false">
      <c r="A1376" s="0" t="n">
        <v>1375</v>
      </c>
      <c r="B1376" s="0" t="str">
        <f aca="false">IF(A1376&lt;=36*25,"PRODUKSI","REJECT")</f>
        <v>REJECT</v>
      </c>
      <c r="C1376" s="0" t="n">
        <f aca="false">MOD(A1376-1,Pemetaan!$B$3*Pemetaan!$B$4)</f>
        <v>474</v>
      </c>
      <c r="D1376" s="0" t="n">
        <f aca="false">INT(C1376/Pemetaan!$B$4)</f>
        <v>18</v>
      </c>
      <c r="E1376" s="0" t="n">
        <f aca="false">MOD(C1376,Pemetaan!$B$4)</f>
        <v>24</v>
      </c>
      <c r="F1376" s="0" t="n">
        <f aca="false">IF(B1376="PRODUKSI",Pemetaan!$B$5,Pemetaan!$B$6)</f>
        <v>46</v>
      </c>
      <c r="G1376" s="0" t="n">
        <f aca="false">F1376+2+D1376</f>
        <v>66</v>
      </c>
      <c r="H1376" s="0" t="n">
        <f aca="false">Pemetaan!$B$2+E1376</f>
        <v>29</v>
      </c>
      <c r="I1376" s="0" t="str">
        <f aca="false">INDEX(Laporan!$A$1:$AZ$300,G1376,1)</f>
        <v>Mixing</v>
      </c>
      <c r="J1376" s="0" t="str">
        <f aca="false">INDEX(Laporan!$A$1:$AZ$300,G1376,2)</f>
        <v>330 ml</v>
      </c>
      <c r="K1376" s="0" t="str">
        <f aca="false">INDEX(Laporan!$A$1:$AZ$300,G1376,3)</f>
        <v>Shift 1</v>
      </c>
      <c r="L1376" s="0" t="n">
        <f aca="false">INDEX(Laporan!$A$1:$AZ$300,G1376,4)</f>
        <v>1</v>
      </c>
      <c r="M1376" s="1" t="n">
        <f aca="false">DATE(Pemetaan!$B$1,VALUE(RIGHT(INDEX(Laporan!$A$1:$AZ$300,F1376+1,H1376),2)),VALUE(LEFT(INDEX(Laporan!$A$1:$AZ$300,F1376+1,H1376),2)))</f>
        <v>46115</v>
      </c>
      <c r="N1376" s="0" t="n">
        <f aca="false">INDEX(Laporan!$A$1:$AZ$300,G1376,H1376)</f>
        <v>24</v>
      </c>
      <c r="O1376" s="0" t="n">
        <f aca="false">IF(N1376="","",IFERROR(VALUE(SUBSTITUTE(SUBSTITUTE(N1376," btl",""),".","")),""))</f>
        <v>24</v>
      </c>
      <c r="P1376" s="0" t="str">
        <f aca="false">IF(B1376="PRODUKSI","produced","reject")</f>
        <v>reject</v>
      </c>
    </row>
    <row r="1377" customFormat="false" ht="15" hidden="false" customHeight="false" outlineLevel="0" collapsed="false">
      <c r="A1377" s="0" t="n">
        <v>1376</v>
      </c>
      <c r="B1377" s="0" t="str">
        <f aca="false">IF(A1377&lt;=36*25,"PRODUKSI","REJECT")</f>
        <v>REJECT</v>
      </c>
      <c r="C1377" s="0" t="n">
        <f aca="false">MOD(A1377-1,Pemetaan!$B$3*Pemetaan!$B$4)</f>
        <v>475</v>
      </c>
      <c r="D1377" s="0" t="n">
        <f aca="false">INT(C1377/Pemetaan!$B$4)</f>
        <v>19</v>
      </c>
      <c r="E1377" s="0" t="n">
        <f aca="false">MOD(C1377,Pemetaan!$B$4)</f>
        <v>0</v>
      </c>
      <c r="F1377" s="0" t="n">
        <f aca="false">IF(B1377="PRODUKSI",Pemetaan!$B$5,Pemetaan!$B$6)</f>
        <v>46</v>
      </c>
      <c r="G1377" s="0" t="n">
        <f aca="false">F1377+2+D1377</f>
        <v>67</v>
      </c>
      <c r="H1377" s="0" t="n">
        <f aca="false">Pemetaan!$B$2+E1377</f>
        <v>5</v>
      </c>
      <c r="I1377" s="0" t="str">
        <f aca="false">INDEX(Laporan!$A$1:$AZ$300,G1377,1)</f>
        <v>Mixing</v>
      </c>
      <c r="J1377" s="0" t="str">
        <f aca="false">INDEX(Laporan!$A$1:$AZ$300,G1377,2)</f>
        <v>330 ml</v>
      </c>
      <c r="K1377" s="0" t="str">
        <f aca="false">INDEX(Laporan!$A$1:$AZ$300,G1377,3)</f>
        <v>Shift 1</v>
      </c>
      <c r="L1377" s="0" t="n">
        <f aca="false">INDEX(Laporan!$A$1:$AZ$300,G1377,4)</f>
        <v>2</v>
      </c>
      <c r="M1377" s="1" t="n">
        <f aca="false">DATE(Pemetaan!$B$1,VALUE(RIGHT(INDEX(Laporan!$A$1:$AZ$300,F1377+1,H1377),2)),VALUE(LEFT(INDEX(Laporan!$A$1:$AZ$300,F1377+1,H1377),2)))</f>
        <v>46083</v>
      </c>
      <c r="N1377" s="0" t="n">
        <f aca="false">INDEX(Laporan!$A$1:$AZ$300,G1377,H1377)</f>
        <v>14</v>
      </c>
      <c r="O1377" s="0" t="n">
        <f aca="false">IF(N1377="","",IFERROR(VALUE(SUBSTITUTE(SUBSTITUTE(N1377," btl",""),".","")),""))</f>
        <v>14</v>
      </c>
      <c r="P1377" s="0" t="str">
        <f aca="false">IF(B1377="PRODUKSI","produced","reject")</f>
        <v>reject</v>
      </c>
    </row>
    <row r="1378" customFormat="false" ht="15" hidden="false" customHeight="false" outlineLevel="0" collapsed="false">
      <c r="A1378" s="0" t="n">
        <v>1377</v>
      </c>
      <c r="B1378" s="0" t="str">
        <f aca="false">IF(A1378&lt;=36*25,"PRODUKSI","REJECT")</f>
        <v>REJECT</v>
      </c>
      <c r="C1378" s="0" t="n">
        <f aca="false">MOD(A1378-1,Pemetaan!$B$3*Pemetaan!$B$4)</f>
        <v>476</v>
      </c>
      <c r="D1378" s="0" t="n">
        <f aca="false">INT(C1378/Pemetaan!$B$4)</f>
        <v>19</v>
      </c>
      <c r="E1378" s="0" t="n">
        <f aca="false">MOD(C1378,Pemetaan!$B$4)</f>
        <v>1</v>
      </c>
      <c r="F1378" s="0" t="n">
        <f aca="false">IF(B1378="PRODUKSI",Pemetaan!$B$5,Pemetaan!$B$6)</f>
        <v>46</v>
      </c>
      <c r="G1378" s="0" t="n">
        <f aca="false">F1378+2+D1378</f>
        <v>67</v>
      </c>
      <c r="H1378" s="0" t="n">
        <f aca="false">Pemetaan!$B$2+E1378</f>
        <v>6</v>
      </c>
      <c r="I1378" s="0" t="str">
        <f aca="false">INDEX(Laporan!$A$1:$AZ$300,G1378,1)</f>
        <v>Mixing</v>
      </c>
      <c r="J1378" s="0" t="str">
        <f aca="false">INDEX(Laporan!$A$1:$AZ$300,G1378,2)</f>
        <v>330 ml</v>
      </c>
      <c r="K1378" s="0" t="str">
        <f aca="false">INDEX(Laporan!$A$1:$AZ$300,G1378,3)</f>
        <v>Shift 1</v>
      </c>
      <c r="L1378" s="0" t="n">
        <f aca="false">INDEX(Laporan!$A$1:$AZ$300,G1378,4)</f>
        <v>2</v>
      </c>
      <c r="M1378" s="1" t="n">
        <f aca="false">DATE(Pemetaan!$B$1,VALUE(RIGHT(INDEX(Laporan!$A$1:$AZ$300,F1378+1,H1378),2)),VALUE(LEFT(INDEX(Laporan!$A$1:$AZ$300,F1378+1,H1378),2)))</f>
        <v>46084</v>
      </c>
      <c r="N1378" s="0" t="n">
        <f aca="false">INDEX(Laporan!$A$1:$AZ$300,G1378,H1378)</f>
        <v>18</v>
      </c>
      <c r="O1378" s="0" t="n">
        <f aca="false">IF(N1378="","",IFERROR(VALUE(SUBSTITUTE(SUBSTITUTE(N1378," btl",""),".","")),""))</f>
        <v>18</v>
      </c>
      <c r="P1378" s="0" t="str">
        <f aca="false">IF(B1378="PRODUKSI","produced","reject")</f>
        <v>reject</v>
      </c>
    </row>
    <row r="1379" customFormat="false" ht="15" hidden="false" customHeight="false" outlineLevel="0" collapsed="false">
      <c r="A1379" s="0" t="n">
        <v>1378</v>
      </c>
      <c r="B1379" s="0" t="str">
        <f aca="false">IF(A1379&lt;=36*25,"PRODUKSI","REJECT")</f>
        <v>REJECT</v>
      </c>
      <c r="C1379" s="0" t="n">
        <f aca="false">MOD(A1379-1,Pemetaan!$B$3*Pemetaan!$B$4)</f>
        <v>477</v>
      </c>
      <c r="D1379" s="0" t="n">
        <f aca="false">INT(C1379/Pemetaan!$B$4)</f>
        <v>19</v>
      </c>
      <c r="E1379" s="0" t="n">
        <f aca="false">MOD(C1379,Pemetaan!$B$4)</f>
        <v>2</v>
      </c>
      <c r="F1379" s="0" t="n">
        <f aca="false">IF(B1379="PRODUKSI",Pemetaan!$B$5,Pemetaan!$B$6)</f>
        <v>46</v>
      </c>
      <c r="G1379" s="0" t="n">
        <f aca="false">F1379+2+D1379</f>
        <v>67</v>
      </c>
      <c r="H1379" s="0" t="n">
        <f aca="false">Pemetaan!$B$2+E1379</f>
        <v>7</v>
      </c>
      <c r="I1379" s="0" t="str">
        <f aca="false">INDEX(Laporan!$A$1:$AZ$300,G1379,1)</f>
        <v>Mixing</v>
      </c>
      <c r="J1379" s="0" t="str">
        <f aca="false">INDEX(Laporan!$A$1:$AZ$300,G1379,2)</f>
        <v>330 ml</v>
      </c>
      <c r="K1379" s="0" t="str">
        <f aca="false">INDEX(Laporan!$A$1:$AZ$300,G1379,3)</f>
        <v>Shift 1</v>
      </c>
      <c r="L1379" s="0" t="n">
        <f aca="false">INDEX(Laporan!$A$1:$AZ$300,G1379,4)</f>
        <v>2</v>
      </c>
      <c r="M1379" s="1" t="n">
        <f aca="false">DATE(Pemetaan!$B$1,VALUE(RIGHT(INDEX(Laporan!$A$1:$AZ$300,F1379+1,H1379),2)),VALUE(LEFT(INDEX(Laporan!$A$1:$AZ$300,F1379+1,H1379),2)))</f>
        <v>46085</v>
      </c>
      <c r="N1379" s="0" t="n">
        <f aca="false">INDEX(Laporan!$A$1:$AZ$300,G1379,H1379)</f>
        <v>26</v>
      </c>
      <c r="O1379" s="0" t="n">
        <f aca="false">IF(N1379="","",IFERROR(VALUE(SUBSTITUTE(SUBSTITUTE(N1379," btl",""),".","")),""))</f>
        <v>26</v>
      </c>
      <c r="P1379" s="0" t="str">
        <f aca="false">IF(B1379="PRODUKSI","produced","reject")</f>
        <v>reject</v>
      </c>
    </row>
    <row r="1380" customFormat="false" ht="15" hidden="false" customHeight="false" outlineLevel="0" collapsed="false">
      <c r="A1380" s="0" t="n">
        <v>1379</v>
      </c>
      <c r="B1380" s="0" t="str">
        <f aca="false">IF(A1380&lt;=36*25,"PRODUKSI","REJECT")</f>
        <v>REJECT</v>
      </c>
      <c r="C1380" s="0" t="n">
        <f aca="false">MOD(A1380-1,Pemetaan!$B$3*Pemetaan!$B$4)</f>
        <v>478</v>
      </c>
      <c r="D1380" s="0" t="n">
        <f aca="false">INT(C1380/Pemetaan!$B$4)</f>
        <v>19</v>
      </c>
      <c r="E1380" s="0" t="n">
        <f aca="false">MOD(C1380,Pemetaan!$B$4)</f>
        <v>3</v>
      </c>
      <c r="F1380" s="0" t="n">
        <f aca="false">IF(B1380="PRODUKSI",Pemetaan!$B$5,Pemetaan!$B$6)</f>
        <v>46</v>
      </c>
      <c r="G1380" s="0" t="n">
        <f aca="false">F1380+2+D1380</f>
        <v>67</v>
      </c>
      <c r="H1380" s="0" t="n">
        <f aca="false">Pemetaan!$B$2+E1380</f>
        <v>8</v>
      </c>
      <c r="I1380" s="0" t="str">
        <f aca="false">INDEX(Laporan!$A$1:$AZ$300,G1380,1)</f>
        <v>Mixing</v>
      </c>
      <c r="J1380" s="0" t="str">
        <f aca="false">INDEX(Laporan!$A$1:$AZ$300,G1380,2)</f>
        <v>330 ml</v>
      </c>
      <c r="K1380" s="0" t="str">
        <f aca="false">INDEX(Laporan!$A$1:$AZ$300,G1380,3)</f>
        <v>Shift 1</v>
      </c>
      <c r="L1380" s="0" t="n">
        <f aca="false">INDEX(Laporan!$A$1:$AZ$300,G1380,4)</f>
        <v>2</v>
      </c>
      <c r="M1380" s="1" t="n">
        <f aca="false">DATE(Pemetaan!$B$1,VALUE(RIGHT(INDEX(Laporan!$A$1:$AZ$300,F1380+1,H1380),2)),VALUE(LEFT(INDEX(Laporan!$A$1:$AZ$300,F1380+1,H1380),2)))</f>
        <v>46086</v>
      </c>
      <c r="N1380" s="0" t="n">
        <f aca="false">INDEX(Laporan!$A$1:$AZ$300,G1380,H1380)</f>
        <v>20</v>
      </c>
      <c r="O1380" s="0" t="n">
        <f aca="false">IF(N1380="","",IFERROR(VALUE(SUBSTITUTE(SUBSTITUTE(N1380," btl",""),".","")),""))</f>
        <v>20</v>
      </c>
      <c r="P1380" s="0" t="str">
        <f aca="false">IF(B1380="PRODUKSI","produced","reject")</f>
        <v>reject</v>
      </c>
    </row>
    <row r="1381" customFormat="false" ht="15" hidden="false" customHeight="false" outlineLevel="0" collapsed="false">
      <c r="A1381" s="0" t="n">
        <v>1380</v>
      </c>
      <c r="B1381" s="0" t="str">
        <f aca="false">IF(A1381&lt;=36*25,"PRODUKSI","REJECT")</f>
        <v>REJECT</v>
      </c>
      <c r="C1381" s="0" t="n">
        <f aca="false">MOD(A1381-1,Pemetaan!$B$3*Pemetaan!$B$4)</f>
        <v>479</v>
      </c>
      <c r="D1381" s="0" t="n">
        <f aca="false">INT(C1381/Pemetaan!$B$4)</f>
        <v>19</v>
      </c>
      <c r="E1381" s="0" t="n">
        <f aca="false">MOD(C1381,Pemetaan!$B$4)</f>
        <v>4</v>
      </c>
      <c r="F1381" s="0" t="n">
        <f aca="false">IF(B1381="PRODUKSI",Pemetaan!$B$5,Pemetaan!$B$6)</f>
        <v>46</v>
      </c>
      <c r="G1381" s="0" t="n">
        <f aca="false">F1381+2+D1381</f>
        <v>67</v>
      </c>
      <c r="H1381" s="0" t="n">
        <f aca="false">Pemetaan!$B$2+E1381</f>
        <v>9</v>
      </c>
      <c r="I1381" s="0" t="str">
        <f aca="false">INDEX(Laporan!$A$1:$AZ$300,G1381,1)</f>
        <v>Mixing</v>
      </c>
      <c r="J1381" s="0" t="str">
        <f aca="false">INDEX(Laporan!$A$1:$AZ$300,G1381,2)</f>
        <v>330 ml</v>
      </c>
      <c r="K1381" s="0" t="str">
        <f aca="false">INDEX(Laporan!$A$1:$AZ$300,G1381,3)</f>
        <v>Shift 1</v>
      </c>
      <c r="L1381" s="0" t="n">
        <f aca="false">INDEX(Laporan!$A$1:$AZ$300,G1381,4)</f>
        <v>2</v>
      </c>
      <c r="M1381" s="1" t="n">
        <f aca="false">DATE(Pemetaan!$B$1,VALUE(RIGHT(INDEX(Laporan!$A$1:$AZ$300,F1381+1,H1381),2)),VALUE(LEFT(INDEX(Laporan!$A$1:$AZ$300,F1381+1,H1381),2)))</f>
        <v>46087</v>
      </c>
      <c r="N1381" s="0" t="n">
        <f aca="false">INDEX(Laporan!$A$1:$AZ$300,G1381,H1381)</f>
        <v>16</v>
      </c>
      <c r="O1381" s="0" t="n">
        <f aca="false">IF(N1381="","",IFERROR(VALUE(SUBSTITUTE(SUBSTITUTE(N1381," btl",""),".","")),""))</f>
        <v>16</v>
      </c>
      <c r="P1381" s="0" t="str">
        <f aca="false">IF(B1381="PRODUKSI","produced","reject")</f>
        <v>reject</v>
      </c>
    </row>
    <row r="1382" customFormat="false" ht="15" hidden="false" customHeight="false" outlineLevel="0" collapsed="false">
      <c r="A1382" s="0" t="n">
        <v>1381</v>
      </c>
      <c r="B1382" s="0" t="str">
        <f aca="false">IF(A1382&lt;=36*25,"PRODUKSI","REJECT")</f>
        <v>REJECT</v>
      </c>
      <c r="C1382" s="0" t="n">
        <f aca="false">MOD(A1382-1,Pemetaan!$B$3*Pemetaan!$B$4)</f>
        <v>480</v>
      </c>
      <c r="D1382" s="0" t="n">
        <f aca="false">INT(C1382/Pemetaan!$B$4)</f>
        <v>19</v>
      </c>
      <c r="E1382" s="0" t="n">
        <f aca="false">MOD(C1382,Pemetaan!$B$4)</f>
        <v>5</v>
      </c>
      <c r="F1382" s="0" t="n">
        <f aca="false">IF(B1382="PRODUKSI",Pemetaan!$B$5,Pemetaan!$B$6)</f>
        <v>46</v>
      </c>
      <c r="G1382" s="0" t="n">
        <f aca="false">F1382+2+D1382</f>
        <v>67</v>
      </c>
      <c r="H1382" s="0" t="n">
        <f aca="false">Pemetaan!$B$2+E1382</f>
        <v>10</v>
      </c>
      <c r="I1382" s="0" t="str">
        <f aca="false">INDEX(Laporan!$A$1:$AZ$300,G1382,1)</f>
        <v>Mixing</v>
      </c>
      <c r="J1382" s="0" t="str">
        <f aca="false">INDEX(Laporan!$A$1:$AZ$300,G1382,2)</f>
        <v>330 ml</v>
      </c>
      <c r="K1382" s="0" t="str">
        <f aca="false">INDEX(Laporan!$A$1:$AZ$300,G1382,3)</f>
        <v>Shift 1</v>
      </c>
      <c r="L1382" s="0" t="n">
        <f aca="false">INDEX(Laporan!$A$1:$AZ$300,G1382,4)</f>
        <v>2</v>
      </c>
      <c r="M1382" s="1" t="n">
        <f aca="false">DATE(Pemetaan!$B$1,VALUE(RIGHT(INDEX(Laporan!$A$1:$AZ$300,F1382+1,H1382),2)),VALUE(LEFT(INDEX(Laporan!$A$1:$AZ$300,F1382+1,H1382),2)))</f>
        <v>46090</v>
      </c>
      <c r="N1382" s="0" t="n">
        <f aca="false">INDEX(Laporan!$A$1:$AZ$300,G1382,H1382)</f>
        <v>30</v>
      </c>
      <c r="O1382" s="0" t="n">
        <f aca="false">IF(N1382="","",IFERROR(VALUE(SUBSTITUTE(SUBSTITUTE(N1382," btl",""),".","")),""))</f>
        <v>30</v>
      </c>
      <c r="P1382" s="0" t="str">
        <f aca="false">IF(B1382="PRODUKSI","produced","reject")</f>
        <v>reject</v>
      </c>
    </row>
    <row r="1383" customFormat="false" ht="15" hidden="false" customHeight="false" outlineLevel="0" collapsed="false">
      <c r="A1383" s="0" t="n">
        <v>1382</v>
      </c>
      <c r="B1383" s="0" t="str">
        <f aca="false">IF(A1383&lt;=36*25,"PRODUKSI","REJECT")</f>
        <v>REJECT</v>
      </c>
      <c r="C1383" s="0" t="n">
        <f aca="false">MOD(A1383-1,Pemetaan!$B$3*Pemetaan!$B$4)</f>
        <v>481</v>
      </c>
      <c r="D1383" s="0" t="n">
        <f aca="false">INT(C1383/Pemetaan!$B$4)</f>
        <v>19</v>
      </c>
      <c r="E1383" s="0" t="n">
        <f aca="false">MOD(C1383,Pemetaan!$B$4)</f>
        <v>6</v>
      </c>
      <c r="F1383" s="0" t="n">
        <f aca="false">IF(B1383="PRODUKSI",Pemetaan!$B$5,Pemetaan!$B$6)</f>
        <v>46</v>
      </c>
      <c r="G1383" s="0" t="n">
        <f aca="false">F1383+2+D1383</f>
        <v>67</v>
      </c>
      <c r="H1383" s="0" t="n">
        <f aca="false">Pemetaan!$B$2+E1383</f>
        <v>11</v>
      </c>
      <c r="I1383" s="0" t="str">
        <f aca="false">INDEX(Laporan!$A$1:$AZ$300,G1383,1)</f>
        <v>Mixing</v>
      </c>
      <c r="J1383" s="0" t="str">
        <f aca="false">INDEX(Laporan!$A$1:$AZ$300,G1383,2)</f>
        <v>330 ml</v>
      </c>
      <c r="K1383" s="0" t="str">
        <f aca="false">INDEX(Laporan!$A$1:$AZ$300,G1383,3)</f>
        <v>Shift 1</v>
      </c>
      <c r="L1383" s="0" t="n">
        <f aca="false">INDEX(Laporan!$A$1:$AZ$300,G1383,4)</f>
        <v>2</v>
      </c>
      <c r="M1383" s="1" t="n">
        <f aca="false">DATE(Pemetaan!$B$1,VALUE(RIGHT(INDEX(Laporan!$A$1:$AZ$300,F1383+1,H1383),2)),VALUE(LEFT(INDEX(Laporan!$A$1:$AZ$300,F1383+1,H1383),2)))</f>
        <v>46091</v>
      </c>
      <c r="N1383" s="0" t="n">
        <f aca="false">INDEX(Laporan!$A$1:$AZ$300,G1383,H1383)</f>
        <v>17</v>
      </c>
      <c r="O1383" s="0" t="n">
        <f aca="false">IF(N1383="","",IFERROR(VALUE(SUBSTITUTE(SUBSTITUTE(N1383," btl",""),".","")),""))</f>
        <v>17</v>
      </c>
      <c r="P1383" s="0" t="str">
        <f aca="false">IF(B1383="PRODUKSI","produced","reject")</f>
        <v>reject</v>
      </c>
    </row>
    <row r="1384" customFormat="false" ht="15" hidden="false" customHeight="false" outlineLevel="0" collapsed="false">
      <c r="A1384" s="0" t="n">
        <v>1383</v>
      </c>
      <c r="B1384" s="0" t="str">
        <f aca="false">IF(A1384&lt;=36*25,"PRODUKSI","REJECT")</f>
        <v>REJECT</v>
      </c>
      <c r="C1384" s="0" t="n">
        <f aca="false">MOD(A1384-1,Pemetaan!$B$3*Pemetaan!$B$4)</f>
        <v>482</v>
      </c>
      <c r="D1384" s="0" t="n">
        <f aca="false">INT(C1384/Pemetaan!$B$4)</f>
        <v>19</v>
      </c>
      <c r="E1384" s="0" t="n">
        <f aca="false">MOD(C1384,Pemetaan!$B$4)</f>
        <v>7</v>
      </c>
      <c r="F1384" s="0" t="n">
        <f aca="false">IF(B1384="PRODUKSI",Pemetaan!$B$5,Pemetaan!$B$6)</f>
        <v>46</v>
      </c>
      <c r="G1384" s="0" t="n">
        <f aca="false">F1384+2+D1384</f>
        <v>67</v>
      </c>
      <c r="H1384" s="0" t="n">
        <f aca="false">Pemetaan!$B$2+E1384</f>
        <v>12</v>
      </c>
      <c r="I1384" s="0" t="str">
        <f aca="false">INDEX(Laporan!$A$1:$AZ$300,G1384,1)</f>
        <v>Mixing</v>
      </c>
      <c r="J1384" s="0" t="str">
        <f aca="false">INDEX(Laporan!$A$1:$AZ$300,G1384,2)</f>
        <v>330 ml</v>
      </c>
      <c r="K1384" s="0" t="str">
        <f aca="false">INDEX(Laporan!$A$1:$AZ$300,G1384,3)</f>
        <v>Shift 1</v>
      </c>
      <c r="L1384" s="0" t="n">
        <f aca="false">INDEX(Laporan!$A$1:$AZ$300,G1384,4)</f>
        <v>2</v>
      </c>
      <c r="M1384" s="1" t="n">
        <f aca="false">DATE(Pemetaan!$B$1,VALUE(RIGHT(INDEX(Laporan!$A$1:$AZ$300,F1384+1,H1384),2)),VALUE(LEFT(INDEX(Laporan!$A$1:$AZ$300,F1384+1,H1384),2)))</f>
        <v>46092</v>
      </c>
      <c r="N1384" s="0" t="n">
        <f aca="false">INDEX(Laporan!$A$1:$AZ$300,G1384,H1384)</f>
        <v>23</v>
      </c>
      <c r="O1384" s="0" t="n">
        <f aca="false">IF(N1384="","",IFERROR(VALUE(SUBSTITUTE(SUBSTITUTE(N1384," btl",""),".","")),""))</f>
        <v>23</v>
      </c>
      <c r="P1384" s="0" t="str">
        <f aca="false">IF(B1384="PRODUKSI","produced","reject")</f>
        <v>reject</v>
      </c>
    </row>
    <row r="1385" customFormat="false" ht="15" hidden="false" customHeight="false" outlineLevel="0" collapsed="false">
      <c r="A1385" s="0" t="n">
        <v>1384</v>
      </c>
      <c r="B1385" s="0" t="str">
        <f aca="false">IF(A1385&lt;=36*25,"PRODUKSI","REJECT")</f>
        <v>REJECT</v>
      </c>
      <c r="C1385" s="0" t="n">
        <f aca="false">MOD(A1385-1,Pemetaan!$B$3*Pemetaan!$B$4)</f>
        <v>483</v>
      </c>
      <c r="D1385" s="0" t="n">
        <f aca="false">INT(C1385/Pemetaan!$B$4)</f>
        <v>19</v>
      </c>
      <c r="E1385" s="0" t="n">
        <f aca="false">MOD(C1385,Pemetaan!$B$4)</f>
        <v>8</v>
      </c>
      <c r="F1385" s="0" t="n">
        <f aca="false">IF(B1385="PRODUKSI",Pemetaan!$B$5,Pemetaan!$B$6)</f>
        <v>46</v>
      </c>
      <c r="G1385" s="0" t="n">
        <f aca="false">F1385+2+D1385</f>
        <v>67</v>
      </c>
      <c r="H1385" s="0" t="n">
        <f aca="false">Pemetaan!$B$2+E1385</f>
        <v>13</v>
      </c>
      <c r="I1385" s="0" t="str">
        <f aca="false">INDEX(Laporan!$A$1:$AZ$300,G1385,1)</f>
        <v>Mixing</v>
      </c>
      <c r="J1385" s="0" t="str">
        <f aca="false">INDEX(Laporan!$A$1:$AZ$300,G1385,2)</f>
        <v>330 ml</v>
      </c>
      <c r="K1385" s="0" t="str">
        <f aca="false">INDEX(Laporan!$A$1:$AZ$300,G1385,3)</f>
        <v>Shift 1</v>
      </c>
      <c r="L1385" s="0" t="n">
        <f aca="false">INDEX(Laporan!$A$1:$AZ$300,G1385,4)</f>
        <v>2</v>
      </c>
      <c r="M1385" s="1" t="n">
        <f aca="false">DATE(Pemetaan!$B$1,VALUE(RIGHT(INDEX(Laporan!$A$1:$AZ$300,F1385+1,H1385),2)),VALUE(LEFT(INDEX(Laporan!$A$1:$AZ$300,F1385+1,H1385),2)))</f>
        <v>46093</v>
      </c>
      <c r="N1385" s="0" t="n">
        <f aca="false">INDEX(Laporan!$A$1:$AZ$300,G1385,H1385)</f>
        <v>24</v>
      </c>
      <c r="O1385" s="0" t="n">
        <f aca="false">IF(N1385="","",IFERROR(VALUE(SUBSTITUTE(SUBSTITUTE(N1385," btl",""),".","")),""))</f>
        <v>24</v>
      </c>
      <c r="P1385" s="0" t="str">
        <f aca="false">IF(B1385="PRODUKSI","produced","reject")</f>
        <v>reject</v>
      </c>
    </row>
    <row r="1386" customFormat="false" ht="15" hidden="false" customHeight="false" outlineLevel="0" collapsed="false">
      <c r="A1386" s="0" t="n">
        <v>1385</v>
      </c>
      <c r="B1386" s="0" t="str">
        <f aca="false">IF(A1386&lt;=36*25,"PRODUKSI","REJECT")</f>
        <v>REJECT</v>
      </c>
      <c r="C1386" s="0" t="n">
        <f aca="false">MOD(A1386-1,Pemetaan!$B$3*Pemetaan!$B$4)</f>
        <v>484</v>
      </c>
      <c r="D1386" s="0" t="n">
        <f aca="false">INT(C1386/Pemetaan!$B$4)</f>
        <v>19</v>
      </c>
      <c r="E1386" s="0" t="n">
        <f aca="false">MOD(C1386,Pemetaan!$B$4)</f>
        <v>9</v>
      </c>
      <c r="F1386" s="0" t="n">
        <f aca="false">IF(B1386="PRODUKSI",Pemetaan!$B$5,Pemetaan!$B$6)</f>
        <v>46</v>
      </c>
      <c r="G1386" s="0" t="n">
        <f aca="false">F1386+2+D1386</f>
        <v>67</v>
      </c>
      <c r="H1386" s="0" t="n">
        <f aca="false">Pemetaan!$B$2+E1386</f>
        <v>14</v>
      </c>
      <c r="I1386" s="0" t="str">
        <f aca="false">INDEX(Laporan!$A$1:$AZ$300,G1386,1)</f>
        <v>Mixing</v>
      </c>
      <c r="J1386" s="0" t="str">
        <f aca="false">INDEX(Laporan!$A$1:$AZ$300,G1386,2)</f>
        <v>330 ml</v>
      </c>
      <c r="K1386" s="0" t="str">
        <f aca="false">INDEX(Laporan!$A$1:$AZ$300,G1386,3)</f>
        <v>Shift 1</v>
      </c>
      <c r="L1386" s="0" t="n">
        <f aca="false">INDEX(Laporan!$A$1:$AZ$300,G1386,4)</f>
        <v>2</v>
      </c>
      <c r="M1386" s="1" t="n">
        <f aca="false">DATE(Pemetaan!$B$1,VALUE(RIGHT(INDEX(Laporan!$A$1:$AZ$300,F1386+1,H1386),2)),VALUE(LEFT(INDEX(Laporan!$A$1:$AZ$300,F1386+1,H1386),2)))</f>
        <v>46094</v>
      </c>
      <c r="N1386" s="0" t="n">
        <f aca="false">INDEX(Laporan!$A$1:$AZ$300,G1386,H1386)</f>
        <v>16</v>
      </c>
      <c r="O1386" s="0" t="n">
        <f aca="false">IF(N1386="","",IFERROR(VALUE(SUBSTITUTE(SUBSTITUTE(N1386," btl",""),".","")),""))</f>
        <v>16</v>
      </c>
      <c r="P1386" s="0" t="str">
        <f aca="false">IF(B1386="PRODUKSI","produced","reject")</f>
        <v>reject</v>
      </c>
    </row>
    <row r="1387" customFormat="false" ht="15" hidden="false" customHeight="false" outlineLevel="0" collapsed="false">
      <c r="A1387" s="0" t="n">
        <v>1386</v>
      </c>
      <c r="B1387" s="0" t="str">
        <f aca="false">IF(A1387&lt;=36*25,"PRODUKSI","REJECT")</f>
        <v>REJECT</v>
      </c>
      <c r="C1387" s="0" t="n">
        <f aca="false">MOD(A1387-1,Pemetaan!$B$3*Pemetaan!$B$4)</f>
        <v>485</v>
      </c>
      <c r="D1387" s="0" t="n">
        <f aca="false">INT(C1387/Pemetaan!$B$4)</f>
        <v>19</v>
      </c>
      <c r="E1387" s="0" t="n">
        <f aca="false">MOD(C1387,Pemetaan!$B$4)</f>
        <v>10</v>
      </c>
      <c r="F1387" s="0" t="n">
        <f aca="false">IF(B1387="PRODUKSI",Pemetaan!$B$5,Pemetaan!$B$6)</f>
        <v>46</v>
      </c>
      <c r="G1387" s="0" t="n">
        <f aca="false">F1387+2+D1387</f>
        <v>67</v>
      </c>
      <c r="H1387" s="0" t="n">
        <f aca="false">Pemetaan!$B$2+E1387</f>
        <v>15</v>
      </c>
      <c r="I1387" s="0" t="str">
        <f aca="false">INDEX(Laporan!$A$1:$AZ$300,G1387,1)</f>
        <v>Mixing</v>
      </c>
      <c r="J1387" s="0" t="str">
        <f aca="false">INDEX(Laporan!$A$1:$AZ$300,G1387,2)</f>
        <v>330 ml</v>
      </c>
      <c r="K1387" s="0" t="str">
        <f aca="false">INDEX(Laporan!$A$1:$AZ$300,G1387,3)</f>
        <v>Shift 1</v>
      </c>
      <c r="L1387" s="0" t="n">
        <f aca="false">INDEX(Laporan!$A$1:$AZ$300,G1387,4)</f>
        <v>2</v>
      </c>
      <c r="M1387" s="1" t="n">
        <f aca="false">DATE(Pemetaan!$B$1,VALUE(RIGHT(INDEX(Laporan!$A$1:$AZ$300,F1387+1,H1387),2)),VALUE(LEFT(INDEX(Laporan!$A$1:$AZ$300,F1387+1,H1387),2)))</f>
        <v>46097</v>
      </c>
      <c r="N1387" s="0" t="n">
        <f aca="false">INDEX(Laporan!$A$1:$AZ$300,G1387,H1387)</f>
        <v>29</v>
      </c>
      <c r="O1387" s="0" t="n">
        <f aca="false">IF(N1387="","",IFERROR(VALUE(SUBSTITUTE(SUBSTITUTE(N1387," btl",""),".","")),""))</f>
        <v>29</v>
      </c>
      <c r="P1387" s="0" t="str">
        <f aca="false">IF(B1387="PRODUKSI","produced","reject")</f>
        <v>reject</v>
      </c>
    </row>
    <row r="1388" customFormat="false" ht="15" hidden="false" customHeight="false" outlineLevel="0" collapsed="false">
      <c r="A1388" s="0" t="n">
        <v>1387</v>
      </c>
      <c r="B1388" s="0" t="str">
        <f aca="false">IF(A1388&lt;=36*25,"PRODUKSI","REJECT")</f>
        <v>REJECT</v>
      </c>
      <c r="C1388" s="0" t="n">
        <f aca="false">MOD(A1388-1,Pemetaan!$B$3*Pemetaan!$B$4)</f>
        <v>486</v>
      </c>
      <c r="D1388" s="0" t="n">
        <f aca="false">INT(C1388/Pemetaan!$B$4)</f>
        <v>19</v>
      </c>
      <c r="E1388" s="0" t="n">
        <f aca="false">MOD(C1388,Pemetaan!$B$4)</f>
        <v>11</v>
      </c>
      <c r="F1388" s="0" t="n">
        <f aca="false">IF(B1388="PRODUKSI",Pemetaan!$B$5,Pemetaan!$B$6)</f>
        <v>46</v>
      </c>
      <c r="G1388" s="0" t="n">
        <f aca="false">F1388+2+D1388</f>
        <v>67</v>
      </c>
      <c r="H1388" s="0" t="n">
        <f aca="false">Pemetaan!$B$2+E1388</f>
        <v>16</v>
      </c>
      <c r="I1388" s="0" t="str">
        <f aca="false">INDEX(Laporan!$A$1:$AZ$300,G1388,1)</f>
        <v>Mixing</v>
      </c>
      <c r="J1388" s="0" t="str">
        <f aca="false">INDEX(Laporan!$A$1:$AZ$300,G1388,2)</f>
        <v>330 ml</v>
      </c>
      <c r="K1388" s="0" t="str">
        <f aca="false">INDEX(Laporan!$A$1:$AZ$300,G1388,3)</f>
        <v>Shift 1</v>
      </c>
      <c r="L1388" s="0" t="n">
        <f aca="false">INDEX(Laporan!$A$1:$AZ$300,G1388,4)</f>
        <v>2</v>
      </c>
      <c r="M1388" s="1" t="n">
        <f aca="false">DATE(Pemetaan!$B$1,VALUE(RIGHT(INDEX(Laporan!$A$1:$AZ$300,F1388+1,H1388),2)),VALUE(LEFT(INDEX(Laporan!$A$1:$AZ$300,F1388+1,H1388),2)))</f>
        <v>46098</v>
      </c>
      <c r="N1388" s="0" t="n">
        <f aca="false">INDEX(Laporan!$A$1:$AZ$300,G1388,H1388)</f>
        <v>12</v>
      </c>
      <c r="O1388" s="0" t="n">
        <f aca="false">IF(N1388="","",IFERROR(VALUE(SUBSTITUTE(SUBSTITUTE(N1388," btl",""),".","")),""))</f>
        <v>12</v>
      </c>
      <c r="P1388" s="0" t="str">
        <f aca="false">IF(B1388="PRODUKSI","produced","reject")</f>
        <v>reject</v>
      </c>
    </row>
    <row r="1389" customFormat="false" ht="15" hidden="false" customHeight="false" outlineLevel="0" collapsed="false">
      <c r="A1389" s="0" t="n">
        <v>1388</v>
      </c>
      <c r="B1389" s="0" t="str">
        <f aca="false">IF(A1389&lt;=36*25,"PRODUKSI","REJECT")</f>
        <v>REJECT</v>
      </c>
      <c r="C1389" s="0" t="n">
        <f aca="false">MOD(A1389-1,Pemetaan!$B$3*Pemetaan!$B$4)</f>
        <v>487</v>
      </c>
      <c r="D1389" s="0" t="n">
        <f aca="false">INT(C1389/Pemetaan!$B$4)</f>
        <v>19</v>
      </c>
      <c r="E1389" s="0" t="n">
        <f aca="false">MOD(C1389,Pemetaan!$B$4)</f>
        <v>12</v>
      </c>
      <c r="F1389" s="0" t="n">
        <f aca="false">IF(B1389="PRODUKSI",Pemetaan!$B$5,Pemetaan!$B$6)</f>
        <v>46</v>
      </c>
      <c r="G1389" s="0" t="n">
        <f aca="false">F1389+2+D1389</f>
        <v>67</v>
      </c>
      <c r="H1389" s="0" t="n">
        <f aca="false">Pemetaan!$B$2+E1389</f>
        <v>17</v>
      </c>
      <c r="I1389" s="0" t="str">
        <f aca="false">INDEX(Laporan!$A$1:$AZ$300,G1389,1)</f>
        <v>Mixing</v>
      </c>
      <c r="J1389" s="0" t="str">
        <f aca="false">INDEX(Laporan!$A$1:$AZ$300,G1389,2)</f>
        <v>330 ml</v>
      </c>
      <c r="K1389" s="0" t="str">
        <f aca="false">INDEX(Laporan!$A$1:$AZ$300,G1389,3)</f>
        <v>Shift 1</v>
      </c>
      <c r="L1389" s="0" t="n">
        <f aca="false">INDEX(Laporan!$A$1:$AZ$300,G1389,4)</f>
        <v>2</v>
      </c>
      <c r="M1389" s="1" t="n">
        <f aca="false">DATE(Pemetaan!$B$1,VALUE(RIGHT(INDEX(Laporan!$A$1:$AZ$300,F1389+1,H1389),2)),VALUE(LEFT(INDEX(Laporan!$A$1:$AZ$300,F1389+1,H1389),2)))</f>
        <v>46099</v>
      </c>
      <c r="N1389" s="0" t="n">
        <f aca="false">INDEX(Laporan!$A$1:$AZ$300,G1389,H1389)</f>
        <v>25</v>
      </c>
      <c r="O1389" s="0" t="n">
        <f aca="false">IF(N1389="","",IFERROR(VALUE(SUBSTITUTE(SUBSTITUTE(N1389," btl",""),".","")),""))</f>
        <v>25</v>
      </c>
      <c r="P1389" s="0" t="str">
        <f aca="false">IF(B1389="PRODUKSI","produced","reject")</f>
        <v>reject</v>
      </c>
    </row>
    <row r="1390" customFormat="false" ht="15" hidden="false" customHeight="false" outlineLevel="0" collapsed="false">
      <c r="A1390" s="0" t="n">
        <v>1389</v>
      </c>
      <c r="B1390" s="0" t="str">
        <f aca="false">IF(A1390&lt;=36*25,"PRODUKSI","REJECT")</f>
        <v>REJECT</v>
      </c>
      <c r="C1390" s="0" t="n">
        <f aca="false">MOD(A1390-1,Pemetaan!$B$3*Pemetaan!$B$4)</f>
        <v>488</v>
      </c>
      <c r="D1390" s="0" t="n">
        <f aca="false">INT(C1390/Pemetaan!$B$4)</f>
        <v>19</v>
      </c>
      <c r="E1390" s="0" t="n">
        <f aca="false">MOD(C1390,Pemetaan!$B$4)</f>
        <v>13</v>
      </c>
      <c r="F1390" s="0" t="n">
        <f aca="false">IF(B1390="PRODUKSI",Pemetaan!$B$5,Pemetaan!$B$6)</f>
        <v>46</v>
      </c>
      <c r="G1390" s="0" t="n">
        <f aca="false">F1390+2+D1390</f>
        <v>67</v>
      </c>
      <c r="H1390" s="0" t="n">
        <f aca="false">Pemetaan!$B$2+E1390</f>
        <v>18</v>
      </c>
      <c r="I1390" s="0" t="str">
        <f aca="false">INDEX(Laporan!$A$1:$AZ$300,G1390,1)</f>
        <v>Mixing</v>
      </c>
      <c r="J1390" s="0" t="str">
        <f aca="false">INDEX(Laporan!$A$1:$AZ$300,G1390,2)</f>
        <v>330 ml</v>
      </c>
      <c r="K1390" s="0" t="str">
        <f aca="false">INDEX(Laporan!$A$1:$AZ$300,G1390,3)</f>
        <v>Shift 1</v>
      </c>
      <c r="L1390" s="0" t="n">
        <f aca="false">INDEX(Laporan!$A$1:$AZ$300,G1390,4)</f>
        <v>2</v>
      </c>
      <c r="M1390" s="1" t="n">
        <f aca="false">DATE(Pemetaan!$B$1,VALUE(RIGHT(INDEX(Laporan!$A$1:$AZ$300,F1390+1,H1390),2)),VALUE(LEFT(INDEX(Laporan!$A$1:$AZ$300,F1390+1,H1390),2)))</f>
        <v>46100</v>
      </c>
      <c r="N1390" s="0" t="n">
        <f aca="false">INDEX(Laporan!$A$1:$AZ$300,G1390,H1390)</f>
        <v>19</v>
      </c>
      <c r="O1390" s="0" t="n">
        <f aca="false">IF(N1390="","",IFERROR(VALUE(SUBSTITUTE(SUBSTITUTE(N1390," btl",""),".","")),""))</f>
        <v>19</v>
      </c>
      <c r="P1390" s="0" t="str">
        <f aca="false">IF(B1390="PRODUKSI","produced","reject")</f>
        <v>reject</v>
      </c>
    </row>
    <row r="1391" customFormat="false" ht="15" hidden="false" customHeight="false" outlineLevel="0" collapsed="false">
      <c r="A1391" s="0" t="n">
        <v>1390</v>
      </c>
      <c r="B1391" s="0" t="str">
        <f aca="false">IF(A1391&lt;=36*25,"PRODUKSI","REJECT")</f>
        <v>REJECT</v>
      </c>
      <c r="C1391" s="0" t="n">
        <f aca="false">MOD(A1391-1,Pemetaan!$B$3*Pemetaan!$B$4)</f>
        <v>489</v>
      </c>
      <c r="D1391" s="0" t="n">
        <f aca="false">INT(C1391/Pemetaan!$B$4)</f>
        <v>19</v>
      </c>
      <c r="E1391" s="0" t="n">
        <f aca="false">MOD(C1391,Pemetaan!$B$4)</f>
        <v>14</v>
      </c>
      <c r="F1391" s="0" t="n">
        <f aca="false">IF(B1391="PRODUKSI",Pemetaan!$B$5,Pemetaan!$B$6)</f>
        <v>46</v>
      </c>
      <c r="G1391" s="0" t="n">
        <f aca="false">F1391+2+D1391</f>
        <v>67</v>
      </c>
      <c r="H1391" s="0" t="n">
        <f aca="false">Pemetaan!$B$2+E1391</f>
        <v>19</v>
      </c>
      <c r="I1391" s="0" t="str">
        <f aca="false">INDEX(Laporan!$A$1:$AZ$300,G1391,1)</f>
        <v>Mixing</v>
      </c>
      <c r="J1391" s="0" t="str">
        <f aca="false">INDEX(Laporan!$A$1:$AZ$300,G1391,2)</f>
        <v>330 ml</v>
      </c>
      <c r="K1391" s="0" t="str">
        <f aca="false">INDEX(Laporan!$A$1:$AZ$300,G1391,3)</f>
        <v>Shift 1</v>
      </c>
      <c r="L1391" s="0" t="n">
        <f aca="false">INDEX(Laporan!$A$1:$AZ$300,G1391,4)</f>
        <v>2</v>
      </c>
      <c r="M1391" s="1" t="n">
        <f aca="false">DATE(Pemetaan!$B$1,VALUE(RIGHT(INDEX(Laporan!$A$1:$AZ$300,F1391+1,H1391),2)),VALUE(LEFT(INDEX(Laporan!$A$1:$AZ$300,F1391+1,H1391),2)))</f>
        <v>46101</v>
      </c>
      <c r="N1391" s="0" t="n">
        <f aca="false">INDEX(Laporan!$A$1:$AZ$300,G1391,H1391)</f>
        <v>28</v>
      </c>
      <c r="O1391" s="0" t="n">
        <f aca="false">IF(N1391="","",IFERROR(VALUE(SUBSTITUTE(SUBSTITUTE(N1391," btl",""),".","")),""))</f>
        <v>28</v>
      </c>
      <c r="P1391" s="0" t="str">
        <f aca="false">IF(B1391="PRODUKSI","produced","reject")</f>
        <v>reject</v>
      </c>
    </row>
    <row r="1392" customFormat="false" ht="15" hidden="false" customHeight="false" outlineLevel="0" collapsed="false">
      <c r="A1392" s="0" t="n">
        <v>1391</v>
      </c>
      <c r="B1392" s="0" t="str">
        <f aca="false">IF(A1392&lt;=36*25,"PRODUKSI","REJECT")</f>
        <v>REJECT</v>
      </c>
      <c r="C1392" s="0" t="n">
        <f aca="false">MOD(A1392-1,Pemetaan!$B$3*Pemetaan!$B$4)</f>
        <v>490</v>
      </c>
      <c r="D1392" s="0" t="n">
        <f aca="false">INT(C1392/Pemetaan!$B$4)</f>
        <v>19</v>
      </c>
      <c r="E1392" s="0" t="n">
        <f aca="false">MOD(C1392,Pemetaan!$B$4)</f>
        <v>15</v>
      </c>
      <c r="F1392" s="0" t="n">
        <f aca="false">IF(B1392="PRODUKSI",Pemetaan!$B$5,Pemetaan!$B$6)</f>
        <v>46</v>
      </c>
      <c r="G1392" s="0" t="n">
        <f aca="false">F1392+2+D1392</f>
        <v>67</v>
      </c>
      <c r="H1392" s="0" t="n">
        <f aca="false">Pemetaan!$B$2+E1392</f>
        <v>20</v>
      </c>
      <c r="I1392" s="0" t="str">
        <f aca="false">INDEX(Laporan!$A$1:$AZ$300,G1392,1)</f>
        <v>Mixing</v>
      </c>
      <c r="J1392" s="0" t="str">
        <f aca="false">INDEX(Laporan!$A$1:$AZ$300,G1392,2)</f>
        <v>330 ml</v>
      </c>
      <c r="K1392" s="0" t="str">
        <f aca="false">INDEX(Laporan!$A$1:$AZ$300,G1392,3)</f>
        <v>Shift 1</v>
      </c>
      <c r="L1392" s="0" t="n">
        <f aca="false">INDEX(Laporan!$A$1:$AZ$300,G1392,4)</f>
        <v>2</v>
      </c>
      <c r="M1392" s="1" t="n">
        <f aca="false">DATE(Pemetaan!$B$1,VALUE(RIGHT(INDEX(Laporan!$A$1:$AZ$300,F1392+1,H1392),2)),VALUE(LEFT(INDEX(Laporan!$A$1:$AZ$300,F1392+1,H1392),2)))</f>
        <v>46104</v>
      </c>
      <c r="N1392" s="0" t="n">
        <f aca="false">INDEX(Laporan!$A$1:$AZ$300,G1392,H1392)</f>
        <v>14</v>
      </c>
      <c r="O1392" s="0" t="n">
        <f aca="false">IF(N1392="","",IFERROR(VALUE(SUBSTITUTE(SUBSTITUTE(N1392," btl",""),".","")),""))</f>
        <v>14</v>
      </c>
      <c r="P1392" s="0" t="str">
        <f aca="false">IF(B1392="PRODUKSI","produced","reject")</f>
        <v>reject</v>
      </c>
    </row>
    <row r="1393" customFormat="false" ht="15" hidden="false" customHeight="false" outlineLevel="0" collapsed="false">
      <c r="A1393" s="0" t="n">
        <v>1392</v>
      </c>
      <c r="B1393" s="0" t="str">
        <f aca="false">IF(A1393&lt;=36*25,"PRODUKSI","REJECT")</f>
        <v>REJECT</v>
      </c>
      <c r="C1393" s="0" t="n">
        <f aca="false">MOD(A1393-1,Pemetaan!$B$3*Pemetaan!$B$4)</f>
        <v>491</v>
      </c>
      <c r="D1393" s="0" t="n">
        <f aca="false">INT(C1393/Pemetaan!$B$4)</f>
        <v>19</v>
      </c>
      <c r="E1393" s="0" t="n">
        <f aca="false">MOD(C1393,Pemetaan!$B$4)</f>
        <v>16</v>
      </c>
      <c r="F1393" s="0" t="n">
        <f aca="false">IF(B1393="PRODUKSI",Pemetaan!$B$5,Pemetaan!$B$6)</f>
        <v>46</v>
      </c>
      <c r="G1393" s="0" t="n">
        <f aca="false">F1393+2+D1393</f>
        <v>67</v>
      </c>
      <c r="H1393" s="0" t="n">
        <f aca="false">Pemetaan!$B$2+E1393</f>
        <v>21</v>
      </c>
      <c r="I1393" s="0" t="str">
        <f aca="false">INDEX(Laporan!$A$1:$AZ$300,G1393,1)</f>
        <v>Mixing</v>
      </c>
      <c r="J1393" s="0" t="str">
        <f aca="false">INDEX(Laporan!$A$1:$AZ$300,G1393,2)</f>
        <v>330 ml</v>
      </c>
      <c r="K1393" s="0" t="str">
        <f aca="false">INDEX(Laporan!$A$1:$AZ$300,G1393,3)</f>
        <v>Shift 1</v>
      </c>
      <c r="L1393" s="0" t="n">
        <f aca="false">INDEX(Laporan!$A$1:$AZ$300,G1393,4)</f>
        <v>2</v>
      </c>
      <c r="M1393" s="1" t="n">
        <f aca="false">DATE(Pemetaan!$B$1,VALUE(RIGHT(INDEX(Laporan!$A$1:$AZ$300,F1393+1,H1393),2)),VALUE(LEFT(INDEX(Laporan!$A$1:$AZ$300,F1393+1,H1393),2)))</f>
        <v>46105</v>
      </c>
      <c r="N1393" s="0" t="n">
        <f aca="false">INDEX(Laporan!$A$1:$AZ$300,G1393,H1393)</f>
        <v>12</v>
      </c>
      <c r="O1393" s="0" t="n">
        <f aca="false">IF(N1393="","",IFERROR(VALUE(SUBSTITUTE(SUBSTITUTE(N1393," btl",""),".","")),""))</f>
        <v>12</v>
      </c>
      <c r="P1393" s="0" t="str">
        <f aca="false">IF(B1393="PRODUKSI","produced","reject")</f>
        <v>reject</v>
      </c>
    </row>
    <row r="1394" customFormat="false" ht="15" hidden="false" customHeight="false" outlineLevel="0" collapsed="false">
      <c r="A1394" s="0" t="n">
        <v>1393</v>
      </c>
      <c r="B1394" s="0" t="str">
        <f aca="false">IF(A1394&lt;=36*25,"PRODUKSI","REJECT")</f>
        <v>REJECT</v>
      </c>
      <c r="C1394" s="0" t="n">
        <f aca="false">MOD(A1394-1,Pemetaan!$B$3*Pemetaan!$B$4)</f>
        <v>492</v>
      </c>
      <c r="D1394" s="0" t="n">
        <f aca="false">INT(C1394/Pemetaan!$B$4)</f>
        <v>19</v>
      </c>
      <c r="E1394" s="0" t="n">
        <f aca="false">MOD(C1394,Pemetaan!$B$4)</f>
        <v>17</v>
      </c>
      <c r="F1394" s="0" t="n">
        <f aca="false">IF(B1394="PRODUKSI",Pemetaan!$B$5,Pemetaan!$B$6)</f>
        <v>46</v>
      </c>
      <c r="G1394" s="0" t="n">
        <f aca="false">F1394+2+D1394</f>
        <v>67</v>
      </c>
      <c r="H1394" s="0" t="n">
        <f aca="false">Pemetaan!$B$2+E1394</f>
        <v>22</v>
      </c>
      <c r="I1394" s="0" t="str">
        <f aca="false">INDEX(Laporan!$A$1:$AZ$300,G1394,1)</f>
        <v>Mixing</v>
      </c>
      <c r="J1394" s="0" t="str">
        <f aca="false">INDEX(Laporan!$A$1:$AZ$300,G1394,2)</f>
        <v>330 ml</v>
      </c>
      <c r="K1394" s="0" t="str">
        <f aca="false">INDEX(Laporan!$A$1:$AZ$300,G1394,3)</f>
        <v>Shift 1</v>
      </c>
      <c r="L1394" s="0" t="n">
        <f aca="false">INDEX(Laporan!$A$1:$AZ$300,G1394,4)</f>
        <v>2</v>
      </c>
      <c r="M1394" s="1" t="n">
        <f aca="false">DATE(Pemetaan!$B$1,VALUE(RIGHT(INDEX(Laporan!$A$1:$AZ$300,F1394+1,H1394),2)),VALUE(LEFT(INDEX(Laporan!$A$1:$AZ$300,F1394+1,H1394),2)))</f>
        <v>46106</v>
      </c>
      <c r="N1394" s="0" t="n">
        <f aca="false">INDEX(Laporan!$A$1:$AZ$300,G1394,H1394)</f>
        <v>25</v>
      </c>
      <c r="O1394" s="0" t="n">
        <f aca="false">IF(N1394="","",IFERROR(VALUE(SUBSTITUTE(SUBSTITUTE(N1394," btl",""),".","")),""))</f>
        <v>25</v>
      </c>
      <c r="P1394" s="0" t="str">
        <f aca="false">IF(B1394="PRODUKSI","produced","reject")</f>
        <v>reject</v>
      </c>
    </row>
    <row r="1395" customFormat="false" ht="15" hidden="false" customHeight="false" outlineLevel="0" collapsed="false">
      <c r="A1395" s="0" t="n">
        <v>1394</v>
      </c>
      <c r="B1395" s="0" t="str">
        <f aca="false">IF(A1395&lt;=36*25,"PRODUKSI","REJECT")</f>
        <v>REJECT</v>
      </c>
      <c r="C1395" s="0" t="n">
        <f aca="false">MOD(A1395-1,Pemetaan!$B$3*Pemetaan!$B$4)</f>
        <v>493</v>
      </c>
      <c r="D1395" s="0" t="n">
        <f aca="false">INT(C1395/Pemetaan!$B$4)</f>
        <v>19</v>
      </c>
      <c r="E1395" s="0" t="n">
        <f aca="false">MOD(C1395,Pemetaan!$B$4)</f>
        <v>18</v>
      </c>
      <c r="F1395" s="0" t="n">
        <f aca="false">IF(B1395="PRODUKSI",Pemetaan!$B$5,Pemetaan!$B$6)</f>
        <v>46</v>
      </c>
      <c r="G1395" s="0" t="n">
        <f aca="false">F1395+2+D1395</f>
        <v>67</v>
      </c>
      <c r="H1395" s="0" t="n">
        <f aca="false">Pemetaan!$B$2+E1395</f>
        <v>23</v>
      </c>
      <c r="I1395" s="0" t="str">
        <f aca="false">INDEX(Laporan!$A$1:$AZ$300,G1395,1)</f>
        <v>Mixing</v>
      </c>
      <c r="J1395" s="0" t="str">
        <f aca="false">INDEX(Laporan!$A$1:$AZ$300,G1395,2)</f>
        <v>330 ml</v>
      </c>
      <c r="K1395" s="0" t="str">
        <f aca="false">INDEX(Laporan!$A$1:$AZ$300,G1395,3)</f>
        <v>Shift 1</v>
      </c>
      <c r="L1395" s="0" t="n">
        <f aca="false">INDEX(Laporan!$A$1:$AZ$300,G1395,4)</f>
        <v>2</v>
      </c>
      <c r="M1395" s="1" t="n">
        <f aca="false">DATE(Pemetaan!$B$1,VALUE(RIGHT(INDEX(Laporan!$A$1:$AZ$300,F1395+1,H1395),2)),VALUE(LEFT(INDEX(Laporan!$A$1:$AZ$300,F1395+1,H1395),2)))</f>
        <v>46107</v>
      </c>
      <c r="N1395" s="0" t="n">
        <f aca="false">INDEX(Laporan!$A$1:$AZ$300,G1395,H1395)</f>
        <v>22</v>
      </c>
      <c r="O1395" s="0" t="n">
        <f aca="false">IF(N1395="","",IFERROR(VALUE(SUBSTITUTE(SUBSTITUTE(N1395," btl",""),".","")),""))</f>
        <v>22</v>
      </c>
      <c r="P1395" s="0" t="str">
        <f aca="false">IF(B1395="PRODUKSI","produced","reject")</f>
        <v>reject</v>
      </c>
    </row>
    <row r="1396" customFormat="false" ht="15" hidden="false" customHeight="false" outlineLevel="0" collapsed="false">
      <c r="A1396" s="0" t="n">
        <v>1395</v>
      </c>
      <c r="B1396" s="0" t="str">
        <f aca="false">IF(A1396&lt;=36*25,"PRODUKSI","REJECT")</f>
        <v>REJECT</v>
      </c>
      <c r="C1396" s="0" t="n">
        <f aca="false">MOD(A1396-1,Pemetaan!$B$3*Pemetaan!$B$4)</f>
        <v>494</v>
      </c>
      <c r="D1396" s="0" t="n">
        <f aca="false">INT(C1396/Pemetaan!$B$4)</f>
        <v>19</v>
      </c>
      <c r="E1396" s="0" t="n">
        <f aca="false">MOD(C1396,Pemetaan!$B$4)</f>
        <v>19</v>
      </c>
      <c r="F1396" s="0" t="n">
        <f aca="false">IF(B1396="PRODUKSI",Pemetaan!$B$5,Pemetaan!$B$6)</f>
        <v>46</v>
      </c>
      <c r="G1396" s="0" t="n">
        <f aca="false">F1396+2+D1396</f>
        <v>67</v>
      </c>
      <c r="H1396" s="0" t="n">
        <f aca="false">Pemetaan!$B$2+E1396</f>
        <v>24</v>
      </c>
      <c r="I1396" s="0" t="str">
        <f aca="false">INDEX(Laporan!$A$1:$AZ$300,G1396,1)</f>
        <v>Mixing</v>
      </c>
      <c r="J1396" s="0" t="str">
        <f aca="false">INDEX(Laporan!$A$1:$AZ$300,G1396,2)</f>
        <v>330 ml</v>
      </c>
      <c r="K1396" s="0" t="str">
        <f aca="false">INDEX(Laporan!$A$1:$AZ$300,G1396,3)</f>
        <v>Shift 1</v>
      </c>
      <c r="L1396" s="0" t="n">
        <f aca="false">INDEX(Laporan!$A$1:$AZ$300,G1396,4)</f>
        <v>2</v>
      </c>
      <c r="M1396" s="1" t="n">
        <f aca="false">DATE(Pemetaan!$B$1,VALUE(RIGHT(INDEX(Laporan!$A$1:$AZ$300,F1396+1,H1396),2)),VALUE(LEFT(INDEX(Laporan!$A$1:$AZ$300,F1396+1,H1396),2)))</f>
        <v>46108</v>
      </c>
      <c r="N1396" s="0" t="n">
        <f aca="false">INDEX(Laporan!$A$1:$AZ$300,G1396,H1396)</f>
        <v>24</v>
      </c>
      <c r="O1396" s="0" t="n">
        <f aca="false">IF(N1396="","",IFERROR(VALUE(SUBSTITUTE(SUBSTITUTE(N1396," btl",""),".","")),""))</f>
        <v>24</v>
      </c>
      <c r="P1396" s="0" t="str">
        <f aca="false">IF(B1396="PRODUKSI","produced","reject")</f>
        <v>reject</v>
      </c>
    </row>
    <row r="1397" customFormat="false" ht="15" hidden="false" customHeight="false" outlineLevel="0" collapsed="false">
      <c r="A1397" s="0" t="n">
        <v>1396</v>
      </c>
      <c r="B1397" s="0" t="str">
        <f aca="false">IF(A1397&lt;=36*25,"PRODUKSI","REJECT")</f>
        <v>REJECT</v>
      </c>
      <c r="C1397" s="0" t="n">
        <f aca="false">MOD(A1397-1,Pemetaan!$B$3*Pemetaan!$B$4)</f>
        <v>495</v>
      </c>
      <c r="D1397" s="0" t="n">
        <f aca="false">INT(C1397/Pemetaan!$B$4)</f>
        <v>19</v>
      </c>
      <c r="E1397" s="0" t="n">
        <f aca="false">MOD(C1397,Pemetaan!$B$4)</f>
        <v>20</v>
      </c>
      <c r="F1397" s="0" t="n">
        <f aca="false">IF(B1397="PRODUKSI",Pemetaan!$B$5,Pemetaan!$B$6)</f>
        <v>46</v>
      </c>
      <c r="G1397" s="0" t="n">
        <f aca="false">F1397+2+D1397</f>
        <v>67</v>
      </c>
      <c r="H1397" s="0" t="n">
        <f aca="false">Pemetaan!$B$2+E1397</f>
        <v>25</v>
      </c>
      <c r="I1397" s="0" t="str">
        <f aca="false">INDEX(Laporan!$A$1:$AZ$300,G1397,1)</f>
        <v>Mixing</v>
      </c>
      <c r="J1397" s="0" t="str">
        <f aca="false">INDEX(Laporan!$A$1:$AZ$300,G1397,2)</f>
        <v>330 ml</v>
      </c>
      <c r="K1397" s="0" t="str">
        <f aca="false">INDEX(Laporan!$A$1:$AZ$300,G1397,3)</f>
        <v>Shift 1</v>
      </c>
      <c r="L1397" s="0" t="n">
        <f aca="false">INDEX(Laporan!$A$1:$AZ$300,G1397,4)</f>
        <v>2</v>
      </c>
      <c r="M1397" s="1" t="n">
        <f aca="false">DATE(Pemetaan!$B$1,VALUE(RIGHT(INDEX(Laporan!$A$1:$AZ$300,F1397+1,H1397),2)),VALUE(LEFT(INDEX(Laporan!$A$1:$AZ$300,F1397+1,H1397),2)))</f>
        <v>46111</v>
      </c>
      <c r="N1397" s="0" t="n">
        <f aca="false">INDEX(Laporan!$A$1:$AZ$300,G1397,H1397)</f>
        <v>20</v>
      </c>
      <c r="O1397" s="0" t="n">
        <f aca="false">IF(N1397="","",IFERROR(VALUE(SUBSTITUTE(SUBSTITUTE(N1397," btl",""),".","")),""))</f>
        <v>20</v>
      </c>
      <c r="P1397" s="0" t="str">
        <f aca="false">IF(B1397="PRODUKSI","produced","reject")</f>
        <v>reject</v>
      </c>
    </row>
    <row r="1398" customFormat="false" ht="15" hidden="false" customHeight="false" outlineLevel="0" collapsed="false">
      <c r="A1398" s="0" t="n">
        <v>1397</v>
      </c>
      <c r="B1398" s="0" t="str">
        <f aca="false">IF(A1398&lt;=36*25,"PRODUKSI","REJECT")</f>
        <v>REJECT</v>
      </c>
      <c r="C1398" s="0" t="n">
        <f aca="false">MOD(A1398-1,Pemetaan!$B$3*Pemetaan!$B$4)</f>
        <v>496</v>
      </c>
      <c r="D1398" s="0" t="n">
        <f aca="false">INT(C1398/Pemetaan!$B$4)</f>
        <v>19</v>
      </c>
      <c r="E1398" s="0" t="n">
        <f aca="false">MOD(C1398,Pemetaan!$B$4)</f>
        <v>21</v>
      </c>
      <c r="F1398" s="0" t="n">
        <f aca="false">IF(B1398="PRODUKSI",Pemetaan!$B$5,Pemetaan!$B$6)</f>
        <v>46</v>
      </c>
      <c r="G1398" s="0" t="n">
        <f aca="false">F1398+2+D1398</f>
        <v>67</v>
      </c>
      <c r="H1398" s="0" t="n">
        <f aca="false">Pemetaan!$B$2+E1398</f>
        <v>26</v>
      </c>
      <c r="I1398" s="0" t="str">
        <f aca="false">INDEX(Laporan!$A$1:$AZ$300,G1398,1)</f>
        <v>Mixing</v>
      </c>
      <c r="J1398" s="0" t="str">
        <f aca="false">INDEX(Laporan!$A$1:$AZ$300,G1398,2)</f>
        <v>330 ml</v>
      </c>
      <c r="K1398" s="0" t="str">
        <f aca="false">INDEX(Laporan!$A$1:$AZ$300,G1398,3)</f>
        <v>Shift 1</v>
      </c>
      <c r="L1398" s="0" t="n">
        <f aca="false">INDEX(Laporan!$A$1:$AZ$300,G1398,4)</f>
        <v>2</v>
      </c>
      <c r="M1398" s="1" t="n">
        <f aca="false">DATE(Pemetaan!$B$1,VALUE(RIGHT(INDEX(Laporan!$A$1:$AZ$300,F1398+1,H1398),2)),VALUE(LEFT(INDEX(Laporan!$A$1:$AZ$300,F1398+1,H1398),2)))</f>
        <v>46112</v>
      </c>
      <c r="N1398" s="0" t="n">
        <f aca="false">INDEX(Laporan!$A$1:$AZ$300,G1398,H1398)</f>
        <v>11</v>
      </c>
      <c r="O1398" s="0" t="n">
        <f aca="false">IF(N1398="","",IFERROR(VALUE(SUBSTITUTE(SUBSTITUTE(N1398," btl",""),".","")),""))</f>
        <v>11</v>
      </c>
      <c r="P1398" s="0" t="str">
        <f aca="false">IF(B1398="PRODUKSI","produced","reject")</f>
        <v>reject</v>
      </c>
    </row>
    <row r="1399" customFormat="false" ht="15" hidden="false" customHeight="false" outlineLevel="0" collapsed="false">
      <c r="A1399" s="0" t="n">
        <v>1398</v>
      </c>
      <c r="B1399" s="0" t="str">
        <f aca="false">IF(A1399&lt;=36*25,"PRODUKSI","REJECT")</f>
        <v>REJECT</v>
      </c>
      <c r="C1399" s="0" t="n">
        <f aca="false">MOD(A1399-1,Pemetaan!$B$3*Pemetaan!$B$4)</f>
        <v>497</v>
      </c>
      <c r="D1399" s="0" t="n">
        <f aca="false">INT(C1399/Pemetaan!$B$4)</f>
        <v>19</v>
      </c>
      <c r="E1399" s="0" t="n">
        <f aca="false">MOD(C1399,Pemetaan!$B$4)</f>
        <v>22</v>
      </c>
      <c r="F1399" s="0" t="n">
        <f aca="false">IF(B1399="PRODUKSI",Pemetaan!$B$5,Pemetaan!$B$6)</f>
        <v>46</v>
      </c>
      <c r="G1399" s="0" t="n">
        <f aca="false">F1399+2+D1399</f>
        <v>67</v>
      </c>
      <c r="H1399" s="0" t="n">
        <f aca="false">Pemetaan!$B$2+E1399</f>
        <v>27</v>
      </c>
      <c r="I1399" s="0" t="str">
        <f aca="false">INDEX(Laporan!$A$1:$AZ$300,G1399,1)</f>
        <v>Mixing</v>
      </c>
      <c r="J1399" s="0" t="str">
        <f aca="false">INDEX(Laporan!$A$1:$AZ$300,G1399,2)</f>
        <v>330 ml</v>
      </c>
      <c r="K1399" s="0" t="str">
        <f aca="false">INDEX(Laporan!$A$1:$AZ$300,G1399,3)</f>
        <v>Shift 1</v>
      </c>
      <c r="L1399" s="0" t="n">
        <f aca="false">INDEX(Laporan!$A$1:$AZ$300,G1399,4)</f>
        <v>2</v>
      </c>
      <c r="M1399" s="1" t="n">
        <f aca="false">DATE(Pemetaan!$B$1,VALUE(RIGHT(INDEX(Laporan!$A$1:$AZ$300,F1399+1,H1399),2)),VALUE(LEFT(INDEX(Laporan!$A$1:$AZ$300,F1399+1,H1399),2)))</f>
        <v>46113</v>
      </c>
      <c r="N1399" s="0" t="n">
        <f aca="false">INDEX(Laporan!$A$1:$AZ$300,G1399,H1399)</f>
        <v>11</v>
      </c>
      <c r="O1399" s="0" t="n">
        <f aca="false">IF(N1399="","",IFERROR(VALUE(SUBSTITUTE(SUBSTITUTE(N1399," btl",""),".","")),""))</f>
        <v>11</v>
      </c>
      <c r="P1399" s="0" t="str">
        <f aca="false">IF(B1399="PRODUKSI","produced","reject")</f>
        <v>reject</v>
      </c>
    </row>
    <row r="1400" customFormat="false" ht="15" hidden="false" customHeight="false" outlineLevel="0" collapsed="false">
      <c r="A1400" s="0" t="n">
        <v>1399</v>
      </c>
      <c r="B1400" s="0" t="str">
        <f aca="false">IF(A1400&lt;=36*25,"PRODUKSI","REJECT")</f>
        <v>REJECT</v>
      </c>
      <c r="C1400" s="0" t="n">
        <f aca="false">MOD(A1400-1,Pemetaan!$B$3*Pemetaan!$B$4)</f>
        <v>498</v>
      </c>
      <c r="D1400" s="0" t="n">
        <f aca="false">INT(C1400/Pemetaan!$B$4)</f>
        <v>19</v>
      </c>
      <c r="E1400" s="0" t="n">
        <f aca="false">MOD(C1400,Pemetaan!$B$4)</f>
        <v>23</v>
      </c>
      <c r="F1400" s="0" t="n">
        <f aca="false">IF(B1400="PRODUKSI",Pemetaan!$B$5,Pemetaan!$B$6)</f>
        <v>46</v>
      </c>
      <c r="G1400" s="0" t="n">
        <f aca="false">F1400+2+D1400</f>
        <v>67</v>
      </c>
      <c r="H1400" s="0" t="n">
        <f aca="false">Pemetaan!$B$2+E1400</f>
        <v>28</v>
      </c>
      <c r="I1400" s="0" t="str">
        <f aca="false">INDEX(Laporan!$A$1:$AZ$300,G1400,1)</f>
        <v>Mixing</v>
      </c>
      <c r="J1400" s="0" t="str">
        <f aca="false">INDEX(Laporan!$A$1:$AZ$300,G1400,2)</f>
        <v>330 ml</v>
      </c>
      <c r="K1400" s="0" t="str">
        <f aca="false">INDEX(Laporan!$A$1:$AZ$300,G1400,3)</f>
        <v>Shift 1</v>
      </c>
      <c r="L1400" s="0" t="n">
        <f aca="false">INDEX(Laporan!$A$1:$AZ$300,G1400,4)</f>
        <v>2</v>
      </c>
      <c r="M1400" s="1" t="n">
        <f aca="false">DATE(Pemetaan!$B$1,VALUE(RIGHT(INDEX(Laporan!$A$1:$AZ$300,F1400+1,H1400),2)),VALUE(LEFT(INDEX(Laporan!$A$1:$AZ$300,F1400+1,H1400),2)))</f>
        <v>46114</v>
      </c>
      <c r="N1400" s="0" t="n">
        <f aca="false">INDEX(Laporan!$A$1:$AZ$300,G1400,H1400)</f>
        <v>18</v>
      </c>
      <c r="O1400" s="0" t="n">
        <f aca="false">IF(N1400="","",IFERROR(VALUE(SUBSTITUTE(SUBSTITUTE(N1400," btl",""),".","")),""))</f>
        <v>18</v>
      </c>
      <c r="P1400" s="0" t="str">
        <f aca="false">IF(B1400="PRODUKSI","produced","reject")</f>
        <v>reject</v>
      </c>
    </row>
    <row r="1401" customFormat="false" ht="15" hidden="false" customHeight="false" outlineLevel="0" collapsed="false">
      <c r="A1401" s="0" t="n">
        <v>1400</v>
      </c>
      <c r="B1401" s="0" t="str">
        <f aca="false">IF(A1401&lt;=36*25,"PRODUKSI","REJECT")</f>
        <v>REJECT</v>
      </c>
      <c r="C1401" s="0" t="n">
        <f aca="false">MOD(A1401-1,Pemetaan!$B$3*Pemetaan!$B$4)</f>
        <v>499</v>
      </c>
      <c r="D1401" s="0" t="n">
        <f aca="false">INT(C1401/Pemetaan!$B$4)</f>
        <v>19</v>
      </c>
      <c r="E1401" s="0" t="n">
        <f aca="false">MOD(C1401,Pemetaan!$B$4)</f>
        <v>24</v>
      </c>
      <c r="F1401" s="0" t="n">
        <f aca="false">IF(B1401="PRODUKSI",Pemetaan!$B$5,Pemetaan!$B$6)</f>
        <v>46</v>
      </c>
      <c r="G1401" s="0" t="n">
        <f aca="false">F1401+2+D1401</f>
        <v>67</v>
      </c>
      <c r="H1401" s="0" t="n">
        <f aca="false">Pemetaan!$B$2+E1401</f>
        <v>29</v>
      </c>
      <c r="I1401" s="0" t="str">
        <f aca="false">INDEX(Laporan!$A$1:$AZ$300,G1401,1)</f>
        <v>Mixing</v>
      </c>
      <c r="J1401" s="0" t="str">
        <f aca="false">INDEX(Laporan!$A$1:$AZ$300,G1401,2)</f>
        <v>330 ml</v>
      </c>
      <c r="K1401" s="0" t="str">
        <f aca="false">INDEX(Laporan!$A$1:$AZ$300,G1401,3)</f>
        <v>Shift 1</v>
      </c>
      <c r="L1401" s="0" t="n">
        <f aca="false">INDEX(Laporan!$A$1:$AZ$300,G1401,4)</f>
        <v>2</v>
      </c>
      <c r="M1401" s="1" t="n">
        <f aca="false">DATE(Pemetaan!$B$1,VALUE(RIGHT(INDEX(Laporan!$A$1:$AZ$300,F1401+1,H1401),2)),VALUE(LEFT(INDEX(Laporan!$A$1:$AZ$300,F1401+1,H1401),2)))</f>
        <v>46115</v>
      </c>
      <c r="N1401" s="0" t="n">
        <f aca="false">INDEX(Laporan!$A$1:$AZ$300,G1401,H1401)</f>
        <v>20</v>
      </c>
      <c r="O1401" s="0" t="n">
        <f aca="false">IF(N1401="","",IFERROR(VALUE(SUBSTITUTE(SUBSTITUTE(N1401," btl",""),".","")),""))</f>
        <v>20</v>
      </c>
      <c r="P1401" s="0" t="str">
        <f aca="false">IF(B1401="PRODUKSI","produced","reject")</f>
        <v>reject</v>
      </c>
    </row>
    <row r="1402" customFormat="false" ht="15" hidden="false" customHeight="false" outlineLevel="0" collapsed="false">
      <c r="A1402" s="0" t="n">
        <v>1401</v>
      </c>
      <c r="B1402" s="0" t="str">
        <f aca="false">IF(A1402&lt;=36*25,"PRODUKSI","REJECT")</f>
        <v>REJECT</v>
      </c>
      <c r="C1402" s="0" t="n">
        <f aca="false">MOD(A1402-1,Pemetaan!$B$3*Pemetaan!$B$4)</f>
        <v>500</v>
      </c>
      <c r="D1402" s="0" t="n">
        <f aca="false">INT(C1402/Pemetaan!$B$4)</f>
        <v>20</v>
      </c>
      <c r="E1402" s="0" t="n">
        <f aca="false">MOD(C1402,Pemetaan!$B$4)</f>
        <v>0</v>
      </c>
      <c r="F1402" s="0" t="n">
        <f aca="false">IF(B1402="PRODUKSI",Pemetaan!$B$5,Pemetaan!$B$6)</f>
        <v>46</v>
      </c>
      <c r="G1402" s="0" t="n">
        <f aca="false">F1402+2+D1402</f>
        <v>68</v>
      </c>
      <c r="H1402" s="0" t="n">
        <f aca="false">Pemetaan!$B$2+E1402</f>
        <v>5</v>
      </c>
      <c r="I1402" s="0" t="str">
        <f aca="false">INDEX(Laporan!$A$1:$AZ$300,G1402,1)</f>
        <v>Mixing</v>
      </c>
      <c r="J1402" s="0" t="str">
        <f aca="false">INDEX(Laporan!$A$1:$AZ$300,G1402,2)</f>
        <v>330 ml</v>
      </c>
      <c r="K1402" s="0" t="str">
        <f aca="false">INDEX(Laporan!$A$1:$AZ$300,G1402,3)</f>
        <v>Shift 1</v>
      </c>
      <c r="L1402" s="0" t="n">
        <f aca="false">INDEX(Laporan!$A$1:$AZ$300,G1402,4)</f>
        <v>3</v>
      </c>
      <c r="M1402" s="1" t="n">
        <f aca="false">DATE(Pemetaan!$B$1,VALUE(RIGHT(INDEX(Laporan!$A$1:$AZ$300,F1402+1,H1402),2)),VALUE(LEFT(INDEX(Laporan!$A$1:$AZ$300,F1402+1,H1402),2)))</f>
        <v>46083</v>
      </c>
      <c r="N1402" s="0" t="n">
        <f aca="false">INDEX(Laporan!$A$1:$AZ$300,G1402,H1402)</f>
        <v>22</v>
      </c>
      <c r="O1402" s="0" t="n">
        <f aca="false">IF(N1402="","",IFERROR(VALUE(SUBSTITUTE(SUBSTITUTE(N1402," btl",""),".","")),""))</f>
        <v>22</v>
      </c>
      <c r="P1402" s="0" t="str">
        <f aca="false">IF(B1402="PRODUKSI","produced","reject")</f>
        <v>reject</v>
      </c>
    </row>
    <row r="1403" customFormat="false" ht="15" hidden="false" customHeight="false" outlineLevel="0" collapsed="false">
      <c r="A1403" s="0" t="n">
        <v>1402</v>
      </c>
      <c r="B1403" s="0" t="str">
        <f aca="false">IF(A1403&lt;=36*25,"PRODUKSI","REJECT")</f>
        <v>REJECT</v>
      </c>
      <c r="C1403" s="0" t="n">
        <f aca="false">MOD(A1403-1,Pemetaan!$B$3*Pemetaan!$B$4)</f>
        <v>501</v>
      </c>
      <c r="D1403" s="0" t="n">
        <f aca="false">INT(C1403/Pemetaan!$B$4)</f>
        <v>20</v>
      </c>
      <c r="E1403" s="0" t="n">
        <f aca="false">MOD(C1403,Pemetaan!$B$4)</f>
        <v>1</v>
      </c>
      <c r="F1403" s="0" t="n">
        <f aca="false">IF(B1403="PRODUKSI",Pemetaan!$B$5,Pemetaan!$B$6)</f>
        <v>46</v>
      </c>
      <c r="G1403" s="0" t="n">
        <f aca="false">F1403+2+D1403</f>
        <v>68</v>
      </c>
      <c r="H1403" s="0" t="n">
        <f aca="false">Pemetaan!$B$2+E1403</f>
        <v>6</v>
      </c>
      <c r="I1403" s="0" t="str">
        <f aca="false">INDEX(Laporan!$A$1:$AZ$300,G1403,1)</f>
        <v>Mixing</v>
      </c>
      <c r="J1403" s="0" t="str">
        <f aca="false">INDEX(Laporan!$A$1:$AZ$300,G1403,2)</f>
        <v>330 ml</v>
      </c>
      <c r="K1403" s="0" t="str">
        <f aca="false">INDEX(Laporan!$A$1:$AZ$300,G1403,3)</f>
        <v>Shift 1</v>
      </c>
      <c r="L1403" s="0" t="n">
        <f aca="false">INDEX(Laporan!$A$1:$AZ$300,G1403,4)</f>
        <v>3</v>
      </c>
      <c r="M1403" s="1" t="n">
        <f aca="false">DATE(Pemetaan!$B$1,VALUE(RIGHT(INDEX(Laporan!$A$1:$AZ$300,F1403+1,H1403),2)),VALUE(LEFT(INDEX(Laporan!$A$1:$AZ$300,F1403+1,H1403),2)))</f>
        <v>46084</v>
      </c>
      <c r="N1403" s="0" t="n">
        <f aca="false">INDEX(Laporan!$A$1:$AZ$300,G1403,H1403)</f>
        <v>19</v>
      </c>
      <c r="O1403" s="0" t="n">
        <f aca="false">IF(N1403="","",IFERROR(VALUE(SUBSTITUTE(SUBSTITUTE(N1403," btl",""),".","")),""))</f>
        <v>19</v>
      </c>
      <c r="P1403" s="0" t="str">
        <f aca="false">IF(B1403="PRODUKSI","produced","reject")</f>
        <v>reject</v>
      </c>
    </row>
    <row r="1404" customFormat="false" ht="15" hidden="false" customHeight="false" outlineLevel="0" collapsed="false">
      <c r="A1404" s="0" t="n">
        <v>1403</v>
      </c>
      <c r="B1404" s="0" t="str">
        <f aca="false">IF(A1404&lt;=36*25,"PRODUKSI","REJECT")</f>
        <v>REJECT</v>
      </c>
      <c r="C1404" s="0" t="n">
        <f aca="false">MOD(A1404-1,Pemetaan!$B$3*Pemetaan!$B$4)</f>
        <v>502</v>
      </c>
      <c r="D1404" s="0" t="n">
        <f aca="false">INT(C1404/Pemetaan!$B$4)</f>
        <v>20</v>
      </c>
      <c r="E1404" s="0" t="n">
        <f aca="false">MOD(C1404,Pemetaan!$B$4)</f>
        <v>2</v>
      </c>
      <c r="F1404" s="0" t="n">
        <f aca="false">IF(B1404="PRODUKSI",Pemetaan!$B$5,Pemetaan!$B$6)</f>
        <v>46</v>
      </c>
      <c r="G1404" s="0" t="n">
        <f aca="false">F1404+2+D1404</f>
        <v>68</v>
      </c>
      <c r="H1404" s="0" t="n">
        <f aca="false">Pemetaan!$B$2+E1404</f>
        <v>7</v>
      </c>
      <c r="I1404" s="0" t="str">
        <f aca="false">INDEX(Laporan!$A$1:$AZ$300,G1404,1)</f>
        <v>Mixing</v>
      </c>
      <c r="J1404" s="0" t="str">
        <f aca="false">INDEX(Laporan!$A$1:$AZ$300,G1404,2)</f>
        <v>330 ml</v>
      </c>
      <c r="K1404" s="0" t="str">
        <f aca="false">INDEX(Laporan!$A$1:$AZ$300,G1404,3)</f>
        <v>Shift 1</v>
      </c>
      <c r="L1404" s="0" t="n">
        <f aca="false">INDEX(Laporan!$A$1:$AZ$300,G1404,4)</f>
        <v>3</v>
      </c>
      <c r="M1404" s="1" t="n">
        <f aca="false">DATE(Pemetaan!$B$1,VALUE(RIGHT(INDEX(Laporan!$A$1:$AZ$300,F1404+1,H1404),2)),VALUE(LEFT(INDEX(Laporan!$A$1:$AZ$300,F1404+1,H1404),2)))</f>
        <v>46085</v>
      </c>
      <c r="N1404" s="0" t="n">
        <f aca="false">INDEX(Laporan!$A$1:$AZ$300,G1404,H1404)</f>
        <v>18</v>
      </c>
      <c r="O1404" s="0" t="n">
        <f aca="false">IF(N1404="","",IFERROR(VALUE(SUBSTITUTE(SUBSTITUTE(N1404," btl",""),".","")),""))</f>
        <v>18</v>
      </c>
      <c r="P1404" s="0" t="str">
        <f aca="false">IF(B1404="PRODUKSI","produced","reject")</f>
        <v>reject</v>
      </c>
    </row>
    <row r="1405" customFormat="false" ht="15" hidden="false" customHeight="false" outlineLevel="0" collapsed="false">
      <c r="A1405" s="0" t="n">
        <v>1404</v>
      </c>
      <c r="B1405" s="0" t="str">
        <f aca="false">IF(A1405&lt;=36*25,"PRODUKSI","REJECT")</f>
        <v>REJECT</v>
      </c>
      <c r="C1405" s="0" t="n">
        <f aca="false">MOD(A1405-1,Pemetaan!$B$3*Pemetaan!$B$4)</f>
        <v>503</v>
      </c>
      <c r="D1405" s="0" t="n">
        <f aca="false">INT(C1405/Pemetaan!$B$4)</f>
        <v>20</v>
      </c>
      <c r="E1405" s="0" t="n">
        <f aca="false">MOD(C1405,Pemetaan!$B$4)</f>
        <v>3</v>
      </c>
      <c r="F1405" s="0" t="n">
        <f aca="false">IF(B1405="PRODUKSI",Pemetaan!$B$5,Pemetaan!$B$6)</f>
        <v>46</v>
      </c>
      <c r="G1405" s="0" t="n">
        <f aca="false">F1405+2+D1405</f>
        <v>68</v>
      </c>
      <c r="H1405" s="0" t="n">
        <f aca="false">Pemetaan!$B$2+E1405</f>
        <v>8</v>
      </c>
      <c r="I1405" s="0" t="str">
        <f aca="false">INDEX(Laporan!$A$1:$AZ$300,G1405,1)</f>
        <v>Mixing</v>
      </c>
      <c r="J1405" s="0" t="str">
        <f aca="false">INDEX(Laporan!$A$1:$AZ$300,G1405,2)</f>
        <v>330 ml</v>
      </c>
      <c r="K1405" s="0" t="str">
        <f aca="false">INDEX(Laporan!$A$1:$AZ$300,G1405,3)</f>
        <v>Shift 1</v>
      </c>
      <c r="L1405" s="0" t="n">
        <f aca="false">INDEX(Laporan!$A$1:$AZ$300,G1405,4)</f>
        <v>3</v>
      </c>
      <c r="M1405" s="1" t="n">
        <f aca="false">DATE(Pemetaan!$B$1,VALUE(RIGHT(INDEX(Laporan!$A$1:$AZ$300,F1405+1,H1405),2)),VALUE(LEFT(INDEX(Laporan!$A$1:$AZ$300,F1405+1,H1405),2)))</f>
        <v>46086</v>
      </c>
      <c r="N1405" s="0" t="n">
        <f aca="false">INDEX(Laporan!$A$1:$AZ$300,G1405,H1405)</f>
        <v>11</v>
      </c>
      <c r="O1405" s="0" t="n">
        <f aca="false">IF(N1405="","",IFERROR(VALUE(SUBSTITUTE(SUBSTITUTE(N1405," btl",""),".","")),""))</f>
        <v>11</v>
      </c>
      <c r="P1405" s="0" t="str">
        <f aca="false">IF(B1405="PRODUKSI","produced","reject")</f>
        <v>reject</v>
      </c>
    </row>
    <row r="1406" customFormat="false" ht="15" hidden="false" customHeight="false" outlineLevel="0" collapsed="false">
      <c r="A1406" s="0" t="n">
        <v>1405</v>
      </c>
      <c r="B1406" s="0" t="str">
        <f aca="false">IF(A1406&lt;=36*25,"PRODUKSI","REJECT")</f>
        <v>REJECT</v>
      </c>
      <c r="C1406" s="0" t="n">
        <f aca="false">MOD(A1406-1,Pemetaan!$B$3*Pemetaan!$B$4)</f>
        <v>504</v>
      </c>
      <c r="D1406" s="0" t="n">
        <f aca="false">INT(C1406/Pemetaan!$B$4)</f>
        <v>20</v>
      </c>
      <c r="E1406" s="0" t="n">
        <f aca="false">MOD(C1406,Pemetaan!$B$4)</f>
        <v>4</v>
      </c>
      <c r="F1406" s="0" t="n">
        <f aca="false">IF(B1406="PRODUKSI",Pemetaan!$B$5,Pemetaan!$B$6)</f>
        <v>46</v>
      </c>
      <c r="G1406" s="0" t="n">
        <f aca="false">F1406+2+D1406</f>
        <v>68</v>
      </c>
      <c r="H1406" s="0" t="n">
        <f aca="false">Pemetaan!$B$2+E1406</f>
        <v>9</v>
      </c>
      <c r="I1406" s="0" t="str">
        <f aca="false">INDEX(Laporan!$A$1:$AZ$300,G1406,1)</f>
        <v>Mixing</v>
      </c>
      <c r="J1406" s="0" t="str">
        <f aca="false">INDEX(Laporan!$A$1:$AZ$300,G1406,2)</f>
        <v>330 ml</v>
      </c>
      <c r="K1406" s="0" t="str">
        <f aca="false">INDEX(Laporan!$A$1:$AZ$300,G1406,3)</f>
        <v>Shift 1</v>
      </c>
      <c r="L1406" s="0" t="n">
        <f aca="false">INDEX(Laporan!$A$1:$AZ$300,G1406,4)</f>
        <v>3</v>
      </c>
      <c r="M1406" s="1" t="n">
        <f aca="false">DATE(Pemetaan!$B$1,VALUE(RIGHT(INDEX(Laporan!$A$1:$AZ$300,F1406+1,H1406),2)),VALUE(LEFT(INDEX(Laporan!$A$1:$AZ$300,F1406+1,H1406),2)))</f>
        <v>46087</v>
      </c>
      <c r="N1406" s="0" t="n">
        <f aca="false">INDEX(Laporan!$A$1:$AZ$300,G1406,H1406)</f>
        <v>24</v>
      </c>
      <c r="O1406" s="0" t="n">
        <f aca="false">IF(N1406="","",IFERROR(VALUE(SUBSTITUTE(SUBSTITUTE(N1406," btl",""),".","")),""))</f>
        <v>24</v>
      </c>
      <c r="P1406" s="0" t="str">
        <f aca="false">IF(B1406="PRODUKSI","produced","reject")</f>
        <v>reject</v>
      </c>
    </row>
    <row r="1407" customFormat="false" ht="15" hidden="false" customHeight="false" outlineLevel="0" collapsed="false">
      <c r="A1407" s="0" t="n">
        <v>1406</v>
      </c>
      <c r="B1407" s="0" t="str">
        <f aca="false">IF(A1407&lt;=36*25,"PRODUKSI","REJECT")</f>
        <v>REJECT</v>
      </c>
      <c r="C1407" s="0" t="n">
        <f aca="false">MOD(A1407-1,Pemetaan!$B$3*Pemetaan!$B$4)</f>
        <v>505</v>
      </c>
      <c r="D1407" s="0" t="n">
        <f aca="false">INT(C1407/Pemetaan!$B$4)</f>
        <v>20</v>
      </c>
      <c r="E1407" s="0" t="n">
        <f aca="false">MOD(C1407,Pemetaan!$B$4)</f>
        <v>5</v>
      </c>
      <c r="F1407" s="0" t="n">
        <f aca="false">IF(B1407="PRODUKSI",Pemetaan!$B$5,Pemetaan!$B$6)</f>
        <v>46</v>
      </c>
      <c r="G1407" s="0" t="n">
        <f aca="false">F1407+2+D1407</f>
        <v>68</v>
      </c>
      <c r="H1407" s="0" t="n">
        <f aca="false">Pemetaan!$B$2+E1407</f>
        <v>10</v>
      </c>
      <c r="I1407" s="0" t="str">
        <f aca="false">INDEX(Laporan!$A$1:$AZ$300,G1407,1)</f>
        <v>Mixing</v>
      </c>
      <c r="J1407" s="0" t="str">
        <f aca="false">INDEX(Laporan!$A$1:$AZ$300,G1407,2)</f>
        <v>330 ml</v>
      </c>
      <c r="K1407" s="0" t="str">
        <f aca="false">INDEX(Laporan!$A$1:$AZ$300,G1407,3)</f>
        <v>Shift 1</v>
      </c>
      <c r="L1407" s="0" t="n">
        <f aca="false">INDEX(Laporan!$A$1:$AZ$300,G1407,4)</f>
        <v>3</v>
      </c>
      <c r="M1407" s="1" t="n">
        <f aca="false">DATE(Pemetaan!$B$1,VALUE(RIGHT(INDEX(Laporan!$A$1:$AZ$300,F1407+1,H1407),2)),VALUE(LEFT(INDEX(Laporan!$A$1:$AZ$300,F1407+1,H1407),2)))</f>
        <v>46090</v>
      </c>
      <c r="N1407" s="0" t="str">
        <f aca="false">INDEX(Laporan!$A$1:$AZ$300,G1407,H1407)</f>
        <v>n/a</v>
      </c>
      <c r="O1407" s="0" t="str">
        <f aca="false">IF(N1407="","",IFERROR(VALUE(SUBSTITUTE(SUBSTITUTE(N1407," btl",""),".","")),""))</f>
        <v/>
      </c>
      <c r="P1407" s="0" t="str">
        <f aca="false">IF(B1407="PRODUKSI","produced","reject")</f>
        <v>reject</v>
      </c>
    </row>
    <row r="1408" customFormat="false" ht="15" hidden="false" customHeight="false" outlineLevel="0" collapsed="false">
      <c r="A1408" s="0" t="n">
        <v>1407</v>
      </c>
      <c r="B1408" s="0" t="str">
        <f aca="false">IF(A1408&lt;=36*25,"PRODUKSI","REJECT")</f>
        <v>REJECT</v>
      </c>
      <c r="C1408" s="0" t="n">
        <f aca="false">MOD(A1408-1,Pemetaan!$B$3*Pemetaan!$B$4)</f>
        <v>506</v>
      </c>
      <c r="D1408" s="0" t="n">
        <f aca="false">INT(C1408/Pemetaan!$B$4)</f>
        <v>20</v>
      </c>
      <c r="E1408" s="0" t="n">
        <f aca="false">MOD(C1408,Pemetaan!$B$4)</f>
        <v>6</v>
      </c>
      <c r="F1408" s="0" t="n">
        <f aca="false">IF(B1408="PRODUKSI",Pemetaan!$B$5,Pemetaan!$B$6)</f>
        <v>46</v>
      </c>
      <c r="G1408" s="0" t="n">
        <f aca="false">F1408+2+D1408</f>
        <v>68</v>
      </c>
      <c r="H1408" s="0" t="n">
        <f aca="false">Pemetaan!$B$2+E1408</f>
        <v>11</v>
      </c>
      <c r="I1408" s="0" t="str">
        <f aca="false">INDEX(Laporan!$A$1:$AZ$300,G1408,1)</f>
        <v>Mixing</v>
      </c>
      <c r="J1408" s="0" t="str">
        <f aca="false">INDEX(Laporan!$A$1:$AZ$300,G1408,2)</f>
        <v>330 ml</v>
      </c>
      <c r="K1408" s="0" t="str">
        <f aca="false">INDEX(Laporan!$A$1:$AZ$300,G1408,3)</f>
        <v>Shift 1</v>
      </c>
      <c r="L1408" s="0" t="n">
        <f aca="false">INDEX(Laporan!$A$1:$AZ$300,G1408,4)</f>
        <v>3</v>
      </c>
      <c r="M1408" s="1" t="n">
        <f aca="false">DATE(Pemetaan!$B$1,VALUE(RIGHT(INDEX(Laporan!$A$1:$AZ$300,F1408+1,H1408),2)),VALUE(LEFT(INDEX(Laporan!$A$1:$AZ$300,F1408+1,H1408),2)))</f>
        <v>46091</v>
      </c>
      <c r="N1408" s="0" t="n">
        <f aca="false">INDEX(Laporan!$A$1:$AZ$300,G1408,H1408)</f>
        <v>22</v>
      </c>
      <c r="O1408" s="0" t="n">
        <f aca="false">IF(N1408="","",IFERROR(VALUE(SUBSTITUTE(SUBSTITUTE(N1408," btl",""),".","")),""))</f>
        <v>22</v>
      </c>
      <c r="P1408" s="0" t="str">
        <f aca="false">IF(B1408="PRODUKSI","produced","reject")</f>
        <v>reject</v>
      </c>
    </row>
    <row r="1409" customFormat="false" ht="15" hidden="false" customHeight="false" outlineLevel="0" collapsed="false">
      <c r="A1409" s="0" t="n">
        <v>1408</v>
      </c>
      <c r="B1409" s="0" t="str">
        <f aca="false">IF(A1409&lt;=36*25,"PRODUKSI","REJECT")</f>
        <v>REJECT</v>
      </c>
      <c r="C1409" s="0" t="n">
        <f aca="false">MOD(A1409-1,Pemetaan!$B$3*Pemetaan!$B$4)</f>
        <v>507</v>
      </c>
      <c r="D1409" s="0" t="n">
        <f aca="false">INT(C1409/Pemetaan!$B$4)</f>
        <v>20</v>
      </c>
      <c r="E1409" s="0" t="n">
        <f aca="false">MOD(C1409,Pemetaan!$B$4)</f>
        <v>7</v>
      </c>
      <c r="F1409" s="0" t="n">
        <f aca="false">IF(B1409="PRODUKSI",Pemetaan!$B$5,Pemetaan!$B$6)</f>
        <v>46</v>
      </c>
      <c r="G1409" s="0" t="n">
        <f aca="false">F1409+2+D1409</f>
        <v>68</v>
      </c>
      <c r="H1409" s="0" t="n">
        <f aca="false">Pemetaan!$B$2+E1409</f>
        <v>12</v>
      </c>
      <c r="I1409" s="0" t="str">
        <f aca="false">INDEX(Laporan!$A$1:$AZ$300,G1409,1)</f>
        <v>Mixing</v>
      </c>
      <c r="J1409" s="0" t="str">
        <f aca="false">INDEX(Laporan!$A$1:$AZ$300,G1409,2)</f>
        <v>330 ml</v>
      </c>
      <c r="K1409" s="0" t="str">
        <f aca="false">INDEX(Laporan!$A$1:$AZ$300,G1409,3)</f>
        <v>Shift 1</v>
      </c>
      <c r="L1409" s="0" t="n">
        <f aca="false">INDEX(Laporan!$A$1:$AZ$300,G1409,4)</f>
        <v>3</v>
      </c>
      <c r="M1409" s="1" t="n">
        <f aca="false">DATE(Pemetaan!$B$1,VALUE(RIGHT(INDEX(Laporan!$A$1:$AZ$300,F1409+1,H1409),2)),VALUE(LEFT(INDEX(Laporan!$A$1:$AZ$300,F1409+1,H1409),2)))</f>
        <v>46092</v>
      </c>
      <c r="N1409" s="0" t="n">
        <f aca="false">INDEX(Laporan!$A$1:$AZ$300,G1409,H1409)</f>
        <v>23</v>
      </c>
      <c r="O1409" s="0" t="n">
        <f aca="false">IF(N1409="","",IFERROR(VALUE(SUBSTITUTE(SUBSTITUTE(N1409," btl",""),".","")),""))</f>
        <v>23</v>
      </c>
      <c r="P1409" s="0" t="str">
        <f aca="false">IF(B1409="PRODUKSI","produced","reject")</f>
        <v>reject</v>
      </c>
    </row>
    <row r="1410" customFormat="false" ht="15" hidden="false" customHeight="false" outlineLevel="0" collapsed="false">
      <c r="A1410" s="0" t="n">
        <v>1409</v>
      </c>
      <c r="B1410" s="0" t="str">
        <f aca="false">IF(A1410&lt;=36*25,"PRODUKSI","REJECT")</f>
        <v>REJECT</v>
      </c>
      <c r="C1410" s="0" t="n">
        <f aca="false">MOD(A1410-1,Pemetaan!$B$3*Pemetaan!$B$4)</f>
        <v>508</v>
      </c>
      <c r="D1410" s="0" t="n">
        <f aca="false">INT(C1410/Pemetaan!$B$4)</f>
        <v>20</v>
      </c>
      <c r="E1410" s="0" t="n">
        <f aca="false">MOD(C1410,Pemetaan!$B$4)</f>
        <v>8</v>
      </c>
      <c r="F1410" s="0" t="n">
        <f aca="false">IF(B1410="PRODUKSI",Pemetaan!$B$5,Pemetaan!$B$6)</f>
        <v>46</v>
      </c>
      <c r="G1410" s="0" t="n">
        <f aca="false">F1410+2+D1410</f>
        <v>68</v>
      </c>
      <c r="H1410" s="0" t="n">
        <f aca="false">Pemetaan!$B$2+E1410</f>
        <v>13</v>
      </c>
      <c r="I1410" s="0" t="str">
        <f aca="false">INDEX(Laporan!$A$1:$AZ$300,G1410,1)</f>
        <v>Mixing</v>
      </c>
      <c r="J1410" s="0" t="str">
        <f aca="false">INDEX(Laporan!$A$1:$AZ$300,G1410,2)</f>
        <v>330 ml</v>
      </c>
      <c r="K1410" s="0" t="str">
        <f aca="false">INDEX(Laporan!$A$1:$AZ$300,G1410,3)</f>
        <v>Shift 1</v>
      </c>
      <c r="L1410" s="0" t="n">
        <f aca="false">INDEX(Laporan!$A$1:$AZ$300,G1410,4)</f>
        <v>3</v>
      </c>
      <c r="M1410" s="1" t="n">
        <f aca="false">DATE(Pemetaan!$B$1,VALUE(RIGHT(INDEX(Laporan!$A$1:$AZ$300,F1410+1,H1410),2)),VALUE(LEFT(INDEX(Laporan!$A$1:$AZ$300,F1410+1,H1410),2)))</f>
        <v>46093</v>
      </c>
      <c r="N1410" s="0" t="n">
        <f aca="false">INDEX(Laporan!$A$1:$AZ$300,G1410,H1410)</f>
        <v>16</v>
      </c>
      <c r="O1410" s="0" t="n">
        <f aca="false">IF(N1410="","",IFERROR(VALUE(SUBSTITUTE(SUBSTITUTE(N1410," btl",""),".","")),""))</f>
        <v>16</v>
      </c>
      <c r="P1410" s="0" t="str">
        <f aca="false">IF(B1410="PRODUKSI","produced","reject")</f>
        <v>reject</v>
      </c>
    </row>
    <row r="1411" customFormat="false" ht="15" hidden="false" customHeight="false" outlineLevel="0" collapsed="false">
      <c r="A1411" s="0" t="n">
        <v>1410</v>
      </c>
      <c r="B1411" s="0" t="str">
        <f aca="false">IF(A1411&lt;=36*25,"PRODUKSI","REJECT")</f>
        <v>REJECT</v>
      </c>
      <c r="C1411" s="0" t="n">
        <f aca="false">MOD(A1411-1,Pemetaan!$B$3*Pemetaan!$B$4)</f>
        <v>509</v>
      </c>
      <c r="D1411" s="0" t="n">
        <f aca="false">INT(C1411/Pemetaan!$B$4)</f>
        <v>20</v>
      </c>
      <c r="E1411" s="0" t="n">
        <f aca="false">MOD(C1411,Pemetaan!$B$4)</f>
        <v>9</v>
      </c>
      <c r="F1411" s="0" t="n">
        <f aca="false">IF(B1411="PRODUKSI",Pemetaan!$B$5,Pemetaan!$B$6)</f>
        <v>46</v>
      </c>
      <c r="G1411" s="0" t="n">
        <f aca="false">F1411+2+D1411</f>
        <v>68</v>
      </c>
      <c r="H1411" s="0" t="n">
        <f aca="false">Pemetaan!$B$2+E1411</f>
        <v>14</v>
      </c>
      <c r="I1411" s="0" t="str">
        <f aca="false">INDEX(Laporan!$A$1:$AZ$300,G1411,1)</f>
        <v>Mixing</v>
      </c>
      <c r="J1411" s="0" t="str">
        <f aca="false">INDEX(Laporan!$A$1:$AZ$300,G1411,2)</f>
        <v>330 ml</v>
      </c>
      <c r="K1411" s="0" t="str">
        <f aca="false">INDEX(Laporan!$A$1:$AZ$300,G1411,3)</f>
        <v>Shift 1</v>
      </c>
      <c r="L1411" s="0" t="n">
        <f aca="false">INDEX(Laporan!$A$1:$AZ$300,G1411,4)</f>
        <v>3</v>
      </c>
      <c r="M1411" s="1" t="n">
        <f aca="false">DATE(Pemetaan!$B$1,VALUE(RIGHT(INDEX(Laporan!$A$1:$AZ$300,F1411+1,H1411),2)),VALUE(LEFT(INDEX(Laporan!$A$1:$AZ$300,F1411+1,H1411),2)))</f>
        <v>46094</v>
      </c>
      <c r="N1411" s="0" t="n">
        <f aca="false">INDEX(Laporan!$A$1:$AZ$300,G1411,H1411)</f>
        <v>16</v>
      </c>
      <c r="O1411" s="0" t="n">
        <f aca="false">IF(N1411="","",IFERROR(VALUE(SUBSTITUTE(SUBSTITUTE(N1411," btl",""),".","")),""))</f>
        <v>16</v>
      </c>
      <c r="P1411" s="0" t="str">
        <f aca="false">IF(B1411="PRODUKSI","produced","reject")</f>
        <v>reject</v>
      </c>
    </row>
    <row r="1412" customFormat="false" ht="15" hidden="false" customHeight="false" outlineLevel="0" collapsed="false">
      <c r="A1412" s="0" t="n">
        <v>1411</v>
      </c>
      <c r="B1412" s="0" t="str">
        <f aca="false">IF(A1412&lt;=36*25,"PRODUKSI","REJECT")</f>
        <v>REJECT</v>
      </c>
      <c r="C1412" s="0" t="n">
        <f aca="false">MOD(A1412-1,Pemetaan!$B$3*Pemetaan!$B$4)</f>
        <v>510</v>
      </c>
      <c r="D1412" s="0" t="n">
        <f aca="false">INT(C1412/Pemetaan!$B$4)</f>
        <v>20</v>
      </c>
      <c r="E1412" s="0" t="n">
        <f aca="false">MOD(C1412,Pemetaan!$B$4)</f>
        <v>10</v>
      </c>
      <c r="F1412" s="0" t="n">
        <f aca="false">IF(B1412="PRODUKSI",Pemetaan!$B$5,Pemetaan!$B$6)</f>
        <v>46</v>
      </c>
      <c r="G1412" s="0" t="n">
        <f aca="false">F1412+2+D1412</f>
        <v>68</v>
      </c>
      <c r="H1412" s="0" t="n">
        <f aca="false">Pemetaan!$B$2+E1412</f>
        <v>15</v>
      </c>
      <c r="I1412" s="0" t="str">
        <f aca="false">INDEX(Laporan!$A$1:$AZ$300,G1412,1)</f>
        <v>Mixing</v>
      </c>
      <c r="J1412" s="0" t="str">
        <f aca="false">INDEX(Laporan!$A$1:$AZ$300,G1412,2)</f>
        <v>330 ml</v>
      </c>
      <c r="K1412" s="0" t="str">
        <f aca="false">INDEX(Laporan!$A$1:$AZ$300,G1412,3)</f>
        <v>Shift 1</v>
      </c>
      <c r="L1412" s="0" t="n">
        <f aca="false">INDEX(Laporan!$A$1:$AZ$300,G1412,4)</f>
        <v>3</v>
      </c>
      <c r="M1412" s="1" t="n">
        <f aca="false">DATE(Pemetaan!$B$1,VALUE(RIGHT(INDEX(Laporan!$A$1:$AZ$300,F1412+1,H1412),2)),VALUE(LEFT(INDEX(Laporan!$A$1:$AZ$300,F1412+1,H1412),2)))</f>
        <v>46097</v>
      </c>
      <c r="N1412" s="0" t="n">
        <f aca="false">INDEX(Laporan!$A$1:$AZ$300,G1412,H1412)</f>
        <v>21</v>
      </c>
      <c r="O1412" s="0" t="n">
        <f aca="false">IF(N1412="","",IFERROR(VALUE(SUBSTITUTE(SUBSTITUTE(N1412," btl",""),".","")),""))</f>
        <v>21</v>
      </c>
      <c r="P1412" s="0" t="str">
        <f aca="false">IF(B1412="PRODUKSI","produced","reject")</f>
        <v>reject</v>
      </c>
    </row>
    <row r="1413" customFormat="false" ht="15" hidden="false" customHeight="false" outlineLevel="0" collapsed="false">
      <c r="A1413" s="0" t="n">
        <v>1412</v>
      </c>
      <c r="B1413" s="0" t="str">
        <f aca="false">IF(A1413&lt;=36*25,"PRODUKSI","REJECT")</f>
        <v>REJECT</v>
      </c>
      <c r="C1413" s="0" t="n">
        <f aca="false">MOD(A1413-1,Pemetaan!$B$3*Pemetaan!$B$4)</f>
        <v>511</v>
      </c>
      <c r="D1413" s="0" t="n">
        <f aca="false">INT(C1413/Pemetaan!$B$4)</f>
        <v>20</v>
      </c>
      <c r="E1413" s="0" t="n">
        <f aca="false">MOD(C1413,Pemetaan!$B$4)</f>
        <v>11</v>
      </c>
      <c r="F1413" s="0" t="n">
        <f aca="false">IF(B1413="PRODUKSI",Pemetaan!$B$5,Pemetaan!$B$6)</f>
        <v>46</v>
      </c>
      <c r="G1413" s="0" t="n">
        <f aca="false">F1413+2+D1413</f>
        <v>68</v>
      </c>
      <c r="H1413" s="0" t="n">
        <f aca="false">Pemetaan!$B$2+E1413</f>
        <v>16</v>
      </c>
      <c r="I1413" s="0" t="str">
        <f aca="false">INDEX(Laporan!$A$1:$AZ$300,G1413,1)</f>
        <v>Mixing</v>
      </c>
      <c r="J1413" s="0" t="str">
        <f aca="false">INDEX(Laporan!$A$1:$AZ$300,G1413,2)</f>
        <v>330 ml</v>
      </c>
      <c r="K1413" s="0" t="str">
        <f aca="false">INDEX(Laporan!$A$1:$AZ$300,G1413,3)</f>
        <v>Shift 1</v>
      </c>
      <c r="L1413" s="0" t="n">
        <f aca="false">INDEX(Laporan!$A$1:$AZ$300,G1413,4)</f>
        <v>3</v>
      </c>
      <c r="M1413" s="1" t="n">
        <f aca="false">DATE(Pemetaan!$B$1,VALUE(RIGHT(INDEX(Laporan!$A$1:$AZ$300,F1413+1,H1413),2)),VALUE(LEFT(INDEX(Laporan!$A$1:$AZ$300,F1413+1,H1413),2)))</f>
        <v>46098</v>
      </c>
      <c r="N1413" s="0" t="n">
        <f aca="false">INDEX(Laporan!$A$1:$AZ$300,G1413,H1413)</f>
        <v>12</v>
      </c>
      <c r="O1413" s="0" t="n">
        <f aca="false">IF(N1413="","",IFERROR(VALUE(SUBSTITUTE(SUBSTITUTE(N1413," btl",""),".","")),""))</f>
        <v>12</v>
      </c>
      <c r="P1413" s="0" t="str">
        <f aca="false">IF(B1413="PRODUKSI","produced","reject")</f>
        <v>reject</v>
      </c>
    </row>
    <row r="1414" customFormat="false" ht="15" hidden="false" customHeight="false" outlineLevel="0" collapsed="false">
      <c r="A1414" s="0" t="n">
        <v>1413</v>
      </c>
      <c r="B1414" s="0" t="str">
        <f aca="false">IF(A1414&lt;=36*25,"PRODUKSI","REJECT")</f>
        <v>REJECT</v>
      </c>
      <c r="C1414" s="0" t="n">
        <f aca="false">MOD(A1414-1,Pemetaan!$B$3*Pemetaan!$B$4)</f>
        <v>512</v>
      </c>
      <c r="D1414" s="0" t="n">
        <f aca="false">INT(C1414/Pemetaan!$B$4)</f>
        <v>20</v>
      </c>
      <c r="E1414" s="0" t="n">
        <f aca="false">MOD(C1414,Pemetaan!$B$4)</f>
        <v>12</v>
      </c>
      <c r="F1414" s="0" t="n">
        <f aca="false">IF(B1414="PRODUKSI",Pemetaan!$B$5,Pemetaan!$B$6)</f>
        <v>46</v>
      </c>
      <c r="G1414" s="0" t="n">
        <f aca="false">F1414+2+D1414</f>
        <v>68</v>
      </c>
      <c r="H1414" s="0" t="n">
        <f aca="false">Pemetaan!$B$2+E1414</f>
        <v>17</v>
      </c>
      <c r="I1414" s="0" t="str">
        <f aca="false">INDEX(Laporan!$A$1:$AZ$300,G1414,1)</f>
        <v>Mixing</v>
      </c>
      <c r="J1414" s="0" t="str">
        <f aca="false">INDEX(Laporan!$A$1:$AZ$300,G1414,2)</f>
        <v>330 ml</v>
      </c>
      <c r="K1414" s="0" t="str">
        <f aca="false">INDEX(Laporan!$A$1:$AZ$300,G1414,3)</f>
        <v>Shift 1</v>
      </c>
      <c r="L1414" s="0" t="n">
        <f aca="false">INDEX(Laporan!$A$1:$AZ$300,G1414,4)</f>
        <v>3</v>
      </c>
      <c r="M1414" s="1" t="n">
        <f aca="false">DATE(Pemetaan!$B$1,VALUE(RIGHT(INDEX(Laporan!$A$1:$AZ$300,F1414+1,H1414),2)),VALUE(LEFT(INDEX(Laporan!$A$1:$AZ$300,F1414+1,H1414),2)))</f>
        <v>46099</v>
      </c>
      <c r="N1414" s="0" t="n">
        <f aca="false">INDEX(Laporan!$A$1:$AZ$300,G1414,H1414)</f>
        <v>21</v>
      </c>
      <c r="O1414" s="0" t="n">
        <f aca="false">IF(N1414="","",IFERROR(VALUE(SUBSTITUTE(SUBSTITUTE(N1414," btl",""),".","")),""))</f>
        <v>21</v>
      </c>
      <c r="P1414" s="0" t="str">
        <f aca="false">IF(B1414="PRODUKSI","produced","reject")</f>
        <v>reject</v>
      </c>
    </row>
    <row r="1415" customFormat="false" ht="15" hidden="false" customHeight="false" outlineLevel="0" collapsed="false">
      <c r="A1415" s="0" t="n">
        <v>1414</v>
      </c>
      <c r="B1415" s="0" t="str">
        <f aca="false">IF(A1415&lt;=36*25,"PRODUKSI","REJECT")</f>
        <v>REJECT</v>
      </c>
      <c r="C1415" s="0" t="n">
        <f aca="false">MOD(A1415-1,Pemetaan!$B$3*Pemetaan!$B$4)</f>
        <v>513</v>
      </c>
      <c r="D1415" s="0" t="n">
        <f aca="false">INT(C1415/Pemetaan!$B$4)</f>
        <v>20</v>
      </c>
      <c r="E1415" s="0" t="n">
        <f aca="false">MOD(C1415,Pemetaan!$B$4)</f>
        <v>13</v>
      </c>
      <c r="F1415" s="0" t="n">
        <f aca="false">IF(B1415="PRODUKSI",Pemetaan!$B$5,Pemetaan!$B$6)</f>
        <v>46</v>
      </c>
      <c r="G1415" s="0" t="n">
        <f aca="false">F1415+2+D1415</f>
        <v>68</v>
      </c>
      <c r="H1415" s="0" t="n">
        <f aca="false">Pemetaan!$B$2+E1415</f>
        <v>18</v>
      </c>
      <c r="I1415" s="0" t="str">
        <f aca="false">INDEX(Laporan!$A$1:$AZ$300,G1415,1)</f>
        <v>Mixing</v>
      </c>
      <c r="J1415" s="0" t="str">
        <f aca="false">INDEX(Laporan!$A$1:$AZ$300,G1415,2)</f>
        <v>330 ml</v>
      </c>
      <c r="K1415" s="0" t="str">
        <f aca="false">INDEX(Laporan!$A$1:$AZ$300,G1415,3)</f>
        <v>Shift 1</v>
      </c>
      <c r="L1415" s="0" t="n">
        <f aca="false">INDEX(Laporan!$A$1:$AZ$300,G1415,4)</f>
        <v>3</v>
      </c>
      <c r="M1415" s="1" t="n">
        <f aca="false">DATE(Pemetaan!$B$1,VALUE(RIGHT(INDEX(Laporan!$A$1:$AZ$300,F1415+1,H1415),2)),VALUE(LEFT(INDEX(Laporan!$A$1:$AZ$300,F1415+1,H1415),2)))</f>
        <v>46100</v>
      </c>
      <c r="N1415" s="0" t="n">
        <f aca="false">INDEX(Laporan!$A$1:$AZ$300,G1415,H1415)</f>
        <v>21</v>
      </c>
      <c r="O1415" s="0" t="n">
        <f aca="false">IF(N1415="","",IFERROR(VALUE(SUBSTITUTE(SUBSTITUTE(N1415," btl",""),".","")),""))</f>
        <v>21</v>
      </c>
      <c r="P1415" s="0" t="str">
        <f aca="false">IF(B1415="PRODUKSI","produced","reject")</f>
        <v>reject</v>
      </c>
    </row>
    <row r="1416" customFormat="false" ht="15" hidden="false" customHeight="false" outlineLevel="0" collapsed="false">
      <c r="A1416" s="0" t="n">
        <v>1415</v>
      </c>
      <c r="B1416" s="0" t="str">
        <f aca="false">IF(A1416&lt;=36*25,"PRODUKSI","REJECT")</f>
        <v>REJECT</v>
      </c>
      <c r="C1416" s="0" t="n">
        <f aca="false">MOD(A1416-1,Pemetaan!$B$3*Pemetaan!$B$4)</f>
        <v>514</v>
      </c>
      <c r="D1416" s="0" t="n">
        <f aca="false">INT(C1416/Pemetaan!$B$4)</f>
        <v>20</v>
      </c>
      <c r="E1416" s="0" t="n">
        <f aca="false">MOD(C1416,Pemetaan!$B$4)</f>
        <v>14</v>
      </c>
      <c r="F1416" s="0" t="n">
        <f aca="false">IF(B1416="PRODUKSI",Pemetaan!$B$5,Pemetaan!$B$6)</f>
        <v>46</v>
      </c>
      <c r="G1416" s="0" t="n">
        <f aca="false">F1416+2+D1416</f>
        <v>68</v>
      </c>
      <c r="H1416" s="0" t="n">
        <f aca="false">Pemetaan!$B$2+E1416</f>
        <v>19</v>
      </c>
      <c r="I1416" s="0" t="str">
        <f aca="false">INDEX(Laporan!$A$1:$AZ$300,G1416,1)</f>
        <v>Mixing</v>
      </c>
      <c r="J1416" s="0" t="str">
        <f aca="false">INDEX(Laporan!$A$1:$AZ$300,G1416,2)</f>
        <v>330 ml</v>
      </c>
      <c r="K1416" s="0" t="str">
        <f aca="false">INDEX(Laporan!$A$1:$AZ$300,G1416,3)</f>
        <v>Shift 1</v>
      </c>
      <c r="L1416" s="0" t="n">
        <f aca="false">INDEX(Laporan!$A$1:$AZ$300,G1416,4)</f>
        <v>3</v>
      </c>
      <c r="M1416" s="1" t="n">
        <f aca="false">DATE(Pemetaan!$B$1,VALUE(RIGHT(INDEX(Laporan!$A$1:$AZ$300,F1416+1,H1416),2)),VALUE(LEFT(INDEX(Laporan!$A$1:$AZ$300,F1416+1,H1416),2)))</f>
        <v>46101</v>
      </c>
      <c r="N1416" s="0" t="n">
        <f aca="false">INDEX(Laporan!$A$1:$AZ$300,G1416,H1416)</f>
        <v>24</v>
      </c>
      <c r="O1416" s="0" t="n">
        <f aca="false">IF(N1416="","",IFERROR(VALUE(SUBSTITUTE(SUBSTITUTE(N1416," btl",""),".","")),""))</f>
        <v>24</v>
      </c>
      <c r="P1416" s="0" t="str">
        <f aca="false">IF(B1416="PRODUKSI","produced","reject")</f>
        <v>reject</v>
      </c>
    </row>
    <row r="1417" customFormat="false" ht="15" hidden="false" customHeight="false" outlineLevel="0" collapsed="false">
      <c r="A1417" s="0" t="n">
        <v>1416</v>
      </c>
      <c r="B1417" s="0" t="str">
        <f aca="false">IF(A1417&lt;=36*25,"PRODUKSI","REJECT")</f>
        <v>REJECT</v>
      </c>
      <c r="C1417" s="0" t="n">
        <f aca="false">MOD(A1417-1,Pemetaan!$B$3*Pemetaan!$B$4)</f>
        <v>515</v>
      </c>
      <c r="D1417" s="0" t="n">
        <f aca="false">INT(C1417/Pemetaan!$B$4)</f>
        <v>20</v>
      </c>
      <c r="E1417" s="0" t="n">
        <f aca="false">MOD(C1417,Pemetaan!$B$4)</f>
        <v>15</v>
      </c>
      <c r="F1417" s="0" t="n">
        <f aca="false">IF(B1417="PRODUKSI",Pemetaan!$B$5,Pemetaan!$B$6)</f>
        <v>46</v>
      </c>
      <c r="G1417" s="0" t="n">
        <f aca="false">F1417+2+D1417</f>
        <v>68</v>
      </c>
      <c r="H1417" s="0" t="n">
        <f aca="false">Pemetaan!$B$2+E1417</f>
        <v>20</v>
      </c>
      <c r="I1417" s="0" t="str">
        <f aca="false">INDEX(Laporan!$A$1:$AZ$300,G1417,1)</f>
        <v>Mixing</v>
      </c>
      <c r="J1417" s="0" t="str">
        <f aca="false">INDEX(Laporan!$A$1:$AZ$300,G1417,2)</f>
        <v>330 ml</v>
      </c>
      <c r="K1417" s="0" t="str">
        <f aca="false">INDEX(Laporan!$A$1:$AZ$300,G1417,3)</f>
        <v>Shift 1</v>
      </c>
      <c r="L1417" s="0" t="n">
        <f aca="false">INDEX(Laporan!$A$1:$AZ$300,G1417,4)</f>
        <v>3</v>
      </c>
      <c r="M1417" s="1" t="n">
        <f aca="false">DATE(Pemetaan!$B$1,VALUE(RIGHT(INDEX(Laporan!$A$1:$AZ$300,F1417+1,H1417),2)),VALUE(LEFT(INDEX(Laporan!$A$1:$AZ$300,F1417+1,H1417),2)))</f>
        <v>46104</v>
      </c>
      <c r="N1417" s="0" t="n">
        <f aca="false">INDEX(Laporan!$A$1:$AZ$300,G1417,H1417)</f>
        <v>23</v>
      </c>
      <c r="O1417" s="0" t="n">
        <f aca="false">IF(N1417="","",IFERROR(VALUE(SUBSTITUTE(SUBSTITUTE(N1417," btl",""),".","")),""))</f>
        <v>23</v>
      </c>
      <c r="P1417" s="0" t="str">
        <f aca="false">IF(B1417="PRODUKSI","produced","reject")</f>
        <v>reject</v>
      </c>
    </row>
    <row r="1418" customFormat="false" ht="15" hidden="false" customHeight="false" outlineLevel="0" collapsed="false">
      <c r="A1418" s="0" t="n">
        <v>1417</v>
      </c>
      <c r="B1418" s="0" t="str">
        <f aca="false">IF(A1418&lt;=36*25,"PRODUKSI","REJECT")</f>
        <v>REJECT</v>
      </c>
      <c r="C1418" s="0" t="n">
        <f aca="false">MOD(A1418-1,Pemetaan!$B$3*Pemetaan!$B$4)</f>
        <v>516</v>
      </c>
      <c r="D1418" s="0" t="n">
        <f aca="false">INT(C1418/Pemetaan!$B$4)</f>
        <v>20</v>
      </c>
      <c r="E1418" s="0" t="n">
        <f aca="false">MOD(C1418,Pemetaan!$B$4)</f>
        <v>16</v>
      </c>
      <c r="F1418" s="0" t="n">
        <f aca="false">IF(B1418="PRODUKSI",Pemetaan!$B$5,Pemetaan!$B$6)</f>
        <v>46</v>
      </c>
      <c r="G1418" s="0" t="n">
        <f aca="false">F1418+2+D1418</f>
        <v>68</v>
      </c>
      <c r="H1418" s="0" t="n">
        <f aca="false">Pemetaan!$B$2+E1418</f>
        <v>21</v>
      </c>
      <c r="I1418" s="0" t="str">
        <f aca="false">INDEX(Laporan!$A$1:$AZ$300,G1418,1)</f>
        <v>Mixing</v>
      </c>
      <c r="J1418" s="0" t="str">
        <f aca="false">INDEX(Laporan!$A$1:$AZ$300,G1418,2)</f>
        <v>330 ml</v>
      </c>
      <c r="K1418" s="0" t="str">
        <f aca="false">INDEX(Laporan!$A$1:$AZ$300,G1418,3)</f>
        <v>Shift 1</v>
      </c>
      <c r="L1418" s="0" t="n">
        <f aca="false">INDEX(Laporan!$A$1:$AZ$300,G1418,4)</f>
        <v>3</v>
      </c>
      <c r="M1418" s="1" t="n">
        <f aca="false">DATE(Pemetaan!$B$1,VALUE(RIGHT(INDEX(Laporan!$A$1:$AZ$300,F1418+1,H1418),2)),VALUE(LEFT(INDEX(Laporan!$A$1:$AZ$300,F1418+1,H1418),2)))</f>
        <v>46105</v>
      </c>
      <c r="N1418" s="0" t="n">
        <f aca="false">INDEX(Laporan!$A$1:$AZ$300,G1418,H1418)</f>
        <v>19</v>
      </c>
      <c r="O1418" s="0" t="n">
        <f aca="false">IF(N1418="","",IFERROR(VALUE(SUBSTITUTE(SUBSTITUTE(N1418," btl",""),".","")),""))</f>
        <v>19</v>
      </c>
      <c r="P1418" s="0" t="str">
        <f aca="false">IF(B1418="PRODUKSI","produced","reject")</f>
        <v>reject</v>
      </c>
    </row>
    <row r="1419" customFormat="false" ht="15" hidden="false" customHeight="false" outlineLevel="0" collapsed="false">
      <c r="A1419" s="0" t="n">
        <v>1418</v>
      </c>
      <c r="B1419" s="0" t="str">
        <f aca="false">IF(A1419&lt;=36*25,"PRODUKSI","REJECT")</f>
        <v>REJECT</v>
      </c>
      <c r="C1419" s="0" t="n">
        <f aca="false">MOD(A1419-1,Pemetaan!$B$3*Pemetaan!$B$4)</f>
        <v>517</v>
      </c>
      <c r="D1419" s="0" t="n">
        <f aca="false">INT(C1419/Pemetaan!$B$4)</f>
        <v>20</v>
      </c>
      <c r="E1419" s="0" t="n">
        <f aca="false">MOD(C1419,Pemetaan!$B$4)</f>
        <v>17</v>
      </c>
      <c r="F1419" s="0" t="n">
        <f aca="false">IF(B1419="PRODUKSI",Pemetaan!$B$5,Pemetaan!$B$6)</f>
        <v>46</v>
      </c>
      <c r="G1419" s="0" t="n">
        <f aca="false">F1419+2+D1419</f>
        <v>68</v>
      </c>
      <c r="H1419" s="0" t="n">
        <f aca="false">Pemetaan!$B$2+E1419</f>
        <v>22</v>
      </c>
      <c r="I1419" s="0" t="str">
        <f aca="false">INDEX(Laporan!$A$1:$AZ$300,G1419,1)</f>
        <v>Mixing</v>
      </c>
      <c r="J1419" s="0" t="str">
        <f aca="false">INDEX(Laporan!$A$1:$AZ$300,G1419,2)</f>
        <v>330 ml</v>
      </c>
      <c r="K1419" s="0" t="str">
        <f aca="false">INDEX(Laporan!$A$1:$AZ$300,G1419,3)</f>
        <v>Shift 1</v>
      </c>
      <c r="L1419" s="0" t="n">
        <f aca="false">INDEX(Laporan!$A$1:$AZ$300,G1419,4)</f>
        <v>3</v>
      </c>
      <c r="M1419" s="1" t="n">
        <f aca="false">DATE(Pemetaan!$B$1,VALUE(RIGHT(INDEX(Laporan!$A$1:$AZ$300,F1419+1,H1419),2)),VALUE(LEFT(INDEX(Laporan!$A$1:$AZ$300,F1419+1,H1419),2)))</f>
        <v>46106</v>
      </c>
      <c r="N1419" s="0" t="n">
        <f aca="false">INDEX(Laporan!$A$1:$AZ$300,G1419,H1419)</f>
        <v>8</v>
      </c>
      <c r="O1419" s="0" t="n">
        <f aca="false">IF(N1419="","",IFERROR(VALUE(SUBSTITUTE(SUBSTITUTE(N1419," btl",""),".","")),""))</f>
        <v>8</v>
      </c>
      <c r="P1419" s="0" t="str">
        <f aca="false">IF(B1419="PRODUKSI","produced","reject")</f>
        <v>reject</v>
      </c>
    </row>
    <row r="1420" customFormat="false" ht="15" hidden="false" customHeight="false" outlineLevel="0" collapsed="false">
      <c r="A1420" s="0" t="n">
        <v>1419</v>
      </c>
      <c r="B1420" s="0" t="str">
        <f aca="false">IF(A1420&lt;=36*25,"PRODUKSI","REJECT")</f>
        <v>REJECT</v>
      </c>
      <c r="C1420" s="0" t="n">
        <f aca="false">MOD(A1420-1,Pemetaan!$B$3*Pemetaan!$B$4)</f>
        <v>518</v>
      </c>
      <c r="D1420" s="0" t="n">
        <f aca="false">INT(C1420/Pemetaan!$B$4)</f>
        <v>20</v>
      </c>
      <c r="E1420" s="0" t="n">
        <f aca="false">MOD(C1420,Pemetaan!$B$4)</f>
        <v>18</v>
      </c>
      <c r="F1420" s="0" t="n">
        <f aca="false">IF(B1420="PRODUKSI",Pemetaan!$B$5,Pemetaan!$B$6)</f>
        <v>46</v>
      </c>
      <c r="G1420" s="0" t="n">
        <f aca="false">F1420+2+D1420</f>
        <v>68</v>
      </c>
      <c r="H1420" s="0" t="n">
        <f aca="false">Pemetaan!$B$2+E1420</f>
        <v>23</v>
      </c>
      <c r="I1420" s="0" t="str">
        <f aca="false">INDEX(Laporan!$A$1:$AZ$300,G1420,1)</f>
        <v>Mixing</v>
      </c>
      <c r="J1420" s="0" t="str">
        <f aca="false">INDEX(Laporan!$A$1:$AZ$300,G1420,2)</f>
        <v>330 ml</v>
      </c>
      <c r="K1420" s="0" t="str">
        <f aca="false">INDEX(Laporan!$A$1:$AZ$300,G1420,3)</f>
        <v>Shift 1</v>
      </c>
      <c r="L1420" s="0" t="n">
        <f aca="false">INDEX(Laporan!$A$1:$AZ$300,G1420,4)</f>
        <v>3</v>
      </c>
      <c r="M1420" s="1" t="n">
        <f aca="false">DATE(Pemetaan!$B$1,VALUE(RIGHT(INDEX(Laporan!$A$1:$AZ$300,F1420+1,H1420),2)),VALUE(LEFT(INDEX(Laporan!$A$1:$AZ$300,F1420+1,H1420),2)))</f>
        <v>46107</v>
      </c>
      <c r="N1420" s="0" t="n">
        <f aca="false">INDEX(Laporan!$A$1:$AZ$300,G1420,H1420)</f>
        <v>24</v>
      </c>
      <c r="O1420" s="0" t="n">
        <f aca="false">IF(N1420="","",IFERROR(VALUE(SUBSTITUTE(SUBSTITUTE(N1420," btl",""),".","")),""))</f>
        <v>24</v>
      </c>
      <c r="P1420" s="0" t="str">
        <f aca="false">IF(B1420="PRODUKSI","produced","reject")</f>
        <v>reject</v>
      </c>
    </row>
    <row r="1421" customFormat="false" ht="15" hidden="false" customHeight="false" outlineLevel="0" collapsed="false">
      <c r="A1421" s="0" t="n">
        <v>1420</v>
      </c>
      <c r="B1421" s="0" t="str">
        <f aca="false">IF(A1421&lt;=36*25,"PRODUKSI","REJECT")</f>
        <v>REJECT</v>
      </c>
      <c r="C1421" s="0" t="n">
        <f aca="false">MOD(A1421-1,Pemetaan!$B$3*Pemetaan!$B$4)</f>
        <v>519</v>
      </c>
      <c r="D1421" s="0" t="n">
        <f aca="false">INT(C1421/Pemetaan!$B$4)</f>
        <v>20</v>
      </c>
      <c r="E1421" s="0" t="n">
        <f aca="false">MOD(C1421,Pemetaan!$B$4)</f>
        <v>19</v>
      </c>
      <c r="F1421" s="0" t="n">
        <f aca="false">IF(B1421="PRODUKSI",Pemetaan!$B$5,Pemetaan!$B$6)</f>
        <v>46</v>
      </c>
      <c r="G1421" s="0" t="n">
        <f aca="false">F1421+2+D1421</f>
        <v>68</v>
      </c>
      <c r="H1421" s="0" t="n">
        <f aca="false">Pemetaan!$B$2+E1421</f>
        <v>24</v>
      </c>
      <c r="I1421" s="0" t="str">
        <f aca="false">INDEX(Laporan!$A$1:$AZ$300,G1421,1)</f>
        <v>Mixing</v>
      </c>
      <c r="J1421" s="0" t="str">
        <f aca="false">INDEX(Laporan!$A$1:$AZ$300,G1421,2)</f>
        <v>330 ml</v>
      </c>
      <c r="K1421" s="0" t="str">
        <f aca="false">INDEX(Laporan!$A$1:$AZ$300,G1421,3)</f>
        <v>Shift 1</v>
      </c>
      <c r="L1421" s="0" t="n">
        <f aca="false">INDEX(Laporan!$A$1:$AZ$300,G1421,4)</f>
        <v>3</v>
      </c>
      <c r="M1421" s="1" t="n">
        <f aca="false">DATE(Pemetaan!$B$1,VALUE(RIGHT(INDEX(Laporan!$A$1:$AZ$300,F1421+1,H1421),2)),VALUE(LEFT(INDEX(Laporan!$A$1:$AZ$300,F1421+1,H1421),2)))</f>
        <v>46108</v>
      </c>
      <c r="N1421" s="0" t="n">
        <f aca="false">INDEX(Laporan!$A$1:$AZ$300,G1421,H1421)</f>
        <v>15</v>
      </c>
      <c r="O1421" s="0" t="n">
        <f aca="false">IF(N1421="","",IFERROR(VALUE(SUBSTITUTE(SUBSTITUTE(N1421," btl",""),".","")),""))</f>
        <v>15</v>
      </c>
      <c r="P1421" s="0" t="str">
        <f aca="false">IF(B1421="PRODUKSI","produced","reject")</f>
        <v>reject</v>
      </c>
    </row>
    <row r="1422" customFormat="false" ht="15" hidden="false" customHeight="false" outlineLevel="0" collapsed="false">
      <c r="A1422" s="0" t="n">
        <v>1421</v>
      </c>
      <c r="B1422" s="0" t="str">
        <f aca="false">IF(A1422&lt;=36*25,"PRODUKSI","REJECT")</f>
        <v>REJECT</v>
      </c>
      <c r="C1422" s="0" t="n">
        <f aca="false">MOD(A1422-1,Pemetaan!$B$3*Pemetaan!$B$4)</f>
        <v>520</v>
      </c>
      <c r="D1422" s="0" t="n">
        <f aca="false">INT(C1422/Pemetaan!$B$4)</f>
        <v>20</v>
      </c>
      <c r="E1422" s="0" t="n">
        <f aca="false">MOD(C1422,Pemetaan!$B$4)</f>
        <v>20</v>
      </c>
      <c r="F1422" s="0" t="n">
        <f aca="false">IF(B1422="PRODUKSI",Pemetaan!$B$5,Pemetaan!$B$6)</f>
        <v>46</v>
      </c>
      <c r="G1422" s="0" t="n">
        <f aca="false">F1422+2+D1422</f>
        <v>68</v>
      </c>
      <c r="H1422" s="0" t="n">
        <f aca="false">Pemetaan!$B$2+E1422</f>
        <v>25</v>
      </c>
      <c r="I1422" s="0" t="str">
        <f aca="false">INDEX(Laporan!$A$1:$AZ$300,G1422,1)</f>
        <v>Mixing</v>
      </c>
      <c r="J1422" s="0" t="str">
        <f aca="false">INDEX(Laporan!$A$1:$AZ$300,G1422,2)</f>
        <v>330 ml</v>
      </c>
      <c r="K1422" s="0" t="str">
        <f aca="false">INDEX(Laporan!$A$1:$AZ$300,G1422,3)</f>
        <v>Shift 1</v>
      </c>
      <c r="L1422" s="0" t="n">
        <f aca="false">INDEX(Laporan!$A$1:$AZ$300,G1422,4)</f>
        <v>3</v>
      </c>
      <c r="M1422" s="1" t="n">
        <f aca="false">DATE(Pemetaan!$B$1,VALUE(RIGHT(INDEX(Laporan!$A$1:$AZ$300,F1422+1,H1422),2)),VALUE(LEFT(INDEX(Laporan!$A$1:$AZ$300,F1422+1,H1422),2)))</f>
        <v>46111</v>
      </c>
      <c r="N1422" s="0" t="n">
        <f aca="false">INDEX(Laporan!$A$1:$AZ$300,G1422,H1422)</f>
        <v>21</v>
      </c>
      <c r="O1422" s="0" t="n">
        <f aca="false">IF(N1422="","",IFERROR(VALUE(SUBSTITUTE(SUBSTITUTE(N1422," btl",""),".","")),""))</f>
        <v>21</v>
      </c>
      <c r="P1422" s="0" t="str">
        <f aca="false">IF(B1422="PRODUKSI","produced","reject")</f>
        <v>reject</v>
      </c>
    </row>
    <row r="1423" customFormat="false" ht="15" hidden="false" customHeight="false" outlineLevel="0" collapsed="false">
      <c r="A1423" s="0" t="n">
        <v>1422</v>
      </c>
      <c r="B1423" s="0" t="str">
        <f aca="false">IF(A1423&lt;=36*25,"PRODUKSI","REJECT")</f>
        <v>REJECT</v>
      </c>
      <c r="C1423" s="0" t="n">
        <f aca="false">MOD(A1423-1,Pemetaan!$B$3*Pemetaan!$B$4)</f>
        <v>521</v>
      </c>
      <c r="D1423" s="0" t="n">
        <f aca="false">INT(C1423/Pemetaan!$B$4)</f>
        <v>20</v>
      </c>
      <c r="E1423" s="0" t="n">
        <f aca="false">MOD(C1423,Pemetaan!$B$4)</f>
        <v>21</v>
      </c>
      <c r="F1423" s="0" t="n">
        <f aca="false">IF(B1423="PRODUKSI",Pemetaan!$B$5,Pemetaan!$B$6)</f>
        <v>46</v>
      </c>
      <c r="G1423" s="0" t="n">
        <f aca="false">F1423+2+D1423</f>
        <v>68</v>
      </c>
      <c r="H1423" s="0" t="n">
        <f aca="false">Pemetaan!$B$2+E1423</f>
        <v>26</v>
      </c>
      <c r="I1423" s="0" t="str">
        <f aca="false">INDEX(Laporan!$A$1:$AZ$300,G1423,1)</f>
        <v>Mixing</v>
      </c>
      <c r="J1423" s="0" t="str">
        <f aca="false">INDEX(Laporan!$A$1:$AZ$300,G1423,2)</f>
        <v>330 ml</v>
      </c>
      <c r="K1423" s="0" t="str">
        <f aca="false">INDEX(Laporan!$A$1:$AZ$300,G1423,3)</f>
        <v>Shift 1</v>
      </c>
      <c r="L1423" s="0" t="n">
        <f aca="false">INDEX(Laporan!$A$1:$AZ$300,G1423,4)</f>
        <v>3</v>
      </c>
      <c r="M1423" s="1" t="n">
        <f aca="false">DATE(Pemetaan!$B$1,VALUE(RIGHT(INDEX(Laporan!$A$1:$AZ$300,F1423+1,H1423),2)),VALUE(LEFT(INDEX(Laporan!$A$1:$AZ$300,F1423+1,H1423),2)))</f>
        <v>46112</v>
      </c>
      <c r="N1423" s="0" t="n">
        <f aca="false">INDEX(Laporan!$A$1:$AZ$300,G1423,H1423)</f>
        <v>19</v>
      </c>
      <c r="O1423" s="0" t="n">
        <f aca="false">IF(N1423="","",IFERROR(VALUE(SUBSTITUTE(SUBSTITUTE(N1423," btl",""),".","")),""))</f>
        <v>19</v>
      </c>
      <c r="P1423" s="0" t="str">
        <f aca="false">IF(B1423="PRODUKSI","produced","reject")</f>
        <v>reject</v>
      </c>
    </row>
    <row r="1424" customFormat="false" ht="15" hidden="false" customHeight="false" outlineLevel="0" collapsed="false">
      <c r="A1424" s="0" t="n">
        <v>1423</v>
      </c>
      <c r="B1424" s="0" t="str">
        <f aca="false">IF(A1424&lt;=36*25,"PRODUKSI","REJECT")</f>
        <v>REJECT</v>
      </c>
      <c r="C1424" s="0" t="n">
        <f aca="false">MOD(A1424-1,Pemetaan!$B$3*Pemetaan!$B$4)</f>
        <v>522</v>
      </c>
      <c r="D1424" s="0" t="n">
        <f aca="false">INT(C1424/Pemetaan!$B$4)</f>
        <v>20</v>
      </c>
      <c r="E1424" s="0" t="n">
        <f aca="false">MOD(C1424,Pemetaan!$B$4)</f>
        <v>22</v>
      </c>
      <c r="F1424" s="0" t="n">
        <f aca="false">IF(B1424="PRODUKSI",Pemetaan!$B$5,Pemetaan!$B$6)</f>
        <v>46</v>
      </c>
      <c r="G1424" s="0" t="n">
        <f aca="false">F1424+2+D1424</f>
        <v>68</v>
      </c>
      <c r="H1424" s="0" t="n">
        <f aca="false">Pemetaan!$B$2+E1424</f>
        <v>27</v>
      </c>
      <c r="I1424" s="0" t="str">
        <f aca="false">INDEX(Laporan!$A$1:$AZ$300,G1424,1)</f>
        <v>Mixing</v>
      </c>
      <c r="J1424" s="0" t="str">
        <f aca="false">INDEX(Laporan!$A$1:$AZ$300,G1424,2)</f>
        <v>330 ml</v>
      </c>
      <c r="K1424" s="0" t="str">
        <f aca="false">INDEX(Laporan!$A$1:$AZ$300,G1424,3)</f>
        <v>Shift 1</v>
      </c>
      <c r="L1424" s="0" t="n">
        <f aca="false">INDEX(Laporan!$A$1:$AZ$300,G1424,4)</f>
        <v>3</v>
      </c>
      <c r="M1424" s="1" t="n">
        <f aca="false">DATE(Pemetaan!$B$1,VALUE(RIGHT(INDEX(Laporan!$A$1:$AZ$300,F1424+1,H1424),2)),VALUE(LEFT(INDEX(Laporan!$A$1:$AZ$300,F1424+1,H1424),2)))</f>
        <v>46113</v>
      </c>
      <c r="N1424" s="0" t="n">
        <f aca="false">INDEX(Laporan!$A$1:$AZ$300,G1424,H1424)</f>
        <v>24</v>
      </c>
      <c r="O1424" s="0" t="n">
        <f aca="false">IF(N1424="","",IFERROR(VALUE(SUBSTITUTE(SUBSTITUTE(N1424," btl",""),".","")),""))</f>
        <v>24</v>
      </c>
      <c r="P1424" s="0" t="str">
        <f aca="false">IF(B1424="PRODUKSI","produced","reject")</f>
        <v>reject</v>
      </c>
    </row>
    <row r="1425" customFormat="false" ht="15" hidden="false" customHeight="false" outlineLevel="0" collapsed="false">
      <c r="A1425" s="0" t="n">
        <v>1424</v>
      </c>
      <c r="B1425" s="0" t="str">
        <f aca="false">IF(A1425&lt;=36*25,"PRODUKSI","REJECT")</f>
        <v>REJECT</v>
      </c>
      <c r="C1425" s="0" t="n">
        <f aca="false">MOD(A1425-1,Pemetaan!$B$3*Pemetaan!$B$4)</f>
        <v>523</v>
      </c>
      <c r="D1425" s="0" t="n">
        <f aca="false">INT(C1425/Pemetaan!$B$4)</f>
        <v>20</v>
      </c>
      <c r="E1425" s="0" t="n">
        <f aca="false">MOD(C1425,Pemetaan!$B$4)</f>
        <v>23</v>
      </c>
      <c r="F1425" s="0" t="n">
        <f aca="false">IF(B1425="PRODUKSI",Pemetaan!$B$5,Pemetaan!$B$6)</f>
        <v>46</v>
      </c>
      <c r="G1425" s="0" t="n">
        <f aca="false">F1425+2+D1425</f>
        <v>68</v>
      </c>
      <c r="H1425" s="0" t="n">
        <f aca="false">Pemetaan!$B$2+E1425</f>
        <v>28</v>
      </c>
      <c r="I1425" s="0" t="str">
        <f aca="false">INDEX(Laporan!$A$1:$AZ$300,G1425,1)</f>
        <v>Mixing</v>
      </c>
      <c r="J1425" s="0" t="str">
        <f aca="false">INDEX(Laporan!$A$1:$AZ$300,G1425,2)</f>
        <v>330 ml</v>
      </c>
      <c r="K1425" s="0" t="str">
        <f aca="false">INDEX(Laporan!$A$1:$AZ$300,G1425,3)</f>
        <v>Shift 1</v>
      </c>
      <c r="L1425" s="0" t="n">
        <f aca="false">INDEX(Laporan!$A$1:$AZ$300,G1425,4)</f>
        <v>3</v>
      </c>
      <c r="M1425" s="1" t="n">
        <f aca="false">DATE(Pemetaan!$B$1,VALUE(RIGHT(INDEX(Laporan!$A$1:$AZ$300,F1425+1,H1425),2)),VALUE(LEFT(INDEX(Laporan!$A$1:$AZ$300,F1425+1,H1425),2)))</f>
        <v>46114</v>
      </c>
      <c r="N1425" s="0" t="n">
        <f aca="false">INDEX(Laporan!$A$1:$AZ$300,G1425,H1425)</f>
        <v>19</v>
      </c>
      <c r="O1425" s="0" t="n">
        <f aca="false">IF(N1425="","",IFERROR(VALUE(SUBSTITUTE(SUBSTITUTE(N1425," btl",""),".","")),""))</f>
        <v>19</v>
      </c>
      <c r="P1425" s="0" t="str">
        <f aca="false">IF(B1425="PRODUKSI","produced","reject")</f>
        <v>reject</v>
      </c>
    </row>
    <row r="1426" customFormat="false" ht="15" hidden="false" customHeight="false" outlineLevel="0" collapsed="false">
      <c r="A1426" s="0" t="n">
        <v>1425</v>
      </c>
      <c r="B1426" s="0" t="str">
        <f aca="false">IF(A1426&lt;=36*25,"PRODUKSI","REJECT")</f>
        <v>REJECT</v>
      </c>
      <c r="C1426" s="0" t="n">
        <f aca="false">MOD(A1426-1,Pemetaan!$B$3*Pemetaan!$B$4)</f>
        <v>524</v>
      </c>
      <c r="D1426" s="0" t="n">
        <f aca="false">INT(C1426/Pemetaan!$B$4)</f>
        <v>20</v>
      </c>
      <c r="E1426" s="0" t="n">
        <f aca="false">MOD(C1426,Pemetaan!$B$4)</f>
        <v>24</v>
      </c>
      <c r="F1426" s="0" t="n">
        <f aca="false">IF(B1426="PRODUKSI",Pemetaan!$B$5,Pemetaan!$B$6)</f>
        <v>46</v>
      </c>
      <c r="G1426" s="0" t="n">
        <f aca="false">F1426+2+D1426</f>
        <v>68</v>
      </c>
      <c r="H1426" s="0" t="n">
        <f aca="false">Pemetaan!$B$2+E1426</f>
        <v>29</v>
      </c>
      <c r="I1426" s="0" t="str">
        <f aca="false">INDEX(Laporan!$A$1:$AZ$300,G1426,1)</f>
        <v>Mixing</v>
      </c>
      <c r="J1426" s="0" t="str">
        <f aca="false">INDEX(Laporan!$A$1:$AZ$300,G1426,2)</f>
        <v>330 ml</v>
      </c>
      <c r="K1426" s="0" t="str">
        <f aca="false">INDEX(Laporan!$A$1:$AZ$300,G1426,3)</f>
        <v>Shift 1</v>
      </c>
      <c r="L1426" s="0" t="n">
        <f aca="false">INDEX(Laporan!$A$1:$AZ$300,G1426,4)</f>
        <v>3</v>
      </c>
      <c r="M1426" s="1" t="n">
        <f aca="false">DATE(Pemetaan!$B$1,VALUE(RIGHT(INDEX(Laporan!$A$1:$AZ$300,F1426+1,H1426),2)),VALUE(LEFT(INDEX(Laporan!$A$1:$AZ$300,F1426+1,H1426),2)))</f>
        <v>46115</v>
      </c>
      <c r="N1426" s="0" t="n">
        <f aca="false">INDEX(Laporan!$A$1:$AZ$300,G1426,H1426)</f>
        <v>28</v>
      </c>
      <c r="O1426" s="0" t="n">
        <f aca="false">IF(N1426="","",IFERROR(VALUE(SUBSTITUTE(SUBSTITUTE(N1426," btl",""),".","")),""))</f>
        <v>28</v>
      </c>
      <c r="P1426" s="0" t="str">
        <f aca="false">IF(B1426="PRODUKSI","produced","reject")</f>
        <v>reject</v>
      </c>
    </row>
    <row r="1427" customFormat="false" ht="15" hidden="false" customHeight="false" outlineLevel="0" collapsed="false">
      <c r="A1427" s="0" t="n">
        <v>1426</v>
      </c>
      <c r="B1427" s="0" t="str">
        <f aca="false">IF(A1427&lt;=36*25,"PRODUKSI","REJECT")</f>
        <v>REJECT</v>
      </c>
      <c r="C1427" s="0" t="n">
        <f aca="false">MOD(A1427-1,Pemetaan!$B$3*Pemetaan!$B$4)</f>
        <v>525</v>
      </c>
      <c r="D1427" s="0" t="n">
        <f aca="false">INT(C1427/Pemetaan!$B$4)</f>
        <v>21</v>
      </c>
      <c r="E1427" s="0" t="n">
        <f aca="false">MOD(C1427,Pemetaan!$B$4)</f>
        <v>0</v>
      </c>
      <c r="F1427" s="0" t="n">
        <f aca="false">IF(B1427="PRODUKSI",Pemetaan!$B$5,Pemetaan!$B$6)</f>
        <v>46</v>
      </c>
      <c r="G1427" s="0" t="n">
        <f aca="false">F1427+2+D1427</f>
        <v>69</v>
      </c>
      <c r="H1427" s="0" t="n">
        <f aca="false">Pemetaan!$B$2+E1427</f>
        <v>5</v>
      </c>
      <c r="I1427" s="0" t="str">
        <f aca="false">INDEX(Laporan!$A$1:$AZ$300,G1427,1)</f>
        <v>Mixing</v>
      </c>
      <c r="J1427" s="0" t="str">
        <f aca="false">INDEX(Laporan!$A$1:$AZ$300,G1427,2)</f>
        <v>330 ml</v>
      </c>
      <c r="K1427" s="0" t="str">
        <f aca="false">INDEX(Laporan!$A$1:$AZ$300,G1427,3)</f>
        <v>Shift 2</v>
      </c>
      <c r="L1427" s="0" t="n">
        <f aca="false">INDEX(Laporan!$A$1:$AZ$300,G1427,4)</f>
        <v>1</v>
      </c>
      <c r="M1427" s="1" t="n">
        <f aca="false">DATE(Pemetaan!$B$1,VALUE(RIGHT(INDEX(Laporan!$A$1:$AZ$300,F1427+1,H1427),2)),VALUE(LEFT(INDEX(Laporan!$A$1:$AZ$300,F1427+1,H1427),2)))</f>
        <v>46083</v>
      </c>
      <c r="N1427" s="0" t="n">
        <f aca="false">INDEX(Laporan!$A$1:$AZ$300,G1427,H1427)</f>
        <v>12</v>
      </c>
      <c r="O1427" s="0" t="n">
        <f aca="false">IF(N1427="","",IFERROR(VALUE(SUBSTITUTE(SUBSTITUTE(N1427," btl",""),".","")),""))</f>
        <v>12</v>
      </c>
      <c r="P1427" s="0" t="str">
        <f aca="false">IF(B1427="PRODUKSI","produced","reject")</f>
        <v>reject</v>
      </c>
    </row>
    <row r="1428" customFormat="false" ht="15" hidden="false" customHeight="false" outlineLevel="0" collapsed="false">
      <c r="A1428" s="0" t="n">
        <v>1427</v>
      </c>
      <c r="B1428" s="0" t="str">
        <f aca="false">IF(A1428&lt;=36*25,"PRODUKSI","REJECT")</f>
        <v>REJECT</v>
      </c>
      <c r="C1428" s="0" t="n">
        <f aca="false">MOD(A1428-1,Pemetaan!$B$3*Pemetaan!$B$4)</f>
        <v>526</v>
      </c>
      <c r="D1428" s="0" t="n">
        <f aca="false">INT(C1428/Pemetaan!$B$4)</f>
        <v>21</v>
      </c>
      <c r="E1428" s="0" t="n">
        <f aca="false">MOD(C1428,Pemetaan!$B$4)</f>
        <v>1</v>
      </c>
      <c r="F1428" s="0" t="n">
        <f aca="false">IF(B1428="PRODUKSI",Pemetaan!$B$5,Pemetaan!$B$6)</f>
        <v>46</v>
      </c>
      <c r="G1428" s="0" t="n">
        <f aca="false">F1428+2+D1428</f>
        <v>69</v>
      </c>
      <c r="H1428" s="0" t="n">
        <f aca="false">Pemetaan!$B$2+E1428</f>
        <v>6</v>
      </c>
      <c r="I1428" s="0" t="str">
        <f aca="false">INDEX(Laporan!$A$1:$AZ$300,G1428,1)</f>
        <v>Mixing</v>
      </c>
      <c r="J1428" s="0" t="str">
        <f aca="false">INDEX(Laporan!$A$1:$AZ$300,G1428,2)</f>
        <v>330 ml</v>
      </c>
      <c r="K1428" s="0" t="str">
        <f aca="false">INDEX(Laporan!$A$1:$AZ$300,G1428,3)</f>
        <v>Shift 2</v>
      </c>
      <c r="L1428" s="0" t="n">
        <f aca="false">INDEX(Laporan!$A$1:$AZ$300,G1428,4)</f>
        <v>1</v>
      </c>
      <c r="M1428" s="1" t="n">
        <f aca="false">DATE(Pemetaan!$B$1,VALUE(RIGHT(INDEX(Laporan!$A$1:$AZ$300,F1428+1,H1428),2)),VALUE(LEFT(INDEX(Laporan!$A$1:$AZ$300,F1428+1,H1428),2)))</f>
        <v>46084</v>
      </c>
      <c r="N1428" s="0" t="n">
        <f aca="false">INDEX(Laporan!$A$1:$AZ$300,G1428,H1428)</f>
        <v>17</v>
      </c>
      <c r="O1428" s="0" t="n">
        <f aca="false">IF(N1428="","",IFERROR(VALUE(SUBSTITUTE(SUBSTITUTE(N1428," btl",""),".","")),""))</f>
        <v>17</v>
      </c>
      <c r="P1428" s="0" t="str">
        <f aca="false">IF(B1428="PRODUKSI","produced","reject")</f>
        <v>reject</v>
      </c>
    </row>
    <row r="1429" customFormat="false" ht="15" hidden="false" customHeight="false" outlineLevel="0" collapsed="false">
      <c r="A1429" s="0" t="n">
        <v>1428</v>
      </c>
      <c r="B1429" s="0" t="str">
        <f aca="false">IF(A1429&lt;=36*25,"PRODUKSI","REJECT")</f>
        <v>REJECT</v>
      </c>
      <c r="C1429" s="0" t="n">
        <f aca="false">MOD(A1429-1,Pemetaan!$B$3*Pemetaan!$B$4)</f>
        <v>527</v>
      </c>
      <c r="D1429" s="0" t="n">
        <f aca="false">INT(C1429/Pemetaan!$B$4)</f>
        <v>21</v>
      </c>
      <c r="E1429" s="0" t="n">
        <f aca="false">MOD(C1429,Pemetaan!$B$4)</f>
        <v>2</v>
      </c>
      <c r="F1429" s="0" t="n">
        <f aca="false">IF(B1429="PRODUKSI",Pemetaan!$B$5,Pemetaan!$B$6)</f>
        <v>46</v>
      </c>
      <c r="G1429" s="0" t="n">
        <f aca="false">F1429+2+D1429</f>
        <v>69</v>
      </c>
      <c r="H1429" s="0" t="n">
        <f aca="false">Pemetaan!$B$2+E1429</f>
        <v>7</v>
      </c>
      <c r="I1429" s="0" t="str">
        <f aca="false">INDEX(Laporan!$A$1:$AZ$300,G1429,1)</f>
        <v>Mixing</v>
      </c>
      <c r="J1429" s="0" t="str">
        <f aca="false">INDEX(Laporan!$A$1:$AZ$300,G1429,2)</f>
        <v>330 ml</v>
      </c>
      <c r="K1429" s="0" t="str">
        <f aca="false">INDEX(Laporan!$A$1:$AZ$300,G1429,3)</f>
        <v>Shift 2</v>
      </c>
      <c r="L1429" s="0" t="n">
        <f aca="false">INDEX(Laporan!$A$1:$AZ$300,G1429,4)</f>
        <v>1</v>
      </c>
      <c r="M1429" s="1" t="n">
        <f aca="false">DATE(Pemetaan!$B$1,VALUE(RIGHT(INDEX(Laporan!$A$1:$AZ$300,F1429+1,H1429),2)),VALUE(LEFT(INDEX(Laporan!$A$1:$AZ$300,F1429+1,H1429),2)))</f>
        <v>46085</v>
      </c>
      <c r="N1429" s="0" t="n">
        <f aca="false">INDEX(Laporan!$A$1:$AZ$300,G1429,H1429)</f>
        <v>12</v>
      </c>
      <c r="O1429" s="0" t="n">
        <f aca="false">IF(N1429="","",IFERROR(VALUE(SUBSTITUTE(SUBSTITUTE(N1429," btl",""),".","")),""))</f>
        <v>12</v>
      </c>
      <c r="P1429" s="0" t="str">
        <f aca="false">IF(B1429="PRODUKSI","produced","reject")</f>
        <v>reject</v>
      </c>
    </row>
    <row r="1430" customFormat="false" ht="15" hidden="false" customHeight="false" outlineLevel="0" collapsed="false">
      <c r="A1430" s="0" t="n">
        <v>1429</v>
      </c>
      <c r="B1430" s="0" t="str">
        <f aca="false">IF(A1430&lt;=36*25,"PRODUKSI","REJECT")</f>
        <v>REJECT</v>
      </c>
      <c r="C1430" s="0" t="n">
        <f aca="false">MOD(A1430-1,Pemetaan!$B$3*Pemetaan!$B$4)</f>
        <v>528</v>
      </c>
      <c r="D1430" s="0" t="n">
        <f aca="false">INT(C1430/Pemetaan!$B$4)</f>
        <v>21</v>
      </c>
      <c r="E1430" s="0" t="n">
        <f aca="false">MOD(C1430,Pemetaan!$B$4)</f>
        <v>3</v>
      </c>
      <c r="F1430" s="0" t="n">
        <f aca="false">IF(B1430="PRODUKSI",Pemetaan!$B$5,Pemetaan!$B$6)</f>
        <v>46</v>
      </c>
      <c r="G1430" s="0" t="n">
        <f aca="false">F1430+2+D1430</f>
        <v>69</v>
      </c>
      <c r="H1430" s="0" t="n">
        <f aca="false">Pemetaan!$B$2+E1430</f>
        <v>8</v>
      </c>
      <c r="I1430" s="0" t="str">
        <f aca="false">INDEX(Laporan!$A$1:$AZ$300,G1430,1)</f>
        <v>Mixing</v>
      </c>
      <c r="J1430" s="0" t="str">
        <f aca="false">INDEX(Laporan!$A$1:$AZ$300,G1430,2)</f>
        <v>330 ml</v>
      </c>
      <c r="K1430" s="0" t="str">
        <f aca="false">INDEX(Laporan!$A$1:$AZ$300,G1430,3)</f>
        <v>Shift 2</v>
      </c>
      <c r="L1430" s="0" t="n">
        <f aca="false">INDEX(Laporan!$A$1:$AZ$300,G1430,4)</f>
        <v>1</v>
      </c>
      <c r="M1430" s="1" t="n">
        <f aca="false">DATE(Pemetaan!$B$1,VALUE(RIGHT(INDEX(Laporan!$A$1:$AZ$300,F1430+1,H1430),2)),VALUE(LEFT(INDEX(Laporan!$A$1:$AZ$300,F1430+1,H1430),2)))</f>
        <v>46086</v>
      </c>
      <c r="N1430" s="0" t="n">
        <f aca="false">INDEX(Laporan!$A$1:$AZ$300,G1430,H1430)</f>
        <v>30</v>
      </c>
      <c r="O1430" s="0" t="n">
        <f aca="false">IF(N1430="","",IFERROR(VALUE(SUBSTITUTE(SUBSTITUTE(N1430," btl",""),".","")),""))</f>
        <v>30</v>
      </c>
      <c r="P1430" s="0" t="str">
        <f aca="false">IF(B1430="PRODUKSI","produced","reject")</f>
        <v>reject</v>
      </c>
    </row>
    <row r="1431" customFormat="false" ht="15" hidden="false" customHeight="false" outlineLevel="0" collapsed="false">
      <c r="A1431" s="0" t="n">
        <v>1430</v>
      </c>
      <c r="B1431" s="0" t="str">
        <f aca="false">IF(A1431&lt;=36*25,"PRODUKSI","REJECT")</f>
        <v>REJECT</v>
      </c>
      <c r="C1431" s="0" t="n">
        <f aca="false">MOD(A1431-1,Pemetaan!$B$3*Pemetaan!$B$4)</f>
        <v>529</v>
      </c>
      <c r="D1431" s="0" t="n">
        <f aca="false">INT(C1431/Pemetaan!$B$4)</f>
        <v>21</v>
      </c>
      <c r="E1431" s="0" t="n">
        <f aca="false">MOD(C1431,Pemetaan!$B$4)</f>
        <v>4</v>
      </c>
      <c r="F1431" s="0" t="n">
        <f aca="false">IF(B1431="PRODUKSI",Pemetaan!$B$5,Pemetaan!$B$6)</f>
        <v>46</v>
      </c>
      <c r="G1431" s="0" t="n">
        <f aca="false">F1431+2+D1431</f>
        <v>69</v>
      </c>
      <c r="H1431" s="0" t="n">
        <f aca="false">Pemetaan!$B$2+E1431</f>
        <v>9</v>
      </c>
      <c r="I1431" s="0" t="str">
        <f aca="false">INDEX(Laporan!$A$1:$AZ$300,G1431,1)</f>
        <v>Mixing</v>
      </c>
      <c r="J1431" s="0" t="str">
        <f aca="false">INDEX(Laporan!$A$1:$AZ$300,G1431,2)</f>
        <v>330 ml</v>
      </c>
      <c r="K1431" s="0" t="str">
        <f aca="false">INDEX(Laporan!$A$1:$AZ$300,G1431,3)</f>
        <v>Shift 2</v>
      </c>
      <c r="L1431" s="0" t="n">
        <f aca="false">INDEX(Laporan!$A$1:$AZ$300,G1431,4)</f>
        <v>1</v>
      </c>
      <c r="M1431" s="1" t="n">
        <f aca="false">DATE(Pemetaan!$B$1,VALUE(RIGHT(INDEX(Laporan!$A$1:$AZ$300,F1431+1,H1431),2)),VALUE(LEFT(INDEX(Laporan!$A$1:$AZ$300,F1431+1,H1431),2)))</f>
        <v>46087</v>
      </c>
      <c r="N1431" s="0" t="n">
        <f aca="false">INDEX(Laporan!$A$1:$AZ$300,G1431,H1431)</f>
        <v>19</v>
      </c>
      <c r="O1431" s="0" t="n">
        <f aca="false">IF(N1431="","",IFERROR(VALUE(SUBSTITUTE(SUBSTITUTE(N1431," btl",""),".","")),""))</f>
        <v>19</v>
      </c>
      <c r="P1431" s="0" t="str">
        <f aca="false">IF(B1431="PRODUKSI","produced","reject")</f>
        <v>reject</v>
      </c>
    </row>
    <row r="1432" customFormat="false" ht="15" hidden="false" customHeight="false" outlineLevel="0" collapsed="false">
      <c r="A1432" s="0" t="n">
        <v>1431</v>
      </c>
      <c r="B1432" s="0" t="str">
        <f aca="false">IF(A1432&lt;=36*25,"PRODUKSI","REJECT")</f>
        <v>REJECT</v>
      </c>
      <c r="C1432" s="0" t="n">
        <f aca="false">MOD(A1432-1,Pemetaan!$B$3*Pemetaan!$B$4)</f>
        <v>530</v>
      </c>
      <c r="D1432" s="0" t="n">
        <f aca="false">INT(C1432/Pemetaan!$B$4)</f>
        <v>21</v>
      </c>
      <c r="E1432" s="0" t="n">
        <f aca="false">MOD(C1432,Pemetaan!$B$4)</f>
        <v>5</v>
      </c>
      <c r="F1432" s="0" t="n">
        <f aca="false">IF(B1432="PRODUKSI",Pemetaan!$B$5,Pemetaan!$B$6)</f>
        <v>46</v>
      </c>
      <c r="G1432" s="0" t="n">
        <f aca="false">F1432+2+D1432</f>
        <v>69</v>
      </c>
      <c r="H1432" s="0" t="n">
        <f aca="false">Pemetaan!$B$2+E1432</f>
        <v>10</v>
      </c>
      <c r="I1432" s="0" t="str">
        <f aca="false">INDEX(Laporan!$A$1:$AZ$300,G1432,1)</f>
        <v>Mixing</v>
      </c>
      <c r="J1432" s="0" t="str">
        <f aca="false">INDEX(Laporan!$A$1:$AZ$300,G1432,2)</f>
        <v>330 ml</v>
      </c>
      <c r="K1432" s="0" t="str">
        <f aca="false">INDEX(Laporan!$A$1:$AZ$300,G1432,3)</f>
        <v>Shift 2</v>
      </c>
      <c r="L1432" s="0" t="n">
        <f aca="false">INDEX(Laporan!$A$1:$AZ$300,G1432,4)</f>
        <v>1</v>
      </c>
      <c r="M1432" s="1" t="n">
        <f aca="false">DATE(Pemetaan!$B$1,VALUE(RIGHT(INDEX(Laporan!$A$1:$AZ$300,F1432+1,H1432),2)),VALUE(LEFT(INDEX(Laporan!$A$1:$AZ$300,F1432+1,H1432),2)))</f>
        <v>46090</v>
      </c>
      <c r="N1432" s="0" t="n">
        <f aca="false">INDEX(Laporan!$A$1:$AZ$300,G1432,H1432)</f>
        <v>14</v>
      </c>
      <c r="O1432" s="0" t="n">
        <f aca="false">IF(N1432="","",IFERROR(VALUE(SUBSTITUTE(SUBSTITUTE(N1432," btl",""),".","")),""))</f>
        <v>14</v>
      </c>
      <c r="P1432" s="0" t="str">
        <f aca="false">IF(B1432="PRODUKSI","produced","reject")</f>
        <v>reject</v>
      </c>
    </row>
    <row r="1433" customFormat="false" ht="15" hidden="false" customHeight="false" outlineLevel="0" collapsed="false">
      <c r="A1433" s="0" t="n">
        <v>1432</v>
      </c>
      <c r="B1433" s="0" t="str">
        <f aca="false">IF(A1433&lt;=36*25,"PRODUKSI","REJECT")</f>
        <v>REJECT</v>
      </c>
      <c r="C1433" s="0" t="n">
        <f aca="false">MOD(A1433-1,Pemetaan!$B$3*Pemetaan!$B$4)</f>
        <v>531</v>
      </c>
      <c r="D1433" s="0" t="n">
        <f aca="false">INT(C1433/Pemetaan!$B$4)</f>
        <v>21</v>
      </c>
      <c r="E1433" s="0" t="n">
        <f aca="false">MOD(C1433,Pemetaan!$B$4)</f>
        <v>6</v>
      </c>
      <c r="F1433" s="0" t="n">
        <f aca="false">IF(B1433="PRODUKSI",Pemetaan!$B$5,Pemetaan!$B$6)</f>
        <v>46</v>
      </c>
      <c r="G1433" s="0" t="n">
        <f aca="false">F1433+2+D1433</f>
        <v>69</v>
      </c>
      <c r="H1433" s="0" t="n">
        <f aca="false">Pemetaan!$B$2+E1433</f>
        <v>11</v>
      </c>
      <c r="I1433" s="0" t="str">
        <f aca="false">INDEX(Laporan!$A$1:$AZ$300,G1433,1)</f>
        <v>Mixing</v>
      </c>
      <c r="J1433" s="0" t="str">
        <f aca="false">INDEX(Laporan!$A$1:$AZ$300,G1433,2)</f>
        <v>330 ml</v>
      </c>
      <c r="K1433" s="0" t="str">
        <f aca="false">INDEX(Laporan!$A$1:$AZ$300,G1433,3)</f>
        <v>Shift 2</v>
      </c>
      <c r="L1433" s="0" t="n">
        <f aca="false">INDEX(Laporan!$A$1:$AZ$300,G1433,4)</f>
        <v>1</v>
      </c>
      <c r="M1433" s="1" t="n">
        <f aca="false">DATE(Pemetaan!$B$1,VALUE(RIGHT(INDEX(Laporan!$A$1:$AZ$300,F1433+1,H1433),2)),VALUE(LEFT(INDEX(Laporan!$A$1:$AZ$300,F1433+1,H1433),2)))</f>
        <v>46091</v>
      </c>
      <c r="N1433" s="0" t="n">
        <f aca="false">INDEX(Laporan!$A$1:$AZ$300,G1433,H1433)</f>
        <v>20</v>
      </c>
      <c r="O1433" s="0" t="n">
        <f aca="false">IF(N1433="","",IFERROR(VALUE(SUBSTITUTE(SUBSTITUTE(N1433," btl",""),".","")),""))</f>
        <v>20</v>
      </c>
      <c r="P1433" s="0" t="str">
        <f aca="false">IF(B1433="PRODUKSI","produced","reject")</f>
        <v>reject</v>
      </c>
    </row>
    <row r="1434" customFormat="false" ht="15" hidden="false" customHeight="false" outlineLevel="0" collapsed="false">
      <c r="A1434" s="0" t="n">
        <v>1433</v>
      </c>
      <c r="B1434" s="0" t="str">
        <f aca="false">IF(A1434&lt;=36*25,"PRODUKSI","REJECT")</f>
        <v>REJECT</v>
      </c>
      <c r="C1434" s="0" t="n">
        <f aca="false">MOD(A1434-1,Pemetaan!$B$3*Pemetaan!$B$4)</f>
        <v>532</v>
      </c>
      <c r="D1434" s="0" t="n">
        <f aca="false">INT(C1434/Pemetaan!$B$4)</f>
        <v>21</v>
      </c>
      <c r="E1434" s="0" t="n">
        <f aca="false">MOD(C1434,Pemetaan!$B$4)</f>
        <v>7</v>
      </c>
      <c r="F1434" s="0" t="n">
        <f aca="false">IF(B1434="PRODUKSI",Pemetaan!$B$5,Pemetaan!$B$6)</f>
        <v>46</v>
      </c>
      <c r="G1434" s="0" t="n">
        <f aca="false">F1434+2+D1434</f>
        <v>69</v>
      </c>
      <c r="H1434" s="0" t="n">
        <f aca="false">Pemetaan!$B$2+E1434</f>
        <v>12</v>
      </c>
      <c r="I1434" s="0" t="str">
        <f aca="false">INDEX(Laporan!$A$1:$AZ$300,G1434,1)</f>
        <v>Mixing</v>
      </c>
      <c r="J1434" s="0" t="str">
        <f aca="false">INDEX(Laporan!$A$1:$AZ$300,G1434,2)</f>
        <v>330 ml</v>
      </c>
      <c r="K1434" s="0" t="str">
        <f aca="false">INDEX(Laporan!$A$1:$AZ$300,G1434,3)</f>
        <v>Shift 2</v>
      </c>
      <c r="L1434" s="0" t="n">
        <f aca="false">INDEX(Laporan!$A$1:$AZ$300,G1434,4)</f>
        <v>1</v>
      </c>
      <c r="M1434" s="1" t="n">
        <f aca="false">DATE(Pemetaan!$B$1,VALUE(RIGHT(INDEX(Laporan!$A$1:$AZ$300,F1434+1,H1434),2)),VALUE(LEFT(INDEX(Laporan!$A$1:$AZ$300,F1434+1,H1434),2)))</f>
        <v>46092</v>
      </c>
      <c r="N1434" s="0" t="str">
        <f aca="false">INDEX(Laporan!$A$1:$AZ$300,G1434,H1434)</f>
        <v>-</v>
      </c>
      <c r="O1434" s="0" t="str">
        <f aca="false">IF(N1434="","",IFERROR(VALUE(SUBSTITUTE(SUBSTITUTE(N1434," btl",""),".","")),""))</f>
        <v/>
      </c>
      <c r="P1434" s="0" t="str">
        <f aca="false">IF(B1434="PRODUKSI","produced","reject")</f>
        <v>reject</v>
      </c>
    </row>
    <row r="1435" customFormat="false" ht="15" hidden="false" customHeight="false" outlineLevel="0" collapsed="false">
      <c r="A1435" s="0" t="n">
        <v>1434</v>
      </c>
      <c r="B1435" s="0" t="str">
        <f aca="false">IF(A1435&lt;=36*25,"PRODUKSI","REJECT")</f>
        <v>REJECT</v>
      </c>
      <c r="C1435" s="0" t="n">
        <f aca="false">MOD(A1435-1,Pemetaan!$B$3*Pemetaan!$B$4)</f>
        <v>533</v>
      </c>
      <c r="D1435" s="0" t="n">
        <f aca="false">INT(C1435/Pemetaan!$B$4)</f>
        <v>21</v>
      </c>
      <c r="E1435" s="0" t="n">
        <f aca="false">MOD(C1435,Pemetaan!$B$4)</f>
        <v>8</v>
      </c>
      <c r="F1435" s="0" t="n">
        <f aca="false">IF(B1435="PRODUKSI",Pemetaan!$B$5,Pemetaan!$B$6)</f>
        <v>46</v>
      </c>
      <c r="G1435" s="0" t="n">
        <f aca="false">F1435+2+D1435</f>
        <v>69</v>
      </c>
      <c r="H1435" s="0" t="n">
        <f aca="false">Pemetaan!$B$2+E1435</f>
        <v>13</v>
      </c>
      <c r="I1435" s="0" t="str">
        <f aca="false">INDEX(Laporan!$A$1:$AZ$300,G1435,1)</f>
        <v>Mixing</v>
      </c>
      <c r="J1435" s="0" t="str">
        <f aca="false">INDEX(Laporan!$A$1:$AZ$300,G1435,2)</f>
        <v>330 ml</v>
      </c>
      <c r="K1435" s="0" t="str">
        <f aca="false">INDEX(Laporan!$A$1:$AZ$300,G1435,3)</f>
        <v>Shift 2</v>
      </c>
      <c r="L1435" s="0" t="n">
        <f aca="false">INDEX(Laporan!$A$1:$AZ$300,G1435,4)</f>
        <v>1</v>
      </c>
      <c r="M1435" s="1" t="n">
        <f aca="false">DATE(Pemetaan!$B$1,VALUE(RIGHT(INDEX(Laporan!$A$1:$AZ$300,F1435+1,H1435),2)),VALUE(LEFT(INDEX(Laporan!$A$1:$AZ$300,F1435+1,H1435),2)))</f>
        <v>46093</v>
      </c>
      <c r="N1435" s="0" t="n">
        <f aca="false">INDEX(Laporan!$A$1:$AZ$300,G1435,H1435)</f>
        <v>14</v>
      </c>
      <c r="O1435" s="0" t="n">
        <f aca="false">IF(N1435="","",IFERROR(VALUE(SUBSTITUTE(SUBSTITUTE(N1435," btl",""),".","")),""))</f>
        <v>14</v>
      </c>
      <c r="P1435" s="0" t="str">
        <f aca="false">IF(B1435="PRODUKSI","produced","reject")</f>
        <v>reject</v>
      </c>
    </row>
    <row r="1436" customFormat="false" ht="15" hidden="false" customHeight="false" outlineLevel="0" collapsed="false">
      <c r="A1436" s="0" t="n">
        <v>1435</v>
      </c>
      <c r="B1436" s="0" t="str">
        <f aca="false">IF(A1436&lt;=36*25,"PRODUKSI","REJECT")</f>
        <v>REJECT</v>
      </c>
      <c r="C1436" s="0" t="n">
        <f aca="false">MOD(A1436-1,Pemetaan!$B$3*Pemetaan!$B$4)</f>
        <v>534</v>
      </c>
      <c r="D1436" s="0" t="n">
        <f aca="false">INT(C1436/Pemetaan!$B$4)</f>
        <v>21</v>
      </c>
      <c r="E1436" s="0" t="n">
        <f aca="false">MOD(C1436,Pemetaan!$B$4)</f>
        <v>9</v>
      </c>
      <c r="F1436" s="0" t="n">
        <f aca="false">IF(B1436="PRODUKSI",Pemetaan!$B$5,Pemetaan!$B$6)</f>
        <v>46</v>
      </c>
      <c r="G1436" s="0" t="n">
        <f aca="false">F1436+2+D1436</f>
        <v>69</v>
      </c>
      <c r="H1436" s="0" t="n">
        <f aca="false">Pemetaan!$B$2+E1436</f>
        <v>14</v>
      </c>
      <c r="I1436" s="0" t="str">
        <f aca="false">INDEX(Laporan!$A$1:$AZ$300,G1436,1)</f>
        <v>Mixing</v>
      </c>
      <c r="J1436" s="0" t="str">
        <f aca="false">INDEX(Laporan!$A$1:$AZ$300,G1436,2)</f>
        <v>330 ml</v>
      </c>
      <c r="K1436" s="0" t="str">
        <f aca="false">INDEX(Laporan!$A$1:$AZ$300,G1436,3)</f>
        <v>Shift 2</v>
      </c>
      <c r="L1436" s="0" t="n">
        <f aca="false">INDEX(Laporan!$A$1:$AZ$300,G1436,4)</f>
        <v>1</v>
      </c>
      <c r="M1436" s="1" t="n">
        <f aca="false">DATE(Pemetaan!$B$1,VALUE(RIGHT(INDEX(Laporan!$A$1:$AZ$300,F1436+1,H1436),2)),VALUE(LEFT(INDEX(Laporan!$A$1:$AZ$300,F1436+1,H1436),2)))</f>
        <v>46094</v>
      </c>
      <c r="N1436" s="0" t="n">
        <f aca="false">INDEX(Laporan!$A$1:$AZ$300,G1436,H1436)</f>
        <v>22</v>
      </c>
      <c r="O1436" s="0" t="n">
        <f aca="false">IF(N1436="","",IFERROR(VALUE(SUBSTITUTE(SUBSTITUTE(N1436," btl",""),".","")),""))</f>
        <v>22</v>
      </c>
      <c r="P1436" s="0" t="str">
        <f aca="false">IF(B1436="PRODUKSI","produced","reject")</f>
        <v>reject</v>
      </c>
    </row>
    <row r="1437" customFormat="false" ht="15" hidden="false" customHeight="false" outlineLevel="0" collapsed="false">
      <c r="A1437" s="0" t="n">
        <v>1436</v>
      </c>
      <c r="B1437" s="0" t="str">
        <f aca="false">IF(A1437&lt;=36*25,"PRODUKSI","REJECT")</f>
        <v>REJECT</v>
      </c>
      <c r="C1437" s="0" t="n">
        <f aca="false">MOD(A1437-1,Pemetaan!$B$3*Pemetaan!$B$4)</f>
        <v>535</v>
      </c>
      <c r="D1437" s="0" t="n">
        <f aca="false">INT(C1437/Pemetaan!$B$4)</f>
        <v>21</v>
      </c>
      <c r="E1437" s="0" t="n">
        <f aca="false">MOD(C1437,Pemetaan!$B$4)</f>
        <v>10</v>
      </c>
      <c r="F1437" s="0" t="n">
        <f aca="false">IF(B1437="PRODUKSI",Pemetaan!$B$5,Pemetaan!$B$6)</f>
        <v>46</v>
      </c>
      <c r="G1437" s="0" t="n">
        <f aca="false">F1437+2+D1437</f>
        <v>69</v>
      </c>
      <c r="H1437" s="0" t="n">
        <f aca="false">Pemetaan!$B$2+E1437</f>
        <v>15</v>
      </c>
      <c r="I1437" s="0" t="str">
        <f aca="false">INDEX(Laporan!$A$1:$AZ$300,G1437,1)</f>
        <v>Mixing</v>
      </c>
      <c r="J1437" s="0" t="str">
        <f aca="false">INDEX(Laporan!$A$1:$AZ$300,G1437,2)</f>
        <v>330 ml</v>
      </c>
      <c r="K1437" s="0" t="str">
        <f aca="false">INDEX(Laporan!$A$1:$AZ$300,G1437,3)</f>
        <v>Shift 2</v>
      </c>
      <c r="L1437" s="0" t="n">
        <f aca="false">INDEX(Laporan!$A$1:$AZ$300,G1437,4)</f>
        <v>1</v>
      </c>
      <c r="M1437" s="1" t="n">
        <f aca="false">DATE(Pemetaan!$B$1,VALUE(RIGHT(INDEX(Laporan!$A$1:$AZ$300,F1437+1,H1437),2)),VALUE(LEFT(INDEX(Laporan!$A$1:$AZ$300,F1437+1,H1437),2)))</f>
        <v>46097</v>
      </c>
      <c r="N1437" s="0" t="n">
        <f aca="false">INDEX(Laporan!$A$1:$AZ$300,G1437,H1437)</f>
        <v>22</v>
      </c>
      <c r="O1437" s="0" t="n">
        <f aca="false">IF(N1437="","",IFERROR(VALUE(SUBSTITUTE(SUBSTITUTE(N1437," btl",""),".","")),""))</f>
        <v>22</v>
      </c>
      <c r="P1437" s="0" t="str">
        <f aca="false">IF(B1437="PRODUKSI","produced","reject")</f>
        <v>reject</v>
      </c>
    </row>
    <row r="1438" customFormat="false" ht="15" hidden="false" customHeight="false" outlineLevel="0" collapsed="false">
      <c r="A1438" s="0" t="n">
        <v>1437</v>
      </c>
      <c r="B1438" s="0" t="str">
        <f aca="false">IF(A1438&lt;=36*25,"PRODUKSI","REJECT")</f>
        <v>REJECT</v>
      </c>
      <c r="C1438" s="0" t="n">
        <f aca="false">MOD(A1438-1,Pemetaan!$B$3*Pemetaan!$B$4)</f>
        <v>536</v>
      </c>
      <c r="D1438" s="0" t="n">
        <f aca="false">INT(C1438/Pemetaan!$B$4)</f>
        <v>21</v>
      </c>
      <c r="E1438" s="0" t="n">
        <f aca="false">MOD(C1438,Pemetaan!$B$4)</f>
        <v>11</v>
      </c>
      <c r="F1438" s="0" t="n">
        <f aca="false">IF(B1438="PRODUKSI",Pemetaan!$B$5,Pemetaan!$B$6)</f>
        <v>46</v>
      </c>
      <c r="G1438" s="0" t="n">
        <f aca="false">F1438+2+D1438</f>
        <v>69</v>
      </c>
      <c r="H1438" s="0" t="n">
        <f aca="false">Pemetaan!$B$2+E1438</f>
        <v>16</v>
      </c>
      <c r="I1438" s="0" t="str">
        <f aca="false">INDEX(Laporan!$A$1:$AZ$300,G1438,1)</f>
        <v>Mixing</v>
      </c>
      <c r="J1438" s="0" t="str">
        <f aca="false">INDEX(Laporan!$A$1:$AZ$300,G1438,2)</f>
        <v>330 ml</v>
      </c>
      <c r="K1438" s="0" t="str">
        <f aca="false">INDEX(Laporan!$A$1:$AZ$300,G1438,3)</f>
        <v>Shift 2</v>
      </c>
      <c r="L1438" s="0" t="n">
        <f aca="false">INDEX(Laporan!$A$1:$AZ$300,G1438,4)</f>
        <v>1</v>
      </c>
      <c r="M1438" s="1" t="n">
        <f aca="false">DATE(Pemetaan!$B$1,VALUE(RIGHT(INDEX(Laporan!$A$1:$AZ$300,F1438+1,H1438),2)),VALUE(LEFT(INDEX(Laporan!$A$1:$AZ$300,F1438+1,H1438),2)))</f>
        <v>46098</v>
      </c>
      <c r="N1438" s="0" t="n">
        <f aca="false">INDEX(Laporan!$A$1:$AZ$300,G1438,H1438)</f>
        <v>22</v>
      </c>
      <c r="O1438" s="0" t="n">
        <f aca="false">IF(N1438="","",IFERROR(VALUE(SUBSTITUTE(SUBSTITUTE(N1438," btl",""),".","")),""))</f>
        <v>22</v>
      </c>
      <c r="P1438" s="0" t="str">
        <f aca="false">IF(B1438="PRODUKSI","produced","reject")</f>
        <v>reject</v>
      </c>
    </row>
    <row r="1439" customFormat="false" ht="15" hidden="false" customHeight="false" outlineLevel="0" collapsed="false">
      <c r="A1439" s="0" t="n">
        <v>1438</v>
      </c>
      <c r="B1439" s="0" t="str">
        <f aca="false">IF(A1439&lt;=36*25,"PRODUKSI","REJECT")</f>
        <v>REJECT</v>
      </c>
      <c r="C1439" s="0" t="n">
        <f aca="false">MOD(A1439-1,Pemetaan!$B$3*Pemetaan!$B$4)</f>
        <v>537</v>
      </c>
      <c r="D1439" s="0" t="n">
        <f aca="false">INT(C1439/Pemetaan!$B$4)</f>
        <v>21</v>
      </c>
      <c r="E1439" s="0" t="n">
        <f aca="false">MOD(C1439,Pemetaan!$B$4)</f>
        <v>12</v>
      </c>
      <c r="F1439" s="0" t="n">
        <f aca="false">IF(B1439="PRODUKSI",Pemetaan!$B$5,Pemetaan!$B$6)</f>
        <v>46</v>
      </c>
      <c r="G1439" s="0" t="n">
        <f aca="false">F1439+2+D1439</f>
        <v>69</v>
      </c>
      <c r="H1439" s="0" t="n">
        <f aca="false">Pemetaan!$B$2+E1439</f>
        <v>17</v>
      </c>
      <c r="I1439" s="0" t="str">
        <f aca="false">INDEX(Laporan!$A$1:$AZ$300,G1439,1)</f>
        <v>Mixing</v>
      </c>
      <c r="J1439" s="0" t="str">
        <f aca="false">INDEX(Laporan!$A$1:$AZ$300,G1439,2)</f>
        <v>330 ml</v>
      </c>
      <c r="K1439" s="0" t="str">
        <f aca="false">INDEX(Laporan!$A$1:$AZ$300,G1439,3)</f>
        <v>Shift 2</v>
      </c>
      <c r="L1439" s="0" t="n">
        <f aca="false">INDEX(Laporan!$A$1:$AZ$300,G1439,4)</f>
        <v>1</v>
      </c>
      <c r="M1439" s="1" t="n">
        <f aca="false">DATE(Pemetaan!$B$1,VALUE(RIGHT(INDEX(Laporan!$A$1:$AZ$300,F1439+1,H1439),2)),VALUE(LEFT(INDEX(Laporan!$A$1:$AZ$300,F1439+1,H1439),2)))</f>
        <v>46099</v>
      </c>
      <c r="N1439" s="0" t="str">
        <f aca="false">INDEX(Laporan!$A$1:$AZ$300,G1439,H1439)</f>
        <v>18 btl</v>
      </c>
      <c r="O1439" s="0" t="n">
        <f aca="false">IF(N1439="","",IFERROR(VALUE(SUBSTITUTE(SUBSTITUTE(N1439," btl",""),".","")),""))</f>
        <v>18</v>
      </c>
      <c r="P1439" s="0" t="str">
        <f aca="false">IF(B1439="PRODUKSI","produced","reject")</f>
        <v>reject</v>
      </c>
    </row>
    <row r="1440" customFormat="false" ht="15" hidden="false" customHeight="false" outlineLevel="0" collapsed="false">
      <c r="A1440" s="0" t="n">
        <v>1439</v>
      </c>
      <c r="B1440" s="0" t="str">
        <f aca="false">IF(A1440&lt;=36*25,"PRODUKSI","REJECT")</f>
        <v>REJECT</v>
      </c>
      <c r="C1440" s="0" t="n">
        <f aca="false">MOD(A1440-1,Pemetaan!$B$3*Pemetaan!$B$4)</f>
        <v>538</v>
      </c>
      <c r="D1440" s="0" t="n">
        <f aca="false">INT(C1440/Pemetaan!$B$4)</f>
        <v>21</v>
      </c>
      <c r="E1440" s="0" t="n">
        <f aca="false">MOD(C1440,Pemetaan!$B$4)</f>
        <v>13</v>
      </c>
      <c r="F1440" s="0" t="n">
        <f aca="false">IF(B1440="PRODUKSI",Pemetaan!$B$5,Pemetaan!$B$6)</f>
        <v>46</v>
      </c>
      <c r="G1440" s="0" t="n">
        <f aca="false">F1440+2+D1440</f>
        <v>69</v>
      </c>
      <c r="H1440" s="0" t="n">
        <f aca="false">Pemetaan!$B$2+E1440</f>
        <v>18</v>
      </c>
      <c r="I1440" s="0" t="str">
        <f aca="false">INDEX(Laporan!$A$1:$AZ$300,G1440,1)</f>
        <v>Mixing</v>
      </c>
      <c r="J1440" s="0" t="str">
        <f aca="false">INDEX(Laporan!$A$1:$AZ$300,G1440,2)</f>
        <v>330 ml</v>
      </c>
      <c r="K1440" s="0" t="str">
        <f aca="false">INDEX(Laporan!$A$1:$AZ$300,G1440,3)</f>
        <v>Shift 2</v>
      </c>
      <c r="L1440" s="0" t="n">
        <f aca="false">INDEX(Laporan!$A$1:$AZ$300,G1440,4)</f>
        <v>1</v>
      </c>
      <c r="M1440" s="1" t="n">
        <f aca="false">DATE(Pemetaan!$B$1,VALUE(RIGHT(INDEX(Laporan!$A$1:$AZ$300,F1440+1,H1440),2)),VALUE(LEFT(INDEX(Laporan!$A$1:$AZ$300,F1440+1,H1440),2)))</f>
        <v>46100</v>
      </c>
      <c r="N1440" s="0" t="n">
        <f aca="false">INDEX(Laporan!$A$1:$AZ$300,G1440,H1440)</f>
        <v>21</v>
      </c>
      <c r="O1440" s="0" t="n">
        <f aca="false">IF(N1440="","",IFERROR(VALUE(SUBSTITUTE(SUBSTITUTE(N1440," btl",""),".","")),""))</f>
        <v>21</v>
      </c>
      <c r="P1440" s="0" t="str">
        <f aca="false">IF(B1440="PRODUKSI","produced","reject")</f>
        <v>reject</v>
      </c>
    </row>
    <row r="1441" customFormat="false" ht="15" hidden="false" customHeight="false" outlineLevel="0" collapsed="false">
      <c r="A1441" s="0" t="n">
        <v>1440</v>
      </c>
      <c r="B1441" s="0" t="str">
        <f aca="false">IF(A1441&lt;=36*25,"PRODUKSI","REJECT")</f>
        <v>REJECT</v>
      </c>
      <c r="C1441" s="0" t="n">
        <f aca="false">MOD(A1441-1,Pemetaan!$B$3*Pemetaan!$B$4)</f>
        <v>539</v>
      </c>
      <c r="D1441" s="0" t="n">
        <f aca="false">INT(C1441/Pemetaan!$B$4)</f>
        <v>21</v>
      </c>
      <c r="E1441" s="0" t="n">
        <f aca="false">MOD(C1441,Pemetaan!$B$4)</f>
        <v>14</v>
      </c>
      <c r="F1441" s="0" t="n">
        <f aca="false">IF(B1441="PRODUKSI",Pemetaan!$B$5,Pemetaan!$B$6)</f>
        <v>46</v>
      </c>
      <c r="G1441" s="0" t="n">
        <f aca="false">F1441+2+D1441</f>
        <v>69</v>
      </c>
      <c r="H1441" s="0" t="n">
        <f aca="false">Pemetaan!$B$2+E1441</f>
        <v>19</v>
      </c>
      <c r="I1441" s="0" t="str">
        <f aca="false">INDEX(Laporan!$A$1:$AZ$300,G1441,1)</f>
        <v>Mixing</v>
      </c>
      <c r="J1441" s="0" t="str">
        <f aca="false">INDEX(Laporan!$A$1:$AZ$300,G1441,2)</f>
        <v>330 ml</v>
      </c>
      <c r="K1441" s="0" t="str">
        <f aca="false">INDEX(Laporan!$A$1:$AZ$300,G1441,3)</f>
        <v>Shift 2</v>
      </c>
      <c r="L1441" s="0" t="n">
        <f aca="false">INDEX(Laporan!$A$1:$AZ$300,G1441,4)</f>
        <v>1</v>
      </c>
      <c r="M1441" s="1" t="n">
        <f aca="false">DATE(Pemetaan!$B$1,VALUE(RIGHT(INDEX(Laporan!$A$1:$AZ$300,F1441+1,H1441),2)),VALUE(LEFT(INDEX(Laporan!$A$1:$AZ$300,F1441+1,H1441),2)))</f>
        <v>46101</v>
      </c>
      <c r="N1441" s="0" t="n">
        <f aca="false">INDEX(Laporan!$A$1:$AZ$300,G1441,H1441)</f>
        <v>21</v>
      </c>
      <c r="O1441" s="0" t="n">
        <f aca="false">IF(N1441="","",IFERROR(VALUE(SUBSTITUTE(SUBSTITUTE(N1441," btl",""),".","")),""))</f>
        <v>21</v>
      </c>
      <c r="P1441" s="0" t="str">
        <f aca="false">IF(B1441="PRODUKSI","produced","reject")</f>
        <v>reject</v>
      </c>
    </row>
    <row r="1442" customFormat="false" ht="15" hidden="false" customHeight="false" outlineLevel="0" collapsed="false">
      <c r="A1442" s="0" t="n">
        <v>1441</v>
      </c>
      <c r="B1442" s="0" t="str">
        <f aca="false">IF(A1442&lt;=36*25,"PRODUKSI","REJECT")</f>
        <v>REJECT</v>
      </c>
      <c r="C1442" s="0" t="n">
        <f aca="false">MOD(A1442-1,Pemetaan!$B$3*Pemetaan!$B$4)</f>
        <v>540</v>
      </c>
      <c r="D1442" s="0" t="n">
        <f aca="false">INT(C1442/Pemetaan!$B$4)</f>
        <v>21</v>
      </c>
      <c r="E1442" s="0" t="n">
        <f aca="false">MOD(C1442,Pemetaan!$B$4)</f>
        <v>15</v>
      </c>
      <c r="F1442" s="0" t="n">
        <f aca="false">IF(B1442="PRODUKSI",Pemetaan!$B$5,Pemetaan!$B$6)</f>
        <v>46</v>
      </c>
      <c r="G1442" s="0" t="n">
        <f aca="false">F1442+2+D1442</f>
        <v>69</v>
      </c>
      <c r="H1442" s="0" t="n">
        <f aca="false">Pemetaan!$B$2+E1442</f>
        <v>20</v>
      </c>
      <c r="I1442" s="0" t="str">
        <f aca="false">INDEX(Laporan!$A$1:$AZ$300,G1442,1)</f>
        <v>Mixing</v>
      </c>
      <c r="J1442" s="0" t="str">
        <f aca="false">INDEX(Laporan!$A$1:$AZ$300,G1442,2)</f>
        <v>330 ml</v>
      </c>
      <c r="K1442" s="0" t="str">
        <f aca="false">INDEX(Laporan!$A$1:$AZ$300,G1442,3)</f>
        <v>Shift 2</v>
      </c>
      <c r="L1442" s="0" t="n">
        <f aca="false">INDEX(Laporan!$A$1:$AZ$300,G1442,4)</f>
        <v>1</v>
      </c>
      <c r="M1442" s="1" t="n">
        <f aca="false">DATE(Pemetaan!$B$1,VALUE(RIGHT(INDEX(Laporan!$A$1:$AZ$300,F1442+1,H1442),2)),VALUE(LEFT(INDEX(Laporan!$A$1:$AZ$300,F1442+1,H1442),2)))</f>
        <v>46104</v>
      </c>
      <c r="N1442" s="0" t="n">
        <f aca="false">INDEX(Laporan!$A$1:$AZ$300,G1442,H1442)</f>
        <v>15</v>
      </c>
      <c r="O1442" s="0" t="n">
        <f aca="false">IF(N1442="","",IFERROR(VALUE(SUBSTITUTE(SUBSTITUTE(N1442," btl",""),".","")),""))</f>
        <v>15</v>
      </c>
      <c r="P1442" s="0" t="str">
        <f aca="false">IF(B1442="PRODUKSI","produced","reject")</f>
        <v>reject</v>
      </c>
    </row>
    <row r="1443" customFormat="false" ht="15" hidden="false" customHeight="false" outlineLevel="0" collapsed="false">
      <c r="A1443" s="0" t="n">
        <v>1442</v>
      </c>
      <c r="B1443" s="0" t="str">
        <f aca="false">IF(A1443&lt;=36*25,"PRODUKSI","REJECT")</f>
        <v>REJECT</v>
      </c>
      <c r="C1443" s="0" t="n">
        <f aca="false">MOD(A1443-1,Pemetaan!$B$3*Pemetaan!$B$4)</f>
        <v>541</v>
      </c>
      <c r="D1443" s="0" t="n">
        <f aca="false">INT(C1443/Pemetaan!$B$4)</f>
        <v>21</v>
      </c>
      <c r="E1443" s="0" t="n">
        <f aca="false">MOD(C1443,Pemetaan!$B$4)</f>
        <v>16</v>
      </c>
      <c r="F1443" s="0" t="n">
        <f aca="false">IF(B1443="PRODUKSI",Pemetaan!$B$5,Pemetaan!$B$6)</f>
        <v>46</v>
      </c>
      <c r="G1443" s="0" t="n">
        <f aca="false">F1443+2+D1443</f>
        <v>69</v>
      </c>
      <c r="H1443" s="0" t="n">
        <f aca="false">Pemetaan!$B$2+E1443</f>
        <v>21</v>
      </c>
      <c r="I1443" s="0" t="str">
        <f aca="false">INDEX(Laporan!$A$1:$AZ$300,G1443,1)</f>
        <v>Mixing</v>
      </c>
      <c r="J1443" s="0" t="str">
        <f aca="false">INDEX(Laporan!$A$1:$AZ$300,G1443,2)</f>
        <v>330 ml</v>
      </c>
      <c r="K1443" s="0" t="str">
        <f aca="false">INDEX(Laporan!$A$1:$AZ$300,G1443,3)</f>
        <v>Shift 2</v>
      </c>
      <c r="L1443" s="0" t="n">
        <f aca="false">INDEX(Laporan!$A$1:$AZ$300,G1443,4)</f>
        <v>1</v>
      </c>
      <c r="M1443" s="1" t="n">
        <f aca="false">DATE(Pemetaan!$B$1,VALUE(RIGHT(INDEX(Laporan!$A$1:$AZ$300,F1443+1,H1443),2)),VALUE(LEFT(INDEX(Laporan!$A$1:$AZ$300,F1443+1,H1443),2)))</f>
        <v>46105</v>
      </c>
      <c r="N1443" s="0" t="n">
        <f aca="false">INDEX(Laporan!$A$1:$AZ$300,G1443,H1443)</f>
        <v>17</v>
      </c>
      <c r="O1443" s="0" t="n">
        <f aca="false">IF(N1443="","",IFERROR(VALUE(SUBSTITUTE(SUBSTITUTE(N1443," btl",""),".","")),""))</f>
        <v>17</v>
      </c>
      <c r="P1443" s="0" t="str">
        <f aca="false">IF(B1443="PRODUKSI","produced","reject")</f>
        <v>reject</v>
      </c>
    </row>
    <row r="1444" customFormat="false" ht="15" hidden="false" customHeight="false" outlineLevel="0" collapsed="false">
      <c r="A1444" s="0" t="n">
        <v>1443</v>
      </c>
      <c r="B1444" s="0" t="str">
        <f aca="false">IF(A1444&lt;=36*25,"PRODUKSI","REJECT")</f>
        <v>REJECT</v>
      </c>
      <c r="C1444" s="0" t="n">
        <f aca="false">MOD(A1444-1,Pemetaan!$B$3*Pemetaan!$B$4)</f>
        <v>542</v>
      </c>
      <c r="D1444" s="0" t="n">
        <f aca="false">INT(C1444/Pemetaan!$B$4)</f>
        <v>21</v>
      </c>
      <c r="E1444" s="0" t="n">
        <f aca="false">MOD(C1444,Pemetaan!$B$4)</f>
        <v>17</v>
      </c>
      <c r="F1444" s="0" t="n">
        <f aca="false">IF(B1444="PRODUKSI",Pemetaan!$B$5,Pemetaan!$B$6)</f>
        <v>46</v>
      </c>
      <c r="G1444" s="0" t="n">
        <f aca="false">F1444+2+D1444</f>
        <v>69</v>
      </c>
      <c r="H1444" s="0" t="n">
        <f aca="false">Pemetaan!$B$2+E1444</f>
        <v>22</v>
      </c>
      <c r="I1444" s="0" t="str">
        <f aca="false">INDEX(Laporan!$A$1:$AZ$300,G1444,1)</f>
        <v>Mixing</v>
      </c>
      <c r="J1444" s="0" t="str">
        <f aca="false">INDEX(Laporan!$A$1:$AZ$300,G1444,2)</f>
        <v>330 ml</v>
      </c>
      <c r="K1444" s="0" t="str">
        <f aca="false">INDEX(Laporan!$A$1:$AZ$300,G1444,3)</f>
        <v>Shift 2</v>
      </c>
      <c r="L1444" s="0" t="n">
        <f aca="false">INDEX(Laporan!$A$1:$AZ$300,G1444,4)</f>
        <v>1</v>
      </c>
      <c r="M1444" s="1" t="n">
        <f aca="false">DATE(Pemetaan!$B$1,VALUE(RIGHT(INDEX(Laporan!$A$1:$AZ$300,F1444+1,H1444),2)),VALUE(LEFT(INDEX(Laporan!$A$1:$AZ$300,F1444+1,H1444),2)))</f>
        <v>46106</v>
      </c>
      <c r="N1444" s="0" t="n">
        <f aca="false">INDEX(Laporan!$A$1:$AZ$300,G1444,H1444)</f>
        <v>13</v>
      </c>
      <c r="O1444" s="0" t="n">
        <f aca="false">IF(N1444="","",IFERROR(VALUE(SUBSTITUTE(SUBSTITUTE(N1444," btl",""),".","")),""))</f>
        <v>13</v>
      </c>
      <c r="P1444" s="0" t="str">
        <f aca="false">IF(B1444="PRODUKSI","produced","reject")</f>
        <v>reject</v>
      </c>
    </row>
    <row r="1445" customFormat="false" ht="15" hidden="false" customHeight="false" outlineLevel="0" collapsed="false">
      <c r="A1445" s="0" t="n">
        <v>1444</v>
      </c>
      <c r="B1445" s="0" t="str">
        <f aca="false">IF(A1445&lt;=36*25,"PRODUKSI","REJECT")</f>
        <v>REJECT</v>
      </c>
      <c r="C1445" s="0" t="n">
        <f aca="false">MOD(A1445-1,Pemetaan!$B$3*Pemetaan!$B$4)</f>
        <v>543</v>
      </c>
      <c r="D1445" s="0" t="n">
        <f aca="false">INT(C1445/Pemetaan!$B$4)</f>
        <v>21</v>
      </c>
      <c r="E1445" s="0" t="n">
        <f aca="false">MOD(C1445,Pemetaan!$B$4)</f>
        <v>18</v>
      </c>
      <c r="F1445" s="0" t="n">
        <f aca="false">IF(B1445="PRODUKSI",Pemetaan!$B$5,Pemetaan!$B$6)</f>
        <v>46</v>
      </c>
      <c r="G1445" s="0" t="n">
        <f aca="false">F1445+2+D1445</f>
        <v>69</v>
      </c>
      <c r="H1445" s="0" t="n">
        <f aca="false">Pemetaan!$B$2+E1445</f>
        <v>23</v>
      </c>
      <c r="I1445" s="0" t="str">
        <f aca="false">INDEX(Laporan!$A$1:$AZ$300,G1445,1)</f>
        <v>Mixing</v>
      </c>
      <c r="J1445" s="0" t="str">
        <f aca="false">INDEX(Laporan!$A$1:$AZ$300,G1445,2)</f>
        <v>330 ml</v>
      </c>
      <c r="K1445" s="0" t="str">
        <f aca="false">INDEX(Laporan!$A$1:$AZ$300,G1445,3)</f>
        <v>Shift 2</v>
      </c>
      <c r="L1445" s="0" t="n">
        <f aca="false">INDEX(Laporan!$A$1:$AZ$300,G1445,4)</f>
        <v>1</v>
      </c>
      <c r="M1445" s="1" t="n">
        <f aca="false">DATE(Pemetaan!$B$1,VALUE(RIGHT(INDEX(Laporan!$A$1:$AZ$300,F1445+1,H1445),2)),VALUE(LEFT(INDEX(Laporan!$A$1:$AZ$300,F1445+1,H1445),2)))</f>
        <v>46107</v>
      </c>
      <c r="N1445" s="0" t="n">
        <f aca="false">INDEX(Laporan!$A$1:$AZ$300,G1445,H1445)</f>
        <v>6</v>
      </c>
      <c r="O1445" s="0" t="n">
        <f aca="false">IF(N1445="","",IFERROR(VALUE(SUBSTITUTE(SUBSTITUTE(N1445," btl",""),".","")),""))</f>
        <v>6</v>
      </c>
      <c r="P1445" s="0" t="str">
        <f aca="false">IF(B1445="PRODUKSI","produced","reject")</f>
        <v>reject</v>
      </c>
    </row>
    <row r="1446" customFormat="false" ht="15" hidden="false" customHeight="false" outlineLevel="0" collapsed="false">
      <c r="A1446" s="0" t="n">
        <v>1445</v>
      </c>
      <c r="B1446" s="0" t="str">
        <f aca="false">IF(A1446&lt;=36*25,"PRODUKSI","REJECT")</f>
        <v>REJECT</v>
      </c>
      <c r="C1446" s="0" t="n">
        <f aca="false">MOD(A1446-1,Pemetaan!$B$3*Pemetaan!$B$4)</f>
        <v>544</v>
      </c>
      <c r="D1446" s="0" t="n">
        <f aca="false">INT(C1446/Pemetaan!$B$4)</f>
        <v>21</v>
      </c>
      <c r="E1446" s="0" t="n">
        <f aca="false">MOD(C1446,Pemetaan!$B$4)</f>
        <v>19</v>
      </c>
      <c r="F1446" s="0" t="n">
        <f aca="false">IF(B1446="PRODUKSI",Pemetaan!$B$5,Pemetaan!$B$6)</f>
        <v>46</v>
      </c>
      <c r="G1446" s="0" t="n">
        <f aca="false">F1446+2+D1446</f>
        <v>69</v>
      </c>
      <c r="H1446" s="0" t="n">
        <f aca="false">Pemetaan!$B$2+E1446</f>
        <v>24</v>
      </c>
      <c r="I1446" s="0" t="str">
        <f aca="false">INDEX(Laporan!$A$1:$AZ$300,G1446,1)</f>
        <v>Mixing</v>
      </c>
      <c r="J1446" s="0" t="str">
        <f aca="false">INDEX(Laporan!$A$1:$AZ$300,G1446,2)</f>
        <v>330 ml</v>
      </c>
      <c r="K1446" s="0" t="str">
        <f aca="false">INDEX(Laporan!$A$1:$AZ$300,G1446,3)</f>
        <v>Shift 2</v>
      </c>
      <c r="L1446" s="0" t="n">
        <f aca="false">INDEX(Laporan!$A$1:$AZ$300,G1446,4)</f>
        <v>1</v>
      </c>
      <c r="M1446" s="1" t="n">
        <f aca="false">DATE(Pemetaan!$B$1,VALUE(RIGHT(INDEX(Laporan!$A$1:$AZ$300,F1446+1,H1446),2)),VALUE(LEFT(INDEX(Laporan!$A$1:$AZ$300,F1446+1,H1446),2)))</f>
        <v>46108</v>
      </c>
      <c r="N1446" s="0" t="n">
        <f aca="false">INDEX(Laporan!$A$1:$AZ$300,G1446,H1446)</f>
        <v>17</v>
      </c>
      <c r="O1446" s="0" t="n">
        <f aca="false">IF(N1446="","",IFERROR(VALUE(SUBSTITUTE(SUBSTITUTE(N1446," btl",""),".","")),""))</f>
        <v>17</v>
      </c>
      <c r="P1446" s="0" t="str">
        <f aca="false">IF(B1446="PRODUKSI","produced","reject")</f>
        <v>reject</v>
      </c>
    </row>
    <row r="1447" customFormat="false" ht="15" hidden="false" customHeight="false" outlineLevel="0" collapsed="false">
      <c r="A1447" s="0" t="n">
        <v>1446</v>
      </c>
      <c r="B1447" s="0" t="str">
        <f aca="false">IF(A1447&lt;=36*25,"PRODUKSI","REJECT")</f>
        <v>REJECT</v>
      </c>
      <c r="C1447" s="0" t="n">
        <f aca="false">MOD(A1447-1,Pemetaan!$B$3*Pemetaan!$B$4)</f>
        <v>545</v>
      </c>
      <c r="D1447" s="0" t="n">
        <f aca="false">INT(C1447/Pemetaan!$B$4)</f>
        <v>21</v>
      </c>
      <c r="E1447" s="0" t="n">
        <f aca="false">MOD(C1447,Pemetaan!$B$4)</f>
        <v>20</v>
      </c>
      <c r="F1447" s="0" t="n">
        <f aca="false">IF(B1447="PRODUKSI",Pemetaan!$B$5,Pemetaan!$B$6)</f>
        <v>46</v>
      </c>
      <c r="G1447" s="0" t="n">
        <f aca="false">F1447+2+D1447</f>
        <v>69</v>
      </c>
      <c r="H1447" s="0" t="n">
        <f aca="false">Pemetaan!$B$2+E1447</f>
        <v>25</v>
      </c>
      <c r="I1447" s="0" t="str">
        <f aca="false">INDEX(Laporan!$A$1:$AZ$300,G1447,1)</f>
        <v>Mixing</v>
      </c>
      <c r="J1447" s="0" t="str">
        <f aca="false">INDEX(Laporan!$A$1:$AZ$300,G1447,2)</f>
        <v>330 ml</v>
      </c>
      <c r="K1447" s="0" t="str">
        <f aca="false">INDEX(Laporan!$A$1:$AZ$300,G1447,3)</f>
        <v>Shift 2</v>
      </c>
      <c r="L1447" s="0" t="n">
        <f aca="false">INDEX(Laporan!$A$1:$AZ$300,G1447,4)</f>
        <v>1</v>
      </c>
      <c r="M1447" s="1" t="n">
        <f aca="false">DATE(Pemetaan!$B$1,VALUE(RIGHT(INDEX(Laporan!$A$1:$AZ$300,F1447+1,H1447),2)),VALUE(LEFT(INDEX(Laporan!$A$1:$AZ$300,F1447+1,H1447),2)))</f>
        <v>46111</v>
      </c>
      <c r="N1447" s="0" t="n">
        <f aca="false">INDEX(Laporan!$A$1:$AZ$300,G1447,H1447)</f>
        <v>12</v>
      </c>
      <c r="O1447" s="0" t="n">
        <f aca="false">IF(N1447="","",IFERROR(VALUE(SUBSTITUTE(SUBSTITUTE(N1447," btl",""),".","")),""))</f>
        <v>12</v>
      </c>
      <c r="P1447" s="0" t="str">
        <f aca="false">IF(B1447="PRODUKSI","produced","reject")</f>
        <v>reject</v>
      </c>
    </row>
    <row r="1448" customFormat="false" ht="15" hidden="false" customHeight="false" outlineLevel="0" collapsed="false">
      <c r="A1448" s="0" t="n">
        <v>1447</v>
      </c>
      <c r="B1448" s="0" t="str">
        <f aca="false">IF(A1448&lt;=36*25,"PRODUKSI","REJECT")</f>
        <v>REJECT</v>
      </c>
      <c r="C1448" s="0" t="n">
        <f aca="false">MOD(A1448-1,Pemetaan!$B$3*Pemetaan!$B$4)</f>
        <v>546</v>
      </c>
      <c r="D1448" s="0" t="n">
        <f aca="false">INT(C1448/Pemetaan!$B$4)</f>
        <v>21</v>
      </c>
      <c r="E1448" s="0" t="n">
        <f aca="false">MOD(C1448,Pemetaan!$B$4)</f>
        <v>21</v>
      </c>
      <c r="F1448" s="0" t="n">
        <f aca="false">IF(B1448="PRODUKSI",Pemetaan!$B$5,Pemetaan!$B$6)</f>
        <v>46</v>
      </c>
      <c r="G1448" s="0" t="n">
        <f aca="false">F1448+2+D1448</f>
        <v>69</v>
      </c>
      <c r="H1448" s="0" t="n">
        <f aca="false">Pemetaan!$B$2+E1448</f>
        <v>26</v>
      </c>
      <c r="I1448" s="0" t="str">
        <f aca="false">INDEX(Laporan!$A$1:$AZ$300,G1448,1)</f>
        <v>Mixing</v>
      </c>
      <c r="J1448" s="0" t="str">
        <f aca="false">INDEX(Laporan!$A$1:$AZ$300,G1448,2)</f>
        <v>330 ml</v>
      </c>
      <c r="K1448" s="0" t="str">
        <f aca="false">INDEX(Laporan!$A$1:$AZ$300,G1448,3)</f>
        <v>Shift 2</v>
      </c>
      <c r="L1448" s="0" t="n">
        <f aca="false">INDEX(Laporan!$A$1:$AZ$300,G1448,4)</f>
        <v>1</v>
      </c>
      <c r="M1448" s="1" t="n">
        <f aca="false">DATE(Pemetaan!$B$1,VALUE(RIGHT(INDEX(Laporan!$A$1:$AZ$300,F1448+1,H1448),2)),VALUE(LEFT(INDEX(Laporan!$A$1:$AZ$300,F1448+1,H1448),2)))</f>
        <v>46112</v>
      </c>
      <c r="N1448" s="0" t="n">
        <f aca="false">INDEX(Laporan!$A$1:$AZ$300,G1448,H1448)</f>
        <v>18</v>
      </c>
      <c r="O1448" s="0" t="n">
        <f aca="false">IF(N1448="","",IFERROR(VALUE(SUBSTITUTE(SUBSTITUTE(N1448," btl",""),".","")),""))</f>
        <v>18</v>
      </c>
      <c r="P1448" s="0" t="str">
        <f aca="false">IF(B1448="PRODUKSI","produced","reject")</f>
        <v>reject</v>
      </c>
    </row>
    <row r="1449" customFormat="false" ht="15" hidden="false" customHeight="false" outlineLevel="0" collapsed="false">
      <c r="A1449" s="0" t="n">
        <v>1448</v>
      </c>
      <c r="B1449" s="0" t="str">
        <f aca="false">IF(A1449&lt;=36*25,"PRODUKSI","REJECT")</f>
        <v>REJECT</v>
      </c>
      <c r="C1449" s="0" t="n">
        <f aca="false">MOD(A1449-1,Pemetaan!$B$3*Pemetaan!$B$4)</f>
        <v>547</v>
      </c>
      <c r="D1449" s="0" t="n">
        <f aca="false">INT(C1449/Pemetaan!$B$4)</f>
        <v>21</v>
      </c>
      <c r="E1449" s="0" t="n">
        <f aca="false">MOD(C1449,Pemetaan!$B$4)</f>
        <v>22</v>
      </c>
      <c r="F1449" s="0" t="n">
        <f aca="false">IF(B1449="PRODUKSI",Pemetaan!$B$5,Pemetaan!$B$6)</f>
        <v>46</v>
      </c>
      <c r="G1449" s="0" t="n">
        <f aca="false">F1449+2+D1449</f>
        <v>69</v>
      </c>
      <c r="H1449" s="0" t="n">
        <f aca="false">Pemetaan!$B$2+E1449</f>
        <v>27</v>
      </c>
      <c r="I1449" s="0" t="str">
        <f aca="false">INDEX(Laporan!$A$1:$AZ$300,G1449,1)</f>
        <v>Mixing</v>
      </c>
      <c r="J1449" s="0" t="str">
        <f aca="false">INDEX(Laporan!$A$1:$AZ$300,G1449,2)</f>
        <v>330 ml</v>
      </c>
      <c r="K1449" s="0" t="str">
        <f aca="false">INDEX(Laporan!$A$1:$AZ$300,G1449,3)</f>
        <v>Shift 2</v>
      </c>
      <c r="L1449" s="0" t="n">
        <f aca="false">INDEX(Laporan!$A$1:$AZ$300,G1449,4)</f>
        <v>1</v>
      </c>
      <c r="M1449" s="1" t="n">
        <f aca="false">DATE(Pemetaan!$B$1,VALUE(RIGHT(INDEX(Laporan!$A$1:$AZ$300,F1449+1,H1449),2)),VALUE(LEFT(INDEX(Laporan!$A$1:$AZ$300,F1449+1,H1449),2)))</f>
        <v>46113</v>
      </c>
      <c r="N1449" s="0" t="n">
        <f aca="false">INDEX(Laporan!$A$1:$AZ$300,G1449,H1449)</f>
        <v>22</v>
      </c>
      <c r="O1449" s="0" t="n">
        <f aca="false">IF(N1449="","",IFERROR(VALUE(SUBSTITUTE(SUBSTITUTE(N1449," btl",""),".","")),""))</f>
        <v>22</v>
      </c>
      <c r="P1449" s="0" t="str">
        <f aca="false">IF(B1449="PRODUKSI","produced","reject")</f>
        <v>reject</v>
      </c>
    </row>
    <row r="1450" customFormat="false" ht="15" hidden="false" customHeight="false" outlineLevel="0" collapsed="false">
      <c r="A1450" s="0" t="n">
        <v>1449</v>
      </c>
      <c r="B1450" s="0" t="str">
        <f aca="false">IF(A1450&lt;=36*25,"PRODUKSI","REJECT")</f>
        <v>REJECT</v>
      </c>
      <c r="C1450" s="0" t="n">
        <f aca="false">MOD(A1450-1,Pemetaan!$B$3*Pemetaan!$B$4)</f>
        <v>548</v>
      </c>
      <c r="D1450" s="0" t="n">
        <f aca="false">INT(C1450/Pemetaan!$B$4)</f>
        <v>21</v>
      </c>
      <c r="E1450" s="0" t="n">
        <f aca="false">MOD(C1450,Pemetaan!$B$4)</f>
        <v>23</v>
      </c>
      <c r="F1450" s="0" t="n">
        <f aca="false">IF(B1450="PRODUKSI",Pemetaan!$B$5,Pemetaan!$B$6)</f>
        <v>46</v>
      </c>
      <c r="G1450" s="0" t="n">
        <f aca="false">F1450+2+D1450</f>
        <v>69</v>
      </c>
      <c r="H1450" s="0" t="n">
        <f aca="false">Pemetaan!$B$2+E1450</f>
        <v>28</v>
      </c>
      <c r="I1450" s="0" t="str">
        <f aca="false">INDEX(Laporan!$A$1:$AZ$300,G1450,1)</f>
        <v>Mixing</v>
      </c>
      <c r="J1450" s="0" t="str">
        <f aca="false">INDEX(Laporan!$A$1:$AZ$300,G1450,2)</f>
        <v>330 ml</v>
      </c>
      <c r="K1450" s="0" t="str">
        <f aca="false">INDEX(Laporan!$A$1:$AZ$300,G1450,3)</f>
        <v>Shift 2</v>
      </c>
      <c r="L1450" s="0" t="n">
        <f aca="false">INDEX(Laporan!$A$1:$AZ$300,G1450,4)</f>
        <v>1</v>
      </c>
      <c r="M1450" s="1" t="n">
        <f aca="false">DATE(Pemetaan!$B$1,VALUE(RIGHT(INDEX(Laporan!$A$1:$AZ$300,F1450+1,H1450),2)),VALUE(LEFT(INDEX(Laporan!$A$1:$AZ$300,F1450+1,H1450),2)))</f>
        <v>46114</v>
      </c>
      <c r="N1450" s="0" t="n">
        <f aca="false">INDEX(Laporan!$A$1:$AZ$300,G1450,H1450)</f>
        <v>16</v>
      </c>
      <c r="O1450" s="0" t="n">
        <f aca="false">IF(N1450="","",IFERROR(VALUE(SUBSTITUTE(SUBSTITUTE(N1450," btl",""),".","")),""))</f>
        <v>16</v>
      </c>
      <c r="P1450" s="0" t="str">
        <f aca="false">IF(B1450="PRODUKSI","produced","reject")</f>
        <v>reject</v>
      </c>
    </row>
    <row r="1451" customFormat="false" ht="15" hidden="false" customHeight="false" outlineLevel="0" collapsed="false">
      <c r="A1451" s="0" t="n">
        <v>1450</v>
      </c>
      <c r="B1451" s="0" t="str">
        <f aca="false">IF(A1451&lt;=36*25,"PRODUKSI","REJECT")</f>
        <v>REJECT</v>
      </c>
      <c r="C1451" s="0" t="n">
        <f aca="false">MOD(A1451-1,Pemetaan!$B$3*Pemetaan!$B$4)</f>
        <v>549</v>
      </c>
      <c r="D1451" s="0" t="n">
        <f aca="false">INT(C1451/Pemetaan!$B$4)</f>
        <v>21</v>
      </c>
      <c r="E1451" s="0" t="n">
        <f aca="false">MOD(C1451,Pemetaan!$B$4)</f>
        <v>24</v>
      </c>
      <c r="F1451" s="0" t="n">
        <f aca="false">IF(B1451="PRODUKSI",Pemetaan!$B$5,Pemetaan!$B$6)</f>
        <v>46</v>
      </c>
      <c r="G1451" s="0" t="n">
        <f aca="false">F1451+2+D1451</f>
        <v>69</v>
      </c>
      <c r="H1451" s="0" t="n">
        <f aca="false">Pemetaan!$B$2+E1451</f>
        <v>29</v>
      </c>
      <c r="I1451" s="0" t="str">
        <f aca="false">INDEX(Laporan!$A$1:$AZ$300,G1451,1)</f>
        <v>Mixing</v>
      </c>
      <c r="J1451" s="0" t="str">
        <f aca="false">INDEX(Laporan!$A$1:$AZ$300,G1451,2)</f>
        <v>330 ml</v>
      </c>
      <c r="K1451" s="0" t="str">
        <f aca="false">INDEX(Laporan!$A$1:$AZ$300,G1451,3)</f>
        <v>Shift 2</v>
      </c>
      <c r="L1451" s="0" t="n">
        <f aca="false">INDEX(Laporan!$A$1:$AZ$300,G1451,4)</f>
        <v>1</v>
      </c>
      <c r="M1451" s="1" t="n">
        <f aca="false">DATE(Pemetaan!$B$1,VALUE(RIGHT(INDEX(Laporan!$A$1:$AZ$300,F1451+1,H1451),2)),VALUE(LEFT(INDEX(Laporan!$A$1:$AZ$300,F1451+1,H1451),2)))</f>
        <v>46115</v>
      </c>
      <c r="N1451" s="0" t="n">
        <f aca="false">INDEX(Laporan!$A$1:$AZ$300,G1451,H1451)</f>
        <v>19</v>
      </c>
      <c r="O1451" s="0" t="n">
        <f aca="false">IF(N1451="","",IFERROR(VALUE(SUBSTITUTE(SUBSTITUTE(N1451," btl",""),".","")),""))</f>
        <v>19</v>
      </c>
      <c r="P1451" s="0" t="str">
        <f aca="false">IF(B1451="PRODUKSI","produced","reject")</f>
        <v>reject</v>
      </c>
    </row>
    <row r="1452" customFormat="false" ht="15" hidden="false" customHeight="false" outlineLevel="0" collapsed="false">
      <c r="A1452" s="0" t="n">
        <v>1451</v>
      </c>
      <c r="B1452" s="0" t="str">
        <f aca="false">IF(A1452&lt;=36*25,"PRODUKSI","REJECT")</f>
        <v>REJECT</v>
      </c>
      <c r="C1452" s="0" t="n">
        <f aca="false">MOD(A1452-1,Pemetaan!$B$3*Pemetaan!$B$4)</f>
        <v>550</v>
      </c>
      <c r="D1452" s="0" t="n">
        <f aca="false">INT(C1452/Pemetaan!$B$4)</f>
        <v>22</v>
      </c>
      <c r="E1452" s="0" t="n">
        <f aca="false">MOD(C1452,Pemetaan!$B$4)</f>
        <v>0</v>
      </c>
      <c r="F1452" s="0" t="n">
        <f aca="false">IF(B1452="PRODUKSI",Pemetaan!$B$5,Pemetaan!$B$6)</f>
        <v>46</v>
      </c>
      <c r="G1452" s="0" t="n">
        <f aca="false">F1452+2+D1452</f>
        <v>70</v>
      </c>
      <c r="H1452" s="0" t="n">
        <f aca="false">Pemetaan!$B$2+E1452</f>
        <v>5</v>
      </c>
      <c r="I1452" s="0" t="str">
        <f aca="false">INDEX(Laporan!$A$1:$AZ$300,G1452,1)</f>
        <v>Mixing</v>
      </c>
      <c r="J1452" s="0" t="str">
        <f aca="false">INDEX(Laporan!$A$1:$AZ$300,G1452,2)</f>
        <v>330 ml</v>
      </c>
      <c r="K1452" s="0" t="str">
        <f aca="false">INDEX(Laporan!$A$1:$AZ$300,G1452,3)</f>
        <v>Shift 2</v>
      </c>
      <c r="L1452" s="0" t="n">
        <f aca="false">INDEX(Laporan!$A$1:$AZ$300,G1452,4)</f>
        <v>2</v>
      </c>
      <c r="M1452" s="1" t="n">
        <f aca="false">DATE(Pemetaan!$B$1,VALUE(RIGHT(INDEX(Laporan!$A$1:$AZ$300,F1452+1,H1452),2)),VALUE(LEFT(INDEX(Laporan!$A$1:$AZ$300,F1452+1,H1452),2)))</f>
        <v>46083</v>
      </c>
      <c r="N1452" s="0" t="n">
        <f aca="false">INDEX(Laporan!$A$1:$AZ$300,G1452,H1452)</f>
        <v>16</v>
      </c>
      <c r="O1452" s="0" t="n">
        <f aca="false">IF(N1452="","",IFERROR(VALUE(SUBSTITUTE(SUBSTITUTE(N1452," btl",""),".","")),""))</f>
        <v>16</v>
      </c>
      <c r="P1452" s="0" t="str">
        <f aca="false">IF(B1452="PRODUKSI","produced","reject")</f>
        <v>reject</v>
      </c>
    </row>
    <row r="1453" customFormat="false" ht="15" hidden="false" customHeight="false" outlineLevel="0" collapsed="false">
      <c r="A1453" s="0" t="n">
        <v>1452</v>
      </c>
      <c r="B1453" s="0" t="str">
        <f aca="false">IF(A1453&lt;=36*25,"PRODUKSI","REJECT")</f>
        <v>REJECT</v>
      </c>
      <c r="C1453" s="0" t="n">
        <f aca="false">MOD(A1453-1,Pemetaan!$B$3*Pemetaan!$B$4)</f>
        <v>551</v>
      </c>
      <c r="D1453" s="0" t="n">
        <f aca="false">INT(C1453/Pemetaan!$B$4)</f>
        <v>22</v>
      </c>
      <c r="E1453" s="0" t="n">
        <f aca="false">MOD(C1453,Pemetaan!$B$4)</f>
        <v>1</v>
      </c>
      <c r="F1453" s="0" t="n">
        <f aca="false">IF(B1453="PRODUKSI",Pemetaan!$B$5,Pemetaan!$B$6)</f>
        <v>46</v>
      </c>
      <c r="G1453" s="0" t="n">
        <f aca="false">F1453+2+D1453</f>
        <v>70</v>
      </c>
      <c r="H1453" s="0" t="n">
        <f aca="false">Pemetaan!$B$2+E1453</f>
        <v>6</v>
      </c>
      <c r="I1453" s="0" t="str">
        <f aca="false">INDEX(Laporan!$A$1:$AZ$300,G1453,1)</f>
        <v>Mixing</v>
      </c>
      <c r="J1453" s="0" t="str">
        <f aca="false">INDEX(Laporan!$A$1:$AZ$300,G1453,2)</f>
        <v>330 ml</v>
      </c>
      <c r="K1453" s="0" t="str">
        <f aca="false">INDEX(Laporan!$A$1:$AZ$300,G1453,3)</f>
        <v>Shift 2</v>
      </c>
      <c r="L1453" s="0" t="n">
        <f aca="false">INDEX(Laporan!$A$1:$AZ$300,G1453,4)</f>
        <v>2</v>
      </c>
      <c r="M1453" s="1" t="n">
        <f aca="false">DATE(Pemetaan!$B$1,VALUE(RIGHT(INDEX(Laporan!$A$1:$AZ$300,F1453+1,H1453),2)),VALUE(LEFT(INDEX(Laporan!$A$1:$AZ$300,F1453+1,H1453),2)))</f>
        <v>46084</v>
      </c>
      <c r="N1453" s="0" t="n">
        <f aca="false">INDEX(Laporan!$A$1:$AZ$300,G1453,H1453)</f>
        <v>19</v>
      </c>
      <c r="O1453" s="0" t="n">
        <f aca="false">IF(N1453="","",IFERROR(VALUE(SUBSTITUTE(SUBSTITUTE(N1453," btl",""),".","")),""))</f>
        <v>19</v>
      </c>
      <c r="P1453" s="0" t="str">
        <f aca="false">IF(B1453="PRODUKSI","produced","reject")</f>
        <v>reject</v>
      </c>
    </row>
    <row r="1454" customFormat="false" ht="15" hidden="false" customHeight="false" outlineLevel="0" collapsed="false">
      <c r="A1454" s="0" t="n">
        <v>1453</v>
      </c>
      <c r="B1454" s="0" t="str">
        <f aca="false">IF(A1454&lt;=36*25,"PRODUKSI","REJECT")</f>
        <v>REJECT</v>
      </c>
      <c r="C1454" s="0" t="n">
        <f aca="false">MOD(A1454-1,Pemetaan!$B$3*Pemetaan!$B$4)</f>
        <v>552</v>
      </c>
      <c r="D1454" s="0" t="n">
        <f aca="false">INT(C1454/Pemetaan!$B$4)</f>
        <v>22</v>
      </c>
      <c r="E1454" s="0" t="n">
        <f aca="false">MOD(C1454,Pemetaan!$B$4)</f>
        <v>2</v>
      </c>
      <c r="F1454" s="0" t="n">
        <f aca="false">IF(B1454="PRODUKSI",Pemetaan!$B$5,Pemetaan!$B$6)</f>
        <v>46</v>
      </c>
      <c r="G1454" s="0" t="n">
        <f aca="false">F1454+2+D1454</f>
        <v>70</v>
      </c>
      <c r="H1454" s="0" t="n">
        <f aca="false">Pemetaan!$B$2+E1454</f>
        <v>7</v>
      </c>
      <c r="I1454" s="0" t="str">
        <f aca="false">INDEX(Laporan!$A$1:$AZ$300,G1454,1)</f>
        <v>Mixing</v>
      </c>
      <c r="J1454" s="0" t="str">
        <f aca="false">INDEX(Laporan!$A$1:$AZ$300,G1454,2)</f>
        <v>330 ml</v>
      </c>
      <c r="K1454" s="0" t="str">
        <f aca="false">INDEX(Laporan!$A$1:$AZ$300,G1454,3)</f>
        <v>Shift 2</v>
      </c>
      <c r="L1454" s="0" t="n">
        <f aca="false">INDEX(Laporan!$A$1:$AZ$300,G1454,4)</f>
        <v>2</v>
      </c>
      <c r="M1454" s="1" t="n">
        <f aca="false">DATE(Pemetaan!$B$1,VALUE(RIGHT(INDEX(Laporan!$A$1:$AZ$300,F1454+1,H1454),2)),VALUE(LEFT(INDEX(Laporan!$A$1:$AZ$300,F1454+1,H1454),2)))</f>
        <v>46085</v>
      </c>
      <c r="N1454" s="0" t="str">
        <f aca="false">INDEX(Laporan!$A$1:$AZ$300,G1454,H1454)</f>
        <v>17 btl</v>
      </c>
      <c r="O1454" s="0" t="n">
        <f aca="false">IF(N1454="","",IFERROR(VALUE(SUBSTITUTE(SUBSTITUTE(N1454," btl",""),".","")),""))</f>
        <v>17</v>
      </c>
      <c r="P1454" s="0" t="str">
        <f aca="false">IF(B1454="PRODUKSI","produced","reject")</f>
        <v>reject</v>
      </c>
    </row>
    <row r="1455" customFormat="false" ht="15" hidden="false" customHeight="false" outlineLevel="0" collapsed="false">
      <c r="A1455" s="0" t="n">
        <v>1454</v>
      </c>
      <c r="B1455" s="0" t="str">
        <f aca="false">IF(A1455&lt;=36*25,"PRODUKSI","REJECT")</f>
        <v>REJECT</v>
      </c>
      <c r="C1455" s="0" t="n">
        <f aca="false">MOD(A1455-1,Pemetaan!$B$3*Pemetaan!$B$4)</f>
        <v>553</v>
      </c>
      <c r="D1455" s="0" t="n">
        <f aca="false">INT(C1455/Pemetaan!$B$4)</f>
        <v>22</v>
      </c>
      <c r="E1455" s="0" t="n">
        <f aca="false">MOD(C1455,Pemetaan!$B$4)</f>
        <v>3</v>
      </c>
      <c r="F1455" s="0" t="n">
        <f aca="false">IF(B1455="PRODUKSI",Pemetaan!$B$5,Pemetaan!$B$6)</f>
        <v>46</v>
      </c>
      <c r="G1455" s="0" t="n">
        <f aca="false">F1455+2+D1455</f>
        <v>70</v>
      </c>
      <c r="H1455" s="0" t="n">
        <f aca="false">Pemetaan!$B$2+E1455</f>
        <v>8</v>
      </c>
      <c r="I1455" s="0" t="str">
        <f aca="false">INDEX(Laporan!$A$1:$AZ$300,G1455,1)</f>
        <v>Mixing</v>
      </c>
      <c r="J1455" s="0" t="str">
        <f aca="false">INDEX(Laporan!$A$1:$AZ$300,G1455,2)</f>
        <v>330 ml</v>
      </c>
      <c r="K1455" s="0" t="str">
        <f aca="false">INDEX(Laporan!$A$1:$AZ$300,G1455,3)</f>
        <v>Shift 2</v>
      </c>
      <c r="L1455" s="0" t="n">
        <f aca="false">INDEX(Laporan!$A$1:$AZ$300,G1455,4)</f>
        <v>2</v>
      </c>
      <c r="M1455" s="1" t="n">
        <f aca="false">DATE(Pemetaan!$B$1,VALUE(RIGHT(INDEX(Laporan!$A$1:$AZ$300,F1455+1,H1455),2)),VALUE(LEFT(INDEX(Laporan!$A$1:$AZ$300,F1455+1,H1455),2)))</f>
        <v>46086</v>
      </c>
      <c r="N1455" s="0" t="n">
        <f aca="false">INDEX(Laporan!$A$1:$AZ$300,G1455,H1455)</f>
        <v>27</v>
      </c>
      <c r="O1455" s="0" t="n">
        <f aca="false">IF(N1455="","",IFERROR(VALUE(SUBSTITUTE(SUBSTITUTE(N1455," btl",""),".","")),""))</f>
        <v>27</v>
      </c>
      <c r="P1455" s="0" t="str">
        <f aca="false">IF(B1455="PRODUKSI","produced","reject")</f>
        <v>reject</v>
      </c>
    </row>
    <row r="1456" customFormat="false" ht="15" hidden="false" customHeight="false" outlineLevel="0" collapsed="false">
      <c r="A1456" s="0" t="n">
        <v>1455</v>
      </c>
      <c r="B1456" s="0" t="str">
        <f aca="false">IF(A1456&lt;=36*25,"PRODUKSI","REJECT")</f>
        <v>REJECT</v>
      </c>
      <c r="C1456" s="0" t="n">
        <f aca="false">MOD(A1456-1,Pemetaan!$B$3*Pemetaan!$B$4)</f>
        <v>554</v>
      </c>
      <c r="D1456" s="0" t="n">
        <f aca="false">INT(C1456/Pemetaan!$B$4)</f>
        <v>22</v>
      </c>
      <c r="E1456" s="0" t="n">
        <f aca="false">MOD(C1456,Pemetaan!$B$4)</f>
        <v>4</v>
      </c>
      <c r="F1456" s="0" t="n">
        <f aca="false">IF(B1456="PRODUKSI",Pemetaan!$B$5,Pemetaan!$B$6)</f>
        <v>46</v>
      </c>
      <c r="G1456" s="0" t="n">
        <f aca="false">F1456+2+D1456</f>
        <v>70</v>
      </c>
      <c r="H1456" s="0" t="n">
        <f aca="false">Pemetaan!$B$2+E1456</f>
        <v>9</v>
      </c>
      <c r="I1456" s="0" t="str">
        <f aca="false">INDEX(Laporan!$A$1:$AZ$300,G1456,1)</f>
        <v>Mixing</v>
      </c>
      <c r="J1456" s="0" t="str">
        <f aca="false">INDEX(Laporan!$A$1:$AZ$300,G1456,2)</f>
        <v>330 ml</v>
      </c>
      <c r="K1456" s="0" t="str">
        <f aca="false">INDEX(Laporan!$A$1:$AZ$300,G1456,3)</f>
        <v>Shift 2</v>
      </c>
      <c r="L1456" s="0" t="n">
        <f aca="false">INDEX(Laporan!$A$1:$AZ$300,G1456,4)</f>
        <v>2</v>
      </c>
      <c r="M1456" s="1" t="n">
        <f aca="false">DATE(Pemetaan!$B$1,VALUE(RIGHT(INDEX(Laporan!$A$1:$AZ$300,F1456+1,H1456),2)),VALUE(LEFT(INDEX(Laporan!$A$1:$AZ$300,F1456+1,H1456),2)))</f>
        <v>46087</v>
      </c>
      <c r="N1456" s="0" t="n">
        <f aca="false">INDEX(Laporan!$A$1:$AZ$300,G1456,H1456)</f>
        <v>11</v>
      </c>
      <c r="O1456" s="0" t="n">
        <f aca="false">IF(N1456="","",IFERROR(VALUE(SUBSTITUTE(SUBSTITUTE(N1456," btl",""),".","")),""))</f>
        <v>11</v>
      </c>
      <c r="P1456" s="0" t="str">
        <f aca="false">IF(B1456="PRODUKSI","produced","reject")</f>
        <v>reject</v>
      </c>
    </row>
    <row r="1457" customFormat="false" ht="15" hidden="false" customHeight="false" outlineLevel="0" collapsed="false">
      <c r="A1457" s="0" t="n">
        <v>1456</v>
      </c>
      <c r="B1457" s="0" t="str">
        <f aca="false">IF(A1457&lt;=36*25,"PRODUKSI","REJECT")</f>
        <v>REJECT</v>
      </c>
      <c r="C1457" s="0" t="n">
        <f aca="false">MOD(A1457-1,Pemetaan!$B$3*Pemetaan!$B$4)</f>
        <v>555</v>
      </c>
      <c r="D1457" s="0" t="n">
        <f aca="false">INT(C1457/Pemetaan!$B$4)</f>
        <v>22</v>
      </c>
      <c r="E1457" s="0" t="n">
        <f aca="false">MOD(C1457,Pemetaan!$B$4)</f>
        <v>5</v>
      </c>
      <c r="F1457" s="0" t="n">
        <f aca="false">IF(B1457="PRODUKSI",Pemetaan!$B$5,Pemetaan!$B$6)</f>
        <v>46</v>
      </c>
      <c r="G1457" s="0" t="n">
        <f aca="false">F1457+2+D1457</f>
        <v>70</v>
      </c>
      <c r="H1457" s="0" t="n">
        <f aca="false">Pemetaan!$B$2+E1457</f>
        <v>10</v>
      </c>
      <c r="I1457" s="0" t="str">
        <f aca="false">INDEX(Laporan!$A$1:$AZ$300,G1457,1)</f>
        <v>Mixing</v>
      </c>
      <c r="J1457" s="0" t="str">
        <f aca="false">INDEX(Laporan!$A$1:$AZ$300,G1457,2)</f>
        <v>330 ml</v>
      </c>
      <c r="K1457" s="0" t="str">
        <f aca="false">INDEX(Laporan!$A$1:$AZ$300,G1457,3)</f>
        <v>Shift 2</v>
      </c>
      <c r="L1457" s="0" t="n">
        <f aca="false">INDEX(Laporan!$A$1:$AZ$300,G1457,4)</f>
        <v>2</v>
      </c>
      <c r="M1457" s="1" t="n">
        <f aca="false">DATE(Pemetaan!$B$1,VALUE(RIGHT(INDEX(Laporan!$A$1:$AZ$300,F1457+1,H1457),2)),VALUE(LEFT(INDEX(Laporan!$A$1:$AZ$300,F1457+1,H1457),2)))</f>
        <v>46090</v>
      </c>
      <c r="N1457" s="0" t="n">
        <f aca="false">INDEX(Laporan!$A$1:$AZ$300,G1457,H1457)</f>
        <v>17</v>
      </c>
      <c r="O1457" s="0" t="n">
        <f aca="false">IF(N1457="","",IFERROR(VALUE(SUBSTITUTE(SUBSTITUTE(N1457," btl",""),".","")),""))</f>
        <v>17</v>
      </c>
      <c r="P1457" s="0" t="str">
        <f aca="false">IF(B1457="PRODUKSI","produced","reject")</f>
        <v>reject</v>
      </c>
    </row>
    <row r="1458" customFormat="false" ht="15" hidden="false" customHeight="false" outlineLevel="0" collapsed="false">
      <c r="A1458" s="0" t="n">
        <v>1457</v>
      </c>
      <c r="B1458" s="0" t="str">
        <f aca="false">IF(A1458&lt;=36*25,"PRODUKSI","REJECT")</f>
        <v>REJECT</v>
      </c>
      <c r="C1458" s="0" t="n">
        <f aca="false">MOD(A1458-1,Pemetaan!$B$3*Pemetaan!$B$4)</f>
        <v>556</v>
      </c>
      <c r="D1458" s="0" t="n">
        <f aca="false">INT(C1458/Pemetaan!$B$4)</f>
        <v>22</v>
      </c>
      <c r="E1458" s="0" t="n">
        <f aca="false">MOD(C1458,Pemetaan!$B$4)</f>
        <v>6</v>
      </c>
      <c r="F1458" s="0" t="n">
        <f aca="false">IF(B1458="PRODUKSI",Pemetaan!$B$5,Pemetaan!$B$6)</f>
        <v>46</v>
      </c>
      <c r="G1458" s="0" t="n">
        <f aca="false">F1458+2+D1458</f>
        <v>70</v>
      </c>
      <c r="H1458" s="0" t="n">
        <f aca="false">Pemetaan!$B$2+E1458</f>
        <v>11</v>
      </c>
      <c r="I1458" s="0" t="str">
        <f aca="false">INDEX(Laporan!$A$1:$AZ$300,G1458,1)</f>
        <v>Mixing</v>
      </c>
      <c r="J1458" s="0" t="str">
        <f aca="false">INDEX(Laporan!$A$1:$AZ$300,G1458,2)</f>
        <v>330 ml</v>
      </c>
      <c r="K1458" s="0" t="str">
        <f aca="false">INDEX(Laporan!$A$1:$AZ$300,G1458,3)</f>
        <v>Shift 2</v>
      </c>
      <c r="L1458" s="0" t="n">
        <f aca="false">INDEX(Laporan!$A$1:$AZ$300,G1458,4)</f>
        <v>2</v>
      </c>
      <c r="M1458" s="1" t="n">
        <f aca="false">DATE(Pemetaan!$B$1,VALUE(RIGHT(INDEX(Laporan!$A$1:$AZ$300,F1458+1,H1458),2)),VALUE(LEFT(INDEX(Laporan!$A$1:$AZ$300,F1458+1,H1458),2)))</f>
        <v>46091</v>
      </c>
      <c r="N1458" s="0" t="n">
        <f aca="false">INDEX(Laporan!$A$1:$AZ$300,G1458,H1458)</f>
        <v>23</v>
      </c>
      <c r="O1458" s="0" t="n">
        <f aca="false">IF(N1458="","",IFERROR(VALUE(SUBSTITUTE(SUBSTITUTE(N1458," btl",""),".","")),""))</f>
        <v>23</v>
      </c>
      <c r="P1458" s="0" t="str">
        <f aca="false">IF(B1458="PRODUKSI","produced","reject")</f>
        <v>reject</v>
      </c>
    </row>
    <row r="1459" customFormat="false" ht="15" hidden="false" customHeight="false" outlineLevel="0" collapsed="false">
      <c r="A1459" s="0" t="n">
        <v>1458</v>
      </c>
      <c r="B1459" s="0" t="str">
        <f aca="false">IF(A1459&lt;=36*25,"PRODUKSI","REJECT")</f>
        <v>REJECT</v>
      </c>
      <c r="C1459" s="0" t="n">
        <f aca="false">MOD(A1459-1,Pemetaan!$B$3*Pemetaan!$B$4)</f>
        <v>557</v>
      </c>
      <c r="D1459" s="0" t="n">
        <f aca="false">INT(C1459/Pemetaan!$B$4)</f>
        <v>22</v>
      </c>
      <c r="E1459" s="0" t="n">
        <f aca="false">MOD(C1459,Pemetaan!$B$4)</f>
        <v>7</v>
      </c>
      <c r="F1459" s="0" t="n">
        <f aca="false">IF(B1459="PRODUKSI",Pemetaan!$B$5,Pemetaan!$B$6)</f>
        <v>46</v>
      </c>
      <c r="G1459" s="0" t="n">
        <f aca="false">F1459+2+D1459</f>
        <v>70</v>
      </c>
      <c r="H1459" s="0" t="n">
        <f aca="false">Pemetaan!$B$2+E1459</f>
        <v>12</v>
      </c>
      <c r="I1459" s="0" t="str">
        <f aca="false">INDEX(Laporan!$A$1:$AZ$300,G1459,1)</f>
        <v>Mixing</v>
      </c>
      <c r="J1459" s="0" t="str">
        <f aca="false">INDEX(Laporan!$A$1:$AZ$300,G1459,2)</f>
        <v>330 ml</v>
      </c>
      <c r="K1459" s="0" t="str">
        <f aca="false">INDEX(Laporan!$A$1:$AZ$300,G1459,3)</f>
        <v>Shift 2</v>
      </c>
      <c r="L1459" s="0" t="n">
        <f aca="false">INDEX(Laporan!$A$1:$AZ$300,G1459,4)</f>
        <v>2</v>
      </c>
      <c r="M1459" s="1" t="n">
        <f aca="false">DATE(Pemetaan!$B$1,VALUE(RIGHT(INDEX(Laporan!$A$1:$AZ$300,F1459+1,H1459),2)),VALUE(LEFT(INDEX(Laporan!$A$1:$AZ$300,F1459+1,H1459),2)))</f>
        <v>46092</v>
      </c>
      <c r="N1459" s="0" t="n">
        <f aca="false">INDEX(Laporan!$A$1:$AZ$300,G1459,H1459)</f>
        <v>25</v>
      </c>
      <c r="O1459" s="0" t="n">
        <f aca="false">IF(N1459="","",IFERROR(VALUE(SUBSTITUTE(SUBSTITUTE(N1459," btl",""),".","")),""))</f>
        <v>25</v>
      </c>
      <c r="P1459" s="0" t="str">
        <f aca="false">IF(B1459="PRODUKSI","produced","reject")</f>
        <v>reject</v>
      </c>
    </row>
    <row r="1460" customFormat="false" ht="15" hidden="false" customHeight="false" outlineLevel="0" collapsed="false">
      <c r="A1460" s="0" t="n">
        <v>1459</v>
      </c>
      <c r="B1460" s="0" t="str">
        <f aca="false">IF(A1460&lt;=36*25,"PRODUKSI","REJECT")</f>
        <v>REJECT</v>
      </c>
      <c r="C1460" s="0" t="n">
        <f aca="false">MOD(A1460-1,Pemetaan!$B$3*Pemetaan!$B$4)</f>
        <v>558</v>
      </c>
      <c r="D1460" s="0" t="n">
        <f aca="false">INT(C1460/Pemetaan!$B$4)</f>
        <v>22</v>
      </c>
      <c r="E1460" s="0" t="n">
        <f aca="false">MOD(C1460,Pemetaan!$B$4)</f>
        <v>8</v>
      </c>
      <c r="F1460" s="0" t="n">
        <f aca="false">IF(B1460="PRODUKSI",Pemetaan!$B$5,Pemetaan!$B$6)</f>
        <v>46</v>
      </c>
      <c r="G1460" s="0" t="n">
        <f aca="false">F1460+2+D1460</f>
        <v>70</v>
      </c>
      <c r="H1460" s="0" t="n">
        <f aca="false">Pemetaan!$B$2+E1460</f>
        <v>13</v>
      </c>
      <c r="I1460" s="0" t="str">
        <f aca="false">INDEX(Laporan!$A$1:$AZ$300,G1460,1)</f>
        <v>Mixing</v>
      </c>
      <c r="J1460" s="0" t="str">
        <f aca="false">INDEX(Laporan!$A$1:$AZ$300,G1460,2)</f>
        <v>330 ml</v>
      </c>
      <c r="K1460" s="0" t="str">
        <f aca="false">INDEX(Laporan!$A$1:$AZ$300,G1460,3)</f>
        <v>Shift 2</v>
      </c>
      <c r="L1460" s="0" t="n">
        <f aca="false">INDEX(Laporan!$A$1:$AZ$300,G1460,4)</f>
        <v>2</v>
      </c>
      <c r="M1460" s="1" t="n">
        <f aca="false">DATE(Pemetaan!$B$1,VALUE(RIGHT(INDEX(Laporan!$A$1:$AZ$300,F1460+1,H1460),2)),VALUE(LEFT(INDEX(Laporan!$A$1:$AZ$300,F1460+1,H1460),2)))</f>
        <v>46093</v>
      </c>
      <c r="N1460" s="0" t="n">
        <f aca="false">INDEX(Laporan!$A$1:$AZ$300,G1460,H1460)</f>
        <v>17</v>
      </c>
      <c r="O1460" s="0" t="n">
        <f aca="false">IF(N1460="","",IFERROR(VALUE(SUBSTITUTE(SUBSTITUTE(N1460," btl",""),".","")),""))</f>
        <v>17</v>
      </c>
      <c r="P1460" s="0" t="str">
        <f aca="false">IF(B1460="PRODUKSI","produced","reject")</f>
        <v>reject</v>
      </c>
    </row>
    <row r="1461" customFormat="false" ht="15" hidden="false" customHeight="false" outlineLevel="0" collapsed="false">
      <c r="A1461" s="0" t="n">
        <v>1460</v>
      </c>
      <c r="B1461" s="0" t="str">
        <f aca="false">IF(A1461&lt;=36*25,"PRODUKSI","REJECT")</f>
        <v>REJECT</v>
      </c>
      <c r="C1461" s="0" t="n">
        <f aca="false">MOD(A1461-1,Pemetaan!$B$3*Pemetaan!$B$4)</f>
        <v>559</v>
      </c>
      <c r="D1461" s="0" t="n">
        <f aca="false">INT(C1461/Pemetaan!$B$4)</f>
        <v>22</v>
      </c>
      <c r="E1461" s="0" t="n">
        <f aca="false">MOD(C1461,Pemetaan!$B$4)</f>
        <v>9</v>
      </c>
      <c r="F1461" s="0" t="n">
        <f aca="false">IF(B1461="PRODUKSI",Pemetaan!$B$5,Pemetaan!$B$6)</f>
        <v>46</v>
      </c>
      <c r="G1461" s="0" t="n">
        <f aca="false">F1461+2+D1461</f>
        <v>70</v>
      </c>
      <c r="H1461" s="0" t="n">
        <f aca="false">Pemetaan!$B$2+E1461</f>
        <v>14</v>
      </c>
      <c r="I1461" s="0" t="str">
        <f aca="false">INDEX(Laporan!$A$1:$AZ$300,G1461,1)</f>
        <v>Mixing</v>
      </c>
      <c r="J1461" s="0" t="str">
        <f aca="false">INDEX(Laporan!$A$1:$AZ$300,G1461,2)</f>
        <v>330 ml</v>
      </c>
      <c r="K1461" s="0" t="str">
        <f aca="false">INDEX(Laporan!$A$1:$AZ$300,G1461,3)</f>
        <v>Shift 2</v>
      </c>
      <c r="L1461" s="0" t="n">
        <f aca="false">INDEX(Laporan!$A$1:$AZ$300,G1461,4)</f>
        <v>2</v>
      </c>
      <c r="M1461" s="1" t="n">
        <f aca="false">DATE(Pemetaan!$B$1,VALUE(RIGHT(INDEX(Laporan!$A$1:$AZ$300,F1461+1,H1461),2)),VALUE(LEFT(INDEX(Laporan!$A$1:$AZ$300,F1461+1,H1461),2)))</f>
        <v>46094</v>
      </c>
      <c r="N1461" s="0" t="n">
        <f aca="false">INDEX(Laporan!$A$1:$AZ$300,G1461,H1461)</f>
        <v>26</v>
      </c>
      <c r="O1461" s="0" t="n">
        <f aca="false">IF(N1461="","",IFERROR(VALUE(SUBSTITUTE(SUBSTITUTE(N1461," btl",""),".","")),""))</f>
        <v>26</v>
      </c>
      <c r="P1461" s="0" t="str">
        <f aca="false">IF(B1461="PRODUKSI","produced","reject")</f>
        <v>reject</v>
      </c>
    </row>
    <row r="1462" customFormat="false" ht="15" hidden="false" customHeight="false" outlineLevel="0" collapsed="false">
      <c r="A1462" s="0" t="n">
        <v>1461</v>
      </c>
      <c r="B1462" s="0" t="str">
        <f aca="false">IF(A1462&lt;=36*25,"PRODUKSI","REJECT")</f>
        <v>REJECT</v>
      </c>
      <c r="C1462" s="0" t="n">
        <f aca="false">MOD(A1462-1,Pemetaan!$B$3*Pemetaan!$B$4)</f>
        <v>560</v>
      </c>
      <c r="D1462" s="0" t="n">
        <f aca="false">INT(C1462/Pemetaan!$B$4)</f>
        <v>22</v>
      </c>
      <c r="E1462" s="0" t="n">
        <f aca="false">MOD(C1462,Pemetaan!$B$4)</f>
        <v>10</v>
      </c>
      <c r="F1462" s="0" t="n">
        <f aca="false">IF(B1462="PRODUKSI",Pemetaan!$B$5,Pemetaan!$B$6)</f>
        <v>46</v>
      </c>
      <c r="G1462" s="0" t="n">
        <f aca="false">F1462+2+D1462</f>
        <v>70</v>
      </c>
      <c r="H1462" s="0" t="n">
        <f aca="false">Pemetaan!$B$2+E1462</f>
        <v>15</v>
      </c>
      <c r="I1462" s="0" t="str">
        <f aca="false">INDEX(Laporan!$A$1:$AZ$300,G1462,1)</f>
        <v>Mixing</v>
      </c>
      <c r="J1462" s="0" t="str">
        <f aca="false">INDEX(Laporan!$A$1:$AZ$300,G1462,2)</f>
        <v>330 ml</v>
      </c>
      <c r="K1462" s="0" t="str">
        <f aca="false">INDEX(Laporan!$A$1:$AZ$300,G1462,3)</f>
        <v>Shift 2</v>
      </c>
      <c r="L1462" s="0" t="n">
        <f aca="false">INDEX(Laporan!$A$1:$AZ$300,G1462,4)</f>
        <v>2</v>
      </c>
      <c r="M1462" s="1" t="n">
        <f aca="false">DATE(Pemetaan!$B$1,VALUE(RIGHT(INDEX(Laporan!$A$1:$AZ$300,F1462+1,H1462),2)),VALUE(LEFT(INDEX(Laporan!$A$1:$AZ$300,F1462+1,H1462),2)))</f>
        <v>46097</v>
      </c>
      <c r="N1462" s="0" t="n">
        <f aca="false">INDEX(Laporan!$A$1:$AZ$300,G1462,H1462)</f>
        <v>17</v>
      </c>
      <c r="O1462" s="0" t="n">
        <f aca="false">IF(N1462="","",IFERROR(VALUE(SUBSTITUTE(SUBSTITUTE(N1462," btl",""),".","")),""))</f>
        <v>17</v>
      </c>
      <c r="P1462" s="0" t="str">
        <f aca="false">IF(B1462="PRODUKSI","produced","reject")</f>
        <v>reject</v>
      </c>
    </row>
    <row r="1463" customFormat="false" ht="15" hidden="false" customHeight="false" outlineLevel="0" collapsed="false">
      <c r="A1463" s="0" t="n">
        <v>1462</v>
      </c>
      <c r="B1463" s="0" t="str">
        <f aca="false">IF(A1463&lt;=36*25,"PRODUKSI","REJECT")</f>
        <v>REJECT</v>
      </c>
      <c r="C1463" s="0" t="n">
        <f aca="false">MOD(A1463-1,Pemetaan!$B$3*Pemetaan!$B$4)</f>
        <v>561</v>
      </c>
      <c r="D1463" s="0" t="n">
        <f aca="false">INT(C1463/Pemetaan!$B$4)</f>
        <v>22</v>
      </c>
      <c r="E1463" s="0" t="n">
        <f aca="false">MOD(C1463,Pemetaan!$B$4)</f>
        <v>11</v>
      </c>
      <c r="F1463" s="0" t="n">
        <f aca="false">IF(B1463="PRODUKSI",Pemetaan!$B$5,Pemetaan!$B$6)</f>
        <v>46</v>
      </c>
      <c r="G1463" s="0" t="n">
        <f aca="false">F1463+2+D1463</f>
        <v>70</v>
      </c>
      <c r="H1463" s="0" t="n">
        <f aca="false">Pemetaan!$B$2+E1463</f>
        <v>16</v>
      </c>
      <c r="I1463" s="0" t="str">
        <f aca="false">INDEX(Laporan!$A$1:$AZ$300,G1463,1)</f>
        <v>Mixing</v>
      </c>
      <c r="J1463" s="0" t="str">
        <f aca="false">INDEX(Laporan!$A$1:$AZ$300,G1463,2)</f>
        <v>330 ml</v>
      </c>
      <c r="K1463" s="0" t="str">
        <f aca="false">INDEX(Laporan!$A$1:$AZ$300,G1463,3)</f>
        <v>Shift 2</v>
      </c>
      <c r="L1463" s="0" t="n">
        <f aca="false">INDEX(Laporan!$A$1:$AZ$300,G1463,4)</f>
        <v>2</v>
      </c>
      <c r="M1463" s="1" t="n">
        <f aca="false">DATE(Pemetaan!$B$1,VALUE(RIGHT(INDEX(Laporan!$A$1:$AZ$300,F1463+1,H1463),2)),VALUE(LEFT(INDEX(Laporan!$A$1:$AZ$300,F1463+1,H1463),2)))</f>
        <v>46098</v>
      </c>
      <c r="N1463" s="0" t="n">
        <f aca="false">INDEX(Laporan!$A$1:$AZ$300,G1463,H1463)</f>
        <v>14</v>
      </c>
      <c r="O1463" s="0" t="n">
        <f aca="false">IF(N1463="","",IFERROR(VALUE(SUBSTITUTE(SUBSTITUTE(N1463," btl",""),".","")),""))</f>
        <v>14</v>
      </c>
      <c r="P1463" s="0" t="str">
        <f aca="false">IF(B1463="PRODUKSI","produced","reject")</f>
        <v>reject</v>
      </c>
    </row>
    <row r="1464" customFormat="false" ht="15" hidden="false" customHeight="false" outlineLevel="0" collapsed="false">
      <c r="A1464" s="0" t="n">
        <v>1463</v>
      </c>
      <c r="B1464" s="0" t="str">
        <f aca="false">IF(A1464&lt;=36*25,"PRODUKSI","REJECT")</f>
        <v>REJECT</v>
      </c>
      <c r="C1464" s="0" t="n">
        <f aca="false">MOD(A1464-1,Pemetaan!$B$3*Pemetaan!$B$4)</f>
        <v>562</v>
      </c>
      <c r="D1464" s="0" t="n">
        <f aca="false">INT(C1464/Pemetaan!$B$4)</f>
        <v>22</v>
      </c>
      <c r="E1464" s="0" t="n">
        <f aca="false">MOD(C1464,Pemetaan!$B$4)</f>
        <v>12</v>
      </c>
      <c r="F1464" s="0" t="n">
        <f aca="false">IF(B1464="PRODUKSI",Pemetaan!$B$5,Pemetaan!$B$6)</f>
        <v>46</v>
      </c>
      <c r="G1464" s="0" t="n">
        <f aca="false">F1464+2+D1464</f>
        <v>70</v>
      </c>
      <c r="H1464" s="0" t="n">
        <f aca="false">Pemetaan!$B$2+E1464</f>
        <v>17</v>
      </c>
      <c r="I1464" s="0" t="str">
        <f aca="false">INDEX(Laporan!$A$1:$AZ$300,G1464,1)</f>
        <v>Mixing</v>
      </c>
      <c r="J1464" s="0" t="str">
        <f aca="false">INDEX(Laporan!$A$1:$AZ$300,G1464,2)</f>
        <v>330 ml</v>
      </c>
      <c r="K1464" s="0" t="str">
        <f aca="false">INDEX(Laporan!$A$1:$AZ$300,G1464,3)</f>
        <v>Shift 2</v>
      </c>
      <c r="L1464" s="0" t="n">
        <f aca="false">INDEX(Laporan!$A$1:$AZ$300,G1464,4)</f>
        <v>2</v>
      </c>
      <c r="M1464" s="1" t="n">
        <f aca="false">DATE(Pemetaan!$B$1,VALUE(RIGHT(INDEX(Laporan!$A$1:$AZ$300,F1464+1,H1464),2)),VALUE(LEFT(INDEX(Laporan!$A$1:$AZ$300,F1464+1,H1464),2)))</f>
        <v>46099</v>
      </c>
      <c r="N1464" s="0" t="n">
        <f aca="false">INDEX(Laporan!$A$1:$AZ$300,G1464,H1464)</f>
        <v>25</v>
      </c>
      <c r="O1464" s="0" t="n">
        <f aca="false">IF(N1464="","",IFERROR(VALUE(SUBSTITUTE(SUBSTITUTE(N1464," btl",""),".","")),""))</f>
        <v>25</v>
      </c>
      <c r="P1464" s="0" t="str">
        <f aca="false">IF(B1464="PRODUKSI","produced","reject")</f>
        <v>reject</v>
      </c>
    </row>
    <row r="1465" customFormat="false" ht="15" hidden="false" customHeight="false" outlineLevel="0" collapsed="false">
      <c r="A1465" s="0" t="n">
        <v>1464</v>
      </c>
      <c r="B1465" s="0" t="str">
        <f aca="false">IF(A1465&lt;=36*25,"PRODUKSI","REJECT")</f>
        <v>REJECT</v>
      </c>
      <c r="C1465" s="0" t="n">
        <f aca="false">MOD(A1465-1,Pemetaan!$B$3*Pemetaan!$B$4)</f>
        <v>563</v>
      </c>
      <c r="D1465" s="0" t="n">
        <f aca="false">INT(C1465/Pemetaan!$B$4)</f>
        <v>22</v>
      </c>
      <c r="E1465" s="0" t="n">
        <f aca="false">MOD(C1465,Pemetaan!$B$4)</f>
        <v>13</v>
      </c>
      <c r="F1465" s="0" t="n">
        <f aca="false">IF(B1465="PRODUKSI",Pemetaan!$B$5,Pemetaan!$B$6)</f>
        <v>46</v>
      </c>
      <c r="G1465" s="0" t="n">
        <f aca="false">F1465+2+D1465</f>
        <v>70</v>
      </c>
      <c r="H1465" s="0" t="n">
        <f aca="false">Pemetaan!$B$2+E1465</f>
        <v>18</v>
      </c>
      <c r="I1465" s="0" t="str">
        <f aca="false">INDEX(Laporan!$A$1:$AZ$300,G1465,1)</f>
        <v>Mixing</v>
      </c>
      <c r="J1465" s="0" t="str">
        <f aca="false">INDEX(Laporan!$A$1:$AZ$300,G1465,2)</f>
        <v>330 ml</v>
      </c>
      <c r="K1465" s="0" t="str">
        <f aca="false">INDEX(Laporan!$A$1:$AZ$300,G1465,3)</f>
        <v>Shift 2</v>
      </c>
      <c r="L1465" s="0" t="n">
        <f aca="false">INDEX(Laporan!$A$1:$AZ$300,G1465,4)</f>
        <v>2</v>
      </c>
      <c r="M1465" s="1" t="n">
        <f aca="false">DATE(Pemetaan!$B$1,VALUE(RIGHT(INDEX(Laporan!$A$1:$AZ$300,F1465+1,H1465),2)),VALUE(LEFT(INDEX(Laporan!$A$1:$AZ$300,F1465+1,H1465),2)))</f>
        <v>46100</v>
      </c>
      <c r="N1465" s="0" t="n">
        <f aca="false">INDEX(Laporan!$A$1:$AZ$300,G1465,H1465)</f>
        <v>16</v>
      </c>
      <c r="O1465" s="0" t="n">
        <f aca="false">IF(N1465="","",IFERROR(VALUE(SUBSTITUTE(SUBSTITUTE(N1465," btl",""),".","")),""))</f>
        <v>16</v>
      </c>
      <c r="P1465" s="0" t="str">
        <f aca="false">IF(B1465="PRODUKSI","produced","reject")</f>
        <v>reject</v>
      </c>
    </row>
    <row r="1466" customFormat="false" ht="15" hidden="false" customHeight="false" outlineLevel="0" collapsed="false">
      <c r="A1466" s="0" t="n">
        <v>1465</v>
      </c>
      <c r="B1466" s="0" t="str">
        <f aca="false">IF(A1466&lt;=36*25,"PRODUKSI","REJECT")</f>
        <v>REJECT</v>
      </c>
      <c r="C1466" s="0" t="n">
        <f aca="false">MOD(A1466-1,Pemetaan!$B$3*Pemetaan!$B$4)</f>
        <v>564</v>
      </c>
      <c r="D1466" s="0" t="n">
        <f aca="false">INT(C1466/Pemetaan!$B$4)</f>
        <v>22</v>
      </c>
      <c r="E1466" s="0" t="n">
        <f aca="false">MOD(C1466,Pemetaan!$B$4)</f>
        <v>14</v>
      </c>
      <c r="F1466" s="0" t="n">
        <f aca="false">IF(B1466="PRODUKSI",Pemetaan!$B$5,Pemetaan!$B$6)</f>
        <v>46</v>
      </c>
      <c r="G1466" s="0" t="n">
        <f aca="false">F1466+2+D1466</f>
        <v>70</v>
      </c>
      <c r="H1466" s="0" t="n">
        <f aca="false">Pemetaan!$B$2+E1466</f>
        <v>19</v>
      </c>
      <c r="I1466" s="0" t="str">
        <f aca="false">INDEX(Laporan!$A$1:$AZ$300,G1466,1)</f>
        <v>Mixing</v>
      </c>
      <c r="J1466" s="0" t="str">
        <f aca="false">INDEX(Laporan!$A$1:$AZ$300,G1466,2)</f>
        <v>330 ml</v>
      </c>
      <c r="K1466" s="0" t="str">
        <f aca="false">INDEX(Laporan!$A$1:$AZ$300,G1466,3)</f>
        <v>Shift 2</v>
      </c>
      <c r="L1466" s="0" t="n">
        <f aca="false">INDEX(Laporan!$A$1:$AZ$300,G1466,4)</f>
        <v>2</v>
      </c>
      <c r="M1466" s="1" t="n">
        <f aca="false">DATE(Pemetaan!$B$1,VALUE(RIGHT(INDEX(Laporan!$A$1:$AZ$300,F1466+1,H1466),2)),VALUE(LEFT(INDEX(Laporan!$A$1:$AZ$300,F1466+1,H1466),2)))</f>
        <v>46101</v>
      </c>
      <c r="N1466" s="0" t="n">
        <f aca="false">INDEX(Laporan!$A$1:$AZ$300,G1466,H1466)</f>
        <v>25</v>
      </c>
      <c r="O1466" s="0" t="n">
        <f aca="false">IF(N1466="","",IFERROR(VALUE(SUBSTITUTE(SUBSTITUTE(N1466," btl",""),".","")),""))</f>
        <v>25</v>
      </c>
      <c r="P1466" s="0" t="str">
        <f aca="false">IF(B1466="PRODUKSI","produced","reject")</f>
        <v>reject</v>
      </c>
    </row>
    <row r="1467" customFormat="false" ht="15" hidden="false" customHeight="false" outlineLevel="0" collapsed="false">
      <c r="A1467" s="0" t="n">
        <v>1466</v>
      </c>
      <c r="B1467" s="0" t="str">
        <f aca="false">IF(A1467&lt;=36*25,"PRODUKSI","REJECT")</f>
        <v>REJECT</v>
      </c>
      <c r="C1467" s="0" t="n">
        <f aca="false">MOD(A1467-1,Pemetaan!$B$3*Pemetaan!$B$4)</f>
        <v>565</v>
      </c>
      <c r="D1467" s="0" t="n">
        <f aca="false">INT(C1467/Pemetaan!$B$4)</f>
        <v>22</v>
      </c>
      <c r="E1467" s="0" t="n">
        <f aca="false">MOD(C1467,Pemetaan!$B$4)</f>
        <v>15</v>
      </c>
      <c r="F1467" s="0" t="n">
        <f aca="false">IF(B1467="PRODUKSI",Pemetaan!$B$5,Pemetaan!$B$6)</f>
        <v>46</v>
      </c>
      <c r="G1467" s="0" t="n">
        <f aca="false">F1467+2+D1467</f>
        <v>70</v>
      </c>
      <c r="H1467" s="0" t="n">
        <f aca="false">Pemetaan!$B$2+E1467</f>
        <v>20</v>
      </c>
      <c r="I1467" s="0" t="str">
        <f aca="false">INDEX(Laporan!$A$1:$AZ$300,G1467,1)</f>
        <v>Mixing</v>
      </c>
      <c r="J1467" s="0" t="str">
        <f aca="false">INDEX(Laporan!$A$1:$AZ$300,G1467,2)</f>
        <v>330 ml</v>
      </c>
      <c r="K1467" s="0" t="str">
        <f aca="false">INDEX(Laporan!$A$1:$AZ$300,G1467,3)</f>
        <v>Shift 2</v>
      </c>
      <c r="L1467" s="0" t="n">
        <f aca="false">INDEX(Laporan!$A$1:$AZ$300,G1467,4)</f>
        <v>2</v>
      </c>
      <c r="M1467" s="1" t="n">
        <f aca="false">DATE(Pemetaan!$B$1,VALUE(RIGHT(INDEX(Laporan!$A$1:$AZ$300,F1467+1,H1467),2)),VALUE(LEFT(INDEX(Laporan!$A$1:$AZ$300,F1467+1,H1467),2)))</f>
        <v>46104</v>
      </c>
      <c r="N1467" s="0" t="n">
        <f aca="false">INDEX(Laporan!$A$1:$AZ$300,G1467,H1467)</f>
        <v>16</v>
      </c>
      <c r="O1467" s="0" t="n">
        <f aca="false">IF(N1467="","",IFERROR(VALUE(SUBSTITUTE(SUBSTITUTE(N1467," btl",""),".","")),""))</f>
        <v>16</v>
      </c>
      <c r="P1467" s="0" t="str">
        <f aca="false">IF(B1467="PRODUKSI","produced","reject")</f>
        <v>reject</v>
      </c>
    </row>
    <row r="1468" customFormat="false" ht="15" hidden="false" customHeight="false" outlineLevel="0" collapsed="false">
      <c r="A1468" s="0" t="n">
        <v>1467</v>
      </c>
      <c r="B1468" s="0" t="str">
        <f aca="false">IF(A1468&lt;=36*25,"PRODUKSI","REJECT")</f>
        <v>REJECT</v>
      </c>
      <c r="C1468" s="0" t="n">
        <f aca="false">MOD(A1468-1,Pemetaan!$B$3*Pemetaan!$B$4)</f>
        <v>566</v>
      </c>
      <c r="D1468" s="0" t="n">
        <f aca="false">INT(C1468/Pemetaan!$B$4)</f>
        <v>22</v>
      </c>
      <c r="E1468" s="0" t="n">
        <f aca="false">MOD(C1468,Pemetaan!$B$4)</f>
        <v>16</v>
      </c>
      <c r="F1468" s="0" t="n">
        <f aca="false">IF(B1468="PRODUKSI",Pemetaan!$B$5,Pemetaan!$B$6)</f>
        <v>46</v>
      </c>
      <c r="G1468" s="0" t="n">
        <f aca="false">F1468+2+D1468</f>
        <v>70</v>
      </c>
      <c r="H1468" s="0" t="n">
        <f aca="false">Pemetaan!$B$2+E1468</f>
        <v>21</v>
      </c>
      <c r="I1468" s="0" t="str">
        <f aca="false">INDEX(Laporan!$A$1:$AZ$300,G1468,1)</f>
        <v>Mixing</v>
      </c>
      <c r="J1468" s="0" t="str">
        <f aca="false">INDEX(Laporan!$A$1:$AZ$300,G1468,2)</f>
        <v>330 ml</v>
      </c>
      <c r="K1468" s="0" t="str">
        <f aca="false">INDEX(Laporan!$A$1:$AZ$300,G1468,3)</f>
        <v>Shift 2</v>
      </c>
      <c r="L1468" s="0" t="n">
        <f aca="false">INDEX(Laporan!$A$1:$AZ$300,G1468,4)</f>
        <v>2</v>
      </c>
      <c r="M1468" s="1" t="n">
        <f aca="false">DATE(Pemetaan!$B$1,VALUE(RIGHT(INDEX(Laporan!$A$1:$AZ$300,F1468+1,H1468),2)),VALUE(LEFT(INDEX(Laporan!$A$1:$AZ$300,F1468+1,H1468),2)))</f>
        <v>46105</v>
      </c>
      <c r="N1468" s="0" t="n">
        <f aca="false">INDEX(Laporan!$A$1:$AZ$300,G1468,H1468)</f>
        <v>17</v>
      </c>
      <c r="O1468" s="0" t="n">
        <f aca="false">IF(N1468="","",IFERROR(VALUE(SUBSTITUTE(SUBSTITUTE(N1468," btl",""),".","")),""))</f>
        <v>17</v>
      </c>
      <c r="P1468" s="0" t="str">
        <f aca="false">IF(B1468="PRODUKSI","produced","reject")</f>
        <v>reject</v>
      </c>
    </row>
    <row r="1469" customFormat="false" ht="15" hidden="false" customHeight="false" outlineLevel="0" collapsed="false">
      <c r="A1469" s="0" t="n">
        <v>1468</v>
      </c>
      <c r="B1469" s="0" t="str">
        <f aca="false">IF(A1469&lt;=36*25,"PRODUKSI","REJECT")</f>
        <v>REJECT</v>
      </c>
      <c r="C1469" s="0" t="n">
        <f aca="false">MOD(A1469-1,Pemetaan!$B$3*Pemetaan!$B$4)</f>
        <v>567</v>
      </c>
      <c r="D1469" s="0" t="n">
        <f aca="false">INT(C1469/Pemetaan!$B$4)</f>
        <v>22</v>
      </c>
      <c r="E1469" s="0" t="n">
        <f aca="false">MOD(C1469,Pemetaan!$B$4)</f>
        <v>17</v>
      </c>
      <c r="F1469" s="0" t="n">
        <f aca="false">IF(B1469="PRODUKSI",Pemetaan!$B$5,Pemetaan!$B$6)</f>
        <v>46</v>
      </c>
      <c r="G1469" s="0" t="n">
        <f aca="false">F1469+2+D1469</f>
        <v>70</v>
      </c>
      <c r="H1469" s="0" t="n">
        <f aca="false">Pemetaan!$B$2+E1469</f>
        <v>22</v>
      </c>
      <c r="I1469" s="0" t="str">
        <f aca="false">INDEX(Laporan!$A$1:$AZ$300,G1469,1)</f>
        <v>Mixing</v>
      </c>
      <c r="J1469" s="0" t="str">
        <f aca="false">INDEX(Laporan!$A$1:$AZ$300,G1469,2)</f>
        <v>330 ml</v>
      </c>
      <c r="K1469" s="0" t="str">
        <f aca="false">INDEX(Laporan!$A$1:$AZ$300,G1469,3)</f>
        <v>Shift 2</v>
      </c>
      <c r="L1469" s="0" t="n">
        <f aca="false">INDEX(Laporan!$A$1:$AZ$300,G1469,4)</f>
        <v>2</v>
      </c>
      <c r="M1469" s="1" t="n">
        <f aca="false">DATE(Pemetaan!$B$1,VALUE(RIGHT(INDEX(Laporan!$A$1:$AZ$300,F1469+1,H1469),2)),VALUE(LEFT(INDEX(Laporan!$A$1:$AZ$300,F1469+1,H1469),2)))</f>
        <v>46106</v>
      </c>
      <c r="N1469" s="0" t="n">
        <f aca="false">INDEX(Laporan!$A$1:$AZ$300,G1469,H1469)</f>
        <v>24</v>
      </c>
      <c r="O1469" s="0" t="n">
        <f aca="false">IF(N1469="","",IFERROR(VALUE(SUBSTITUTE(SUBSTITUTE(N1469," btl",""),".","")),""))</f>
        <v>24</v>
      </c>
      <c r="P1469" s="0" t="str">
        <f aca="false">IF(B1469="PRODUKSI","produced","reject")</f>
        <v>reject</v>
      </c>
    </row>
    <row r="1470" customFormat="false" ht="15" hidden="false" customHeight="false" outlineLevel="0" collapsed="false">
      <c r="A1470" s="0" t="n">
        <v>1469</v>
      </c>
      <c r="B1470" s="0" t="str">
        <f aca="false">IF(A1470&lt;=36*25,"PRODUKSI","REJECT")</f>
        <v>REJECT</v>
      </c>
      <c r="C1470" s="0" t="n">
        <f aca="false">MOD(A1470-1,Pemetaan!$B$3*Pemetaan!$B$4)</f>
        <v>568</v>
      </c>
      <c r="D1470" s="0" t="n">
        <f aca="false">INT(C1470/Pemetaan!$B$4)</f>
        <v>22</v>
      </c>
      <c r="E1470" s="0" t="n">
        <f aca="false">MOD(C1470,Pemetaan!$B$4)</f>
        <v>18</v>
      </c>
      <c r="F1470" s="0" t="n">
        <f aca="false">IF(B1470="PRODUKSI",Pemetaan!$B$5,Pemetaan!$B$6)</f>
        <v>46</v>
      </c>
      <c r="G1470" s="0" t="n">
        <f aca="false">F1470+2+D1470</f>
        <v>70</v>
      </c>
      <c r="H1470" s="0" t="n">
        <f aca="false">Pemetaan!$B$2+E1470</f>
        <v>23</v>
      </c>
      <c r="I1470" s="0" t="str">
        <f aca="false">INDEX(Laporan!$A$1:$AZ$300,G1470,1)</f>
        <v>Mixing</v>
      </c>
      <c r="J1470" s="0" t="str">
        <f aca="false">INDEX(Laporan!$A$1:$AZ$300,G1470,2)</f>
        <v>330 ml</v>
      </c>
      <c r="K1470" s="0" t="str">
        <f aca="false">INDEX(Laporan!$A$1:$AZ$300,G1470,3)</f>
        <v>Shift 2</v>
      </c>
      <c r="L1470" s="0" t="n">
        <f aca="false">INDEX(Laporan!$A$1:$AZ$300,G1470,4)</f>
        <v>2</v>
      </c>
      <c r="M1470" s="1" t="n">
        <f aca="false">DATE(Pemetaan!$B$1,VALUE(RIGHT(INDEX(Laporan!$A$1:$AZ$300,F1470+1,H1470),2)),VALUE(LEFT(INDEX(Laporan!$A$1:$AZ$300,F1470+1,H1470),2)))</f>
        <v>46107</v>
      </c>
      <c r="N1470" s="0" t="n">
        <f aca="false">INDEX(Laporan!$A$1:$AZ$300,G1470,H1470)</f>
        <v>16</v>
      </c>
      <c r="O1470" s="0" t="n">
        <f aca="false">IF(N1470="","",IFERROR(VALUE(SUBSTITUTE(SUBSTITUTE(N1470," btl",""),".","")),""))</f>
        <v>16</v>
      </c>
      <c r="P1470" s="0" t="str">
        <f aca="false">IF(B1470="PRODUKSI","produced","reject")</f>
        <v>reject</v>
      </c>
    </row>
    <row r="1471" customFormat="false" ht="15" hidden="false" customHeight="false" outlineLevel="0" collapsed="false">
      <c r="A1471" s="0" t="n">
        <v>1470</v>
      </c>
      <c r="B1471" s="0" t="str">
        <f aca="false">IF(A1471&lt;=36*25,"PRODUKSI","REJECT")</f>
        <v>REJECT</v>
      </c>
      <c r="C1471" s="0" t="n">
        <f aca="false">MOD(A1471-1,Pemetaan!$B$3*Pemetaan!$B$4)</f>
        <v>569</v>
      </c>
      <c r="D1471" s="0" t="n">
        <f aca="false">INT(C1471/Pemetaan!$B$4)</f>
        <v>22</v>
      </c>
      <c r="E1471" s="0" t="n">
        <f aca="false">MOD(C1471,Pemetaan!$B$4)</f>
        <v>19</v>
      </c>
      <c r="F1471" s="0" t="n">
        <f aca="false">IF(B1471="PRODUKSI",Pemetaan!$B$5,Pemetaan!$B$6)</f>
        <v>46</v>
      </c>
      <c r="G1471" s="0" t="n">
        <f aca="false">F1471+2+D1471</f>
        <v>70</v>
      </c>
      <c r="H1471" s="0" t="n">
        <f aca="false">Pemetaan!$B$2+E1471</f>
        <v>24</v>
      </c>
      <c r="I1471" s="0" t="str">
        <f aca="false">INDEX(Laporan!$A$1:$AZ$300,G1471,1)</f>
        <v>Mixing</v>
      </c>
      <c r="J1471" s="0" t="str">
        <f aca="false">INDEX(Laporan!$A$1:$AZ$300,G1471,2)</f>
        <v>330 ml</v>
      </c>
      <c r="K1471" s="0" t="str">
        <f aca="false">INDEX(Laporan!$A$1:$AZ$300,G1471,3)</f>
        <v>Shift 2</v>
      </c>
      <c r="L1471" s="0" t="n">
        <f aca="false">INDEX(Laporan!$A$1:$AZ$300,G1471,4)</f>
        <v>2</v>
      </c>
      <c r="M1471" s="1" t="n">
        <f aca="false">DATE(Pemetaan!$B$1,VALUE(RIGHT(INDEX(Laporan!$A$1:$AZ$300,F1471+1,H1471),2)),VALUE(LEFT(INDEX(Laporan!$A$1:$AZ$300,F1471+1,H1471),2)))</f>
        <v>46108</v>
      </c>
      <c r="N1471" s="0" t="n">
        <f aca="false">INDEX(Laporan!$A$1:$AZ$300,G1471,H1471)</f>
        <v>23</v>
      </c>
      <c r="O1471" s="0" t="n">
        <f aca="false">IF(N1471="","",IFERROR(VALUE(SUBSTITUTE(SUBSTITUTE(N1471," btl",""),".","")),""))</f>
        <v>23</v>
      </c>
      <c r="P1471" s="0" t="str">
        <f aca="false">IF(B1471="PRODUKSI","produced","reject")</f>
        <v>reject</v>
      </c>
    </row>
    <row r="1472" customFormat="false" ht="15" hidden="false" customHeight="false" outlineLevel="0" collapsed="false">
      <c r="A1472" s="0" t="n">
        <v>1471</v>
      </c>
      <c r="B1472" s="0" t="str">
        <f aca="false">IF(A1472&lt;=36*25,"PRODUKSI","REJECT")</f>
        <v>REJECT</v>
      </c>
      <c r="C1472" s="0" t="n">
        <f aca="false">MOD(A1472-1,Pemetaan!$B$3*Pemetaan!$B$4)</f>
        <v>570</v>
      </c>
      <c r="D1472" s="0" t="n">
        <f aca="false">INT(C1472/Pemetaan!$B$4)</f>
        <v>22</v>
      </c>
      <c r="E1472" s="0" t="n">
        <f aca="false">MOD(C1472,Pemetaan!$B$4)</f>
        <v>20</v>
      </c>
      <c r="F1472" s="0" t="n">
        <f aca="false">IF(B1472="PRODUKSI",Pemetaan!$B$5,Pemetaan!$B$6)</f>
        <v>46</v>
      </c>
      <c r="G1472" s="0" t="n">
        <f aca="false">F1472+2+D1472</f>
        <v>70</v>
      </c>
      <c r="H1472" s="0" t="n">
        <f aca="false">Pemetaan!$B$2+E1472</f>
        <v>25</v>
      </c>
      <c r="I1472" s="0" t="str">
        <f aca="false">INDEX(Laporan!$A$1:$AZ$300,G1472,1)</f>
        <v>Mixing</v>
      </c>
      <c r="J1472" s="0" t="str">
        <f aca="false">INDEX(Laporan!$A$1:$AZ$300,G1472,2)</f>
        <v>330 ml</v>
      </c>
      <c r="K1472" s="0" t="str">
        <f aca="false">INDEX(Laporan!$A$1:$AZ$300,G1472,3)</f>
        <v>Shift 2</v>
      </c>
      <c r="L1472" s="0" t="n">
        <f aca="false">INDEX(Laporan!$A$1:$AZ$300,G1472,4)</f>
        <v>2</v>
      </c>
      <c r="M1472" s="1" t="n">
        <f aca="false">DATE(Pemetaan!$B$1,VALUE(RIGHT(INDEX(Laporan!$A$1:$AZ$300,F1472+1,H1472),2)),VALUE(LEFT(INDEX(Laporan!$A$1:$AZ$300,F1472+1,H1472),2)))</f>
        <v>46111</v>
      </c>
      <c r="N1472" s="0" t="n">
        <f aca="false">INDEX(Laporan!$A$1:$AZ$300,G1472,H1472)</f>
        <v>16</v>
      </c>
      <c r="O1472" s="0" t="n">
        <f aca="false">IF(N1472="","",IFERROR(VALUE(SUBSTITUTE(SUBSTITUTE(N1472," btl",""),".","")),""))</f>
        <v>16</v>
      </c>
      <c r="P1472" s="0" t="str">
        <f aca="false">IF(B1472="PRODUKSI","produced","reject")</f>
        <v>reject</v>
      </c>
    </row>
    <row r="1473" customFormat="false" ht="15" hidden="false" customHeight="false" outlineLevel="0" collapsed="false">
      <c r="A1473" s="0" t="n">
        <v>1472</v>
      </c>
      <c r="B1473" s="0" t="str">
        <f aca="false">IF(A1473&lt;=36*25,"PRODUKSI","REJECT")</f>
        <v>REJECT</v>
      </c>
      <c r="C1473" s="0" t="n">
        <f aca="false">MOD(A1473-1,Pemetaan!$B$3*Pemetaan!$B$4)</f>
        <v>571</v>
      </c>
      <c r="D1473" s="0" t="n">
        <f aca="false">INT(C1473/Pemetaan!$B$4)</f>
        <v>22</v>
      </c>
      <c r="E1473" s="0" t="n">
        <f aca="false">MOD(C1473,Pemetaan!$B$4)</f>
        <v>21</v>
      </c>
      <c r="F1473" s="0" t="n">
        <f aca="false">IF(B1473="PRODUKSI",Pemetaan!$B$5,Pemetaan!$B$6)</f>
        <v>46</v>
      </c>
      <c r="G1473" s="0" t="n">
        <f aca="false">F1473+2+D1473</f>
        <v>70</v>
      </c>
      <c r="H1473" s="0" t="n">
        <f aca="false">Pemetaan!$B$2+E1473</f>
        <v>26</v>
      </c>
      <c r="I1473" s="0" t="str">
        <f aca="false">INDEX(Laporan!$A$1:$AZ$300,G1473,1)</f>
        <v>Mixing</v>
      </c>
      <c r="J1473" s="0" t="str">
        <f aca="false">INDEX(Laporan!$A$1:$AZ$300,G1473,2)</f>
        <v>330 ml</v>
      </c>
      <c r="K1473" s="0" t="str">
        <f aca="false">INDEX(Laporan!$A$1:$AZ$300,G1473,3)</f>
        <v>Shift 2</v>
      </c>
      <c r="L1473" s="0" t="n">
        <f aca="false">INDEX(Laporan!$A$1:$AZ$300,G1473,4)</f>
        <v>2</v>
      </c>
      <c r="M1473" s="1" t="n">
        <f aca="false">DATE(Pemetaan!$B$1,VALUE(RIGHT(INDEX(Laporan!$A$1:$AZ$300,F1473+1,H1473),2)),VALUE(LEFT(INDEX(Laporan!$A$1:$AZ$300,F1473+1,H1473),2)))</f>
        <v>46112</v>
      </c>
      <c r="N1473" s="0" t="n">
        <f aca="false">INDEX(Laporan!$A$1:$AZ$300,G1473,H1473)</f>
        <v>22</v>
      </c>
      <c r="O1473" s="0" t="n">
        <f aca="false">IF(N1473="","",IFERROR(VALUE(SUBSTITUTE(SUBSTITUTE(N1473," btl",""),".","")),""))</f>
        <v>22</v>
      </c>
      <c r="P1473" s="0" t="str">
        <f aca="false">IF(B1473="PRODUKSI","produced","reject")</f>
        <v>reject</v>
      </c>
    </row>
    <row r="1474" customFormat="false" ht="15" hidden="false" customHeight="false" outlineLevel="0" collapsed="false">
      <c r="A1474" s="0" t="n">
        <v>1473</v>
      </c>
      <c r="B1474" s="0" t="str">
        <f aca="false">IF(A1474&lt;=36*25,"PRODUKSI","REJECT")</f>
        <v>REJECT</v>
      </c>
      <c r="C1474" s="0" t="n">
        <f aca="false">MOD(A1474-1,Pemetaan!$B$3*Pemetaan!$B$4)</f>
        <v>572</v>
      </c>
      <c r="D1474" s="0" t="n">
        <f aca="false">INT(C1474/Pemetaan!$B$4)</f>
        <v>22</v>
      </c>
      <c r="E1474" s="0" t="n">
        <f aca="false">MOD(C1474,Pemetaan!$B$4)</f>
        <v>22</v>
      </c>
      <c r="F1474" s="0" t="n">
        <f aca="false">IF(B1474="PRODUKSI",Pemetaan!$B$5,Pemetaan!$B$6)</f>
        <v>46</v>
      </c>
      <c r="G1474" s="0" t="n">
        <f aca="false">F1474+2+D1474</f>
        <v>70</v>
      </c>
      <c r="H1474" s="0" t="n">
        <f aca="false">Pemetaan!$B$2+E1474</f>
        <v>27</v>
      </c>
      <c r="I1474" s="0" t="str">
        <f aca="false">INDEX(Laporan!$A$1:$AZ$300,G1474,1)</f>
        <v>Mixing</v>
      </c>
      <c r="J1474" s="0" t="str">
        <f aca="false">INDEX(Laporan!$A$1:$AZ$300,G1474,2)</f>
        <v>330 ml</v>
      </c>
      <c r="K1474" s="0" t="str">
        <f aca="false">INDEX(Laporan!$A$1:$AZ$300,G1474,3)</f>
        <v>Shift 2</v>
      </c>
      <c r="L1474" s="0" t="n">
        <f aca="false">INDEX(Laporan!$A$1:$AZ$300,G1474,4)</f>
        <v>2</v>
      </c>
      <c r="M1474" s="1" t="n">
        <f aca="false">DATE(Pemetaan!$B$1,VALUE(RIGHT(INDEX(Laporan!$A$1:$AZ$300,F1474+1,H1474),2)),VALUE(LEFT(INDEX(Laporan!$A$1:$AZ$300,F1474+1,H1474),2)))</f>
        <v>46113</v>
      </c>
      <c r="N1474" s="0" t="n">
        <f aca="false">INDEX(Laporan!$A$1:$AZ$300,G1474,H1474)</f>
        <v>12</v>
      </c>
      <c r="O1474" s="0" t="n">
        <f aca="false">IF(N1474="","",IFERROR(VALUE(SUBSTITUTE(SUBSTITUTE(N1474," btl",""),".","")),""))</f>
        <v>12</v>
      </c>
      <c r="P1474" s="0" t="str">
        <f aca="false">IF(B1474="PRODUKSI","produced","reject")</f>
        <v>reject</v>
      </c>
    </row>
    <row r="1475" customFormat="false" ht="15" hidden="false" customHeight="false" outlineLevel="0" collapsed="false">
      <c r="A1475" s="0" t="n">
        <v>1474</v>
      </c>
      <c r="B1475" s="0" t="str">
        <f aca="false">IF(A1475&lt;=36*25,"PRODUKSI","REJECT")</f>
        <v>REJECT</v>
      </c>
      <c r="C1475" s="0" t="n">
        <f aca="false">MOD(A1475-1,Pemetaan!$B$3*Pemetaan!$B$4)</f>
        <v>573</v>
      </c>
      <c r="D1475" s="0" t="n">
        <f aca="false">INT(C1475/Pemetaan!$B$4)</f>
        <v>22</v>
      </c>
      <c r="E1475" s="0" t="n">
        <f aca="false">MOD(C1475,Pemetaan!$B$4)</f>
        <v>23</v>
      </c>
      <c r="F1475" s="0" t="n">
        <f aca="false">IF(B1475="PRODUKSI",Pemetaan!$B$5,Pemetaan!$B$6)</f>
        <v>46</v>
      </c>
      <c r="G1475" s="0" t="n">
        <f aca="false">F1475+2+D1475</f>
        <v>70</v>
      </c>
      <c r="H1475" s="0" t="n">
        <f aca="false">Pemetaan!$B$2+E1475</f>
        <v>28</v>
      </c>
      <c r="I1475" s="0" t="str">
        <f aca="false">INDEX(Laporan!$A$1:$AZ$300,G1475,1)</f>
        <v>Mixing</v>
      </c>
      <c r="J1475" s="0" t="str">
        <f aca="false">INDEX(Laporan!$A$1:$AZ$300,G1475,2)</f>
        <v>330 ml</v>
      </c>
      <c r="K1475" s="0" t="str">
        <f aca="false">INDEX(Laporan!$A$1:$AZ$300,G1475,3)</f>
        <v>Shift 2</v>
      </c>
      <c r="L1475" s="0" t="n">
        <f aca="false">INDEX(Laporan!$A$1:$AZ$300,G1475,4)</f>
        <v>2</v>
      </c>
      <c r="M1475" s="1" t="n">
        <f aca="false">DATE(Pemetaan!$B$1,VALUE(RIGHT(INDEX(Laporan!$A$1:$AZ$300,F1475+1,H1475),2)),VALUE(LEFT(INDEX(Laporan!$A$1:$AZ$300,F1475+1,H1475),2)))</f>
        <v>46114</v>
      </c>
      <c r="N1475" s="0" t="n">
        <f aca="false">INDEX(Laporan!$A$1:$AZ$300,G1475,H1475)</f>
        <v>27</v>
      </c>
      <c r="O1475" s="0" t="n">
        <f aca="false">IF(N1475="","",IFERROR(VALUE(SUBSTITUTE(SUBSTITUTE(N1475," btl",""),".","")),""))</f>
        <v>27</v>
      </c>
      <c r="P1475" s="0" t="str">
        <f aca="false">IF(B1475="PRODUKSI","produced","reject")</f>
        <v>reject</v>
      </c>
    </row>
    <row r="1476" customFormat="false" ht="15" hidden="false" customHeight="false" outlineLevel="0" collapsed="false">
      <c r="A1476" s="0" t="n">
        <v>1475</v>
      </c>
      <c r="B1476" s="0" t="str">
        <f aca="false">IF(A1476&lt;=36*25,"PRODUKSI","REJECT")</f>
        <v>REJECT</v>
      </c>
      <c r="C1476" s="0" t="n">
        <f aca="false">MOD(A1476-1,Pemetaan!$B$3*Pemetaan!$B$4)</f>
        <v>574</v>
      </c>
      <c r="D1476" s="0" t="n">
        <f aca="false">INT(C1476/Pemetaan!$B$4)</f>
        <v>22</v>
      </c>
      <c r="E1476" s="0" t="n">
        <f aca="false">MOD(C1476,Pemetaan!$B$4)</f>
        <v>24</v>
      </c>
      <c r="F1476" s="0" t="n">
        <f aca="false">IF(B1476="PRODUKSI",Pemetaan!$B$5,Pemetaan!$B$6)</f>
        <v>46</v>
      </c>
      <c r="G1476" s="0" t="n">
        <f aca="false">F1476+2+D1476</f>
        <v>70</v>
      </c>
      <c r="H1476" s="0" t="n">
        <f aca="false">Pemetaan!$B$2+E1476</f>
        <v>29</v>
      </c>
      <c r="I1476" s="0" t="str">
        <f aca="false">INDEX(Laporan!$A$1:$AZ$300,G1476,1)</f>
        <v>Mixing</v>
      </c>
      <c r="J1476" s="0" t="str">
        <f aca="false">INDEX(Laporan!$A$1:$AZ$300,G1476,2)</f>
        <v>330 ml</v>
      </c>
      <c r="K1476" s="0" t="str">
        <f aca="false">INDEX(Laporan!$A$1:$AZ$300,G1476,3)</f>
        <v>Shift 2</v>
      </c>
      <c r="L1476" s="0" t="n">
        <f aca="false">INDEX(Laporan!$A$1:$AZ$300,G1476,4)</f>
        <v>2</v>
      </c>
      <c r="M1476" s="1" t="n">
        <f aca="false">DATE(Pemetaan!$B$1,VALUE(RIGHT(INDEX(Laporan!$A$1:$AZ$300,F1476+1,H1476),2)),VALUE(LEFT(INDEX(Laporan!$A$1:$AZ$300,F1476+1,H1476),2)))</f>
        <v>46115</v>
      </c>
      <c r="N1476" s="0" t="n">
        <f aca="false">INDEX(Laporan!$A$1:$AZ$300,G1476,H1476)</f>
        <v>20</v>
      </c>
      <c r="O1476" s="0" t="n">
        <f aca="false">IF(N1476="","",IFERROR(VALUE(SUBSTITUTE(SUBSTITUTE(N1476," btl",""),".","")),""))</f>
        <v>20</v>
      </c>
      <c r="P1476" s="0" t="str">
        <f aca="false">IF(B1476="PRODUKSI","produced","reject")</f>
        <v>reject</v>
      </c>
    </row>
    <row r="1477" customFormat="false" ht="15" hidden="false" customHeight="false" outlineLevel="0" collapsed="false">
      <c r="A1477" s="0" t="n">
        <v>1476</v>
      </c>
      <c r="B1477" s="0" t="str">
        <f aca="false">IF(A1477&lt;=36*25,"PRODUKSI","REJECT")</f>
        <v>REJECT</v>
      </c>
      <c r="C1477" s="0" t="n">
        <f aca="false">MOD(A1477-1,Pemetaan!$B$3*Pemetaan!$B$4)</f>
        <v>575</v>
      </c>
      <c r="D1477" s="0" t="n">
        <f aca="false">INT(C1477/Pemetaan!$B$4)</f>
        <v>23</v>
      </c>
      <c r="E1477" s="0" t="n">
        <f aca="false">MOD(C1477,Pemetaan!$B$4)</f>
        <v>0</v>
      </c>
      <c r="F1477" s="0" t="n">
        <f aca="false">IF(B1477="PRODUKSI",Pemetaan!$B$5,Pemetaan!$B$6)</f>
        <v>46</v>
      </c>
      <c r="G1477" s="0" t="n">
        <f aca="false">F1477+2+D1477</f>
        <v>71</v>
      </c>
      <c r="H1477" s="0" t="n">
        <f aca="false">Pemetaan!$B$2+E1477</f>
        <v>5</v>
      </c>
      <c r="I1477" s="0" t="str">
        <f aca="false">INDEX(Laporan!$A$1:$AZ$300,G1477,1)</f>
        <v>Mixing</v>
      </c>
      <c r="J1477" s="0" t="str">
        <f aca="false">INDEX(Laporan!$A$1:$AZ$300,G1477,2)</f>
        <v>330 ml</v>
      </c>
      <c r="K1477" s="0" t="str">
        <f aca="false">INDEX(Laporan!$A$1:$AZ$300,G1477,3)</f>
        <v>Shift 2</v>
      </c>
      <c r="L1477" s="0" t="n">
        <f aca="false">INDEX(Laporan!$A$1:$AZ$300,G1477,4)</f>
        <v>3</v>
      </c>
      <c r="M1477" s="1" t="n">
        <f aca="false">DATE(Pemetaan!$B$1,VALUE(RIGHT(INDEX(Laporan!$A$1:$AZ$300,F1477+1,H1477),2)),VALUE(LEFT(INDEX(Laporan!$A$1:$AZ$300,F1477+1,H1477),2)))</f>
        <v>46083</v>
      </c>
      <c r="N1477" s="0" t="n">
        <f aca="false">INDEX(Laporan!$A$1:$AZ$300,G1477,H1477)</f>
        <v>17</v>
      </c>
      <c r="O1477" s="0" t="n">
        <f aca="false">IF(N1477="","",IFERROR(VALUE(SUBSTITUTE(SUBSTITUTE(N1477," btl",""),".","")),""))</f>
        <v>17</v>
      </c>
      <c r="P1477" s="0" t="str">
        <f aca="false">IF(B1477="PRODUKSI","produced","reject")</f>
        <v>reject</v>
      </c>
    </row>
    <row r="1478" customFormat="false" ht="15" hidden="false" customHeight="false" outlineLevel="0" collapsed="false">
      <c r="A1478" s="0" t="n">
        <v>1477</v>
      </c>
      <c r="B1478" s="0" t="str">
        <f aca="false">IF(A1478&lt;=36*25,"PRODUKSI","REJECT")</f>
        <v>REJECT</v>
      </c>
      <c r="C1478" s="0" t="n">
        <f aca="false">MOD(A1478-1,Pemetaan!$B$3*Pemetaan!$B$4)</f>
        <v>576</v>
      </c>
      <c r="D1478" s="0" t="n">
        <f aca="false">INT(C1478/Pemetaan!$B$4)</f>
        <v>23</v>
      </c>
      <c r="E1478" s="0" t="n">
        <f aca="false">MOD(C1478,Pemetaan!$B$4)</f>
        <v>1</v>
      </c>
      <c r="F1478" s="0" t="n">
        <f aca="false">IF(B1478="PRODUKSI",Pemetaan!$B$5,Pemetaan!$B$6)</f>
        <v>46</v>
      </c>
      <c r="G1478" s="0" t="n">
        <f aca="false">F1478+2+D1478</f>
        <v>71</v>
      </c>
      <c r="H1478" s="0" t="n">
        <f aca="false">Pemetaan!$B$2+E1478</f>
        <v>6</v>
      </c>
      <c r="I1478" s="0" t="str">
        <f aca="false">INDEX(Laporan!$A$1:$AZ$300,G1478,1)</f>
        <v>Mixing</v>
      </c>
      <c r="J1478" s="0" t="str">
        <f aca="false">INDEX(Laporan!$A$1:$AZ$300,G1478,2)</f>
        <v>330 ml</v>
      </c>
      <c r="K1478" s="0" t="str">
        <f aca="false">INDEX(Laporan!$A$1:$AZ$300,G1478,3)</f>
        <v>Shift 2</v>
      </c>
      <c r="L1478" s="0" t="n">
        <f aca="false">INDEX(Laporan!$A$1:$AZ$300,G1478,4)</f>
        <v>3</v>
      </c>
      <c r="M1478" s="1" t="n">
        <f aca="false">DATE(Pemetaan!$B$1,VALUE(RIGHT(INDEX(Laporan!$A$1:$AZ$300,F1478+1,H1478),2)),VALUE(LEFT(INDEX(Laporan!$A$1:$AZ$300,F1478+1,H1478),2)))</f>
        <v>46084</v>
      </c>
      <c r="N1478" s="0" t="n">
        <f aca="false">INDEX(Laporan!$A$1:$AZ$300,G1478,H1478)</f>
        <v>20</v>
      </c>
      <c r="O1478" s="0" t="n">
        <f aca="false">IF(N1478="","",IFERROR(VALUE(SUBSTITUTE(SUBSTITUTE(N1478," btl",""),".","")),""))</f>
        <v>20</v>
      </c>
      <c r="P1478" s="0" t="str">
        <f aca="false">IF(B1478="PRODUKSI","produced","reject")</f>
        <v>reject</v>
      </c>
    </row>
    <row r="1479" customFormat="false" ht="15" hidden="false" customHeight="false" outlineLevel="0" collapsed="false">
      <c r="A1479" s="0" t="n">
        <v>1478</v>
      </c>
      <c r="B1479" s="0" t="str">
        <f aca="false">IF(A1479&lt;=36*25,"PRODUKSI","REJECT")</f>
        <v>REJECT</v>
      </c>
      <c r="C1479" s="0" t="n">
        <f aca="false">MOD(A1479-1,Pemetaan!$B$3*Pemetaan!$B$4)</f>
        <v>577</v>
      </c>
      <c r="D1479" s="0" t="n">
        <f aca="false">INT(C1479/Pemetaan!$B$4)</f>
        <v>23</v>
      </c>
      <c r="E1479" s="0" t="n">
        <f aca="false">MOD(C1479,Pemetaan!$B$4)</f>
        <v>2</v>
      </c>
      <c r="F1479" s="0" t="n">
        <f aca="false">IF(B1479="PRODUKSI",Pemetaan!$B$5,Pemetaan!$B$6)</f>
        <v>46</v>
      </c>
      <c r="G1479" s="0" t="n">
        <f aca="false">F1479+2+D1479</f>
        <v>71</v>
      </c>
      <c r="H1479" s="0" t="n">
        <f aca="false">Pemetaan!$B$2+E1479</f>
        <v>7</v>
      </c>
      <c r="I1479" s="0" t="str">
        <f aca="false">INDEX(Laporan!$A$1:$AZ$300,G1479,1)</f>
        <v>Mixing</v>
      </c>
      <c r="J1479" s="0" t="str">
        <f aca="false">INDEX(Laporan!$A$1:$AZ$300,G1479,2)</f>
        <v>330 ml</v>
      </c>
      <c r="K1479" s="0" t="str">
        <f aca="false">INDEX(Laporan!$A$1:$AZ$300,G1479,3)</f>
        <v>Shift 2</v>
      </c>
      <c r="L1479" s="0" t="n">
        <f aca="false">INDEX(Laporan!$A$1:$AZ$300,G1479,4)</f>
        <v>3</v>
      </c>
      <c r="M1479" s="1" t="n">
        <f aca="false">DATE(Pemetaan!$B$1,VALUE(RIGHT(INDEX(Laporan!$A$1:$AZ$300,F1479+1,H1479),2)),VALUE(LEFT(INDEX(Laporan!$A$1:$AZ$300,F1479+1,H1479),2)))</f>
        <v>46085</v>
      </c>
      <c r="N1479" s="0" t="n">
        <f aca="false">INDEX(Laporan!$A$1:$AZ$300,G1479,H1479)</f>
        <v>21</v>
      </c>
      <c r="O1479" s="0" t="n">
        <f aca="false">IF(N1479="","",IFERROR(VALUE(SUBSTITUTE(SUBSTITUTE(N1479," btl",""),".","")),""))</f>
        <v>21</v>
      </c>
      <c r="P1479" s="0" t="str">
        <f aca="false">IF(B1479="PRODUKSI","produced","reject")</f>
        <v>reject</v>
      </c>
    </row>
    <row r="1480" customFormat="false" ht="15" hidden="false" customHeight="false" outlineLevel="0" collapsed="false">
      <c r="A1480" s="0" t="n">
        <v>1479</v>
      </c>
      <c r="B1480" s="0" t="str">
        <f aca="false">IF(A1480&lt;=36*25,"PRODUKSI","REJECT")</f>
        <v>REJECT</v>
      </c>
      <c r="C1480" s="0" t="n">
        <f aca="false">MOD(A1480-1,Pemetaan!$B$3*Pemetaan!$B$4)</f>
        <v>578</v>
      </c>
      <c r="D1480" s="0" t="n">
        <f aca="false">INT(C1480/Pemetaan!$B$4)</f>
        <v>23</v>
      </c>
      <c r="E1480" s="0" t="n">
        <f aca="false">MOD(C1480,Pemetaan!$B$4)</f>
        <v>3</v>
      </c>
      <c r="F1480" s="0" t="n">
        <f aca="false">IF(B1480="PRODUKSI",Pemetaan!$B$5,Pemetaan!$B$6)</f>
        <v>46</v>
      </c>
      <c r="G1480" s="0" t="n">
        <f aca="false">F1480+2+D1480</f>
        <v>71</v>
      </c>
      <c r="H1480" s="0" t="n">
        <f aca="false">Pemetaan!$B$2+E1480</f>
        <v>8</v>
      </c>
      <c r="I1480" s="0" t="str">
        <f aca="false">INDEX(Laporan!$A$1:$AZ$300,G1480,1)</f>
        <v>Mixing</v>
      </c>
      <c r="J1480" s="0" t="str">
        <f aca="false">INDEX(Laporan!$A$1:$AZ$300,G1480,2)</f>
        <v>330 ml</v>
      </c>
      <c r="K1480" s="0" t="str">
        <f aca="false">INDEX(Laporan!$A$1:$AZ$300,G1480,3)</f>
        <v>Shift 2</v>
      </c>
      <c r="L1480" s="0" t="n">
        <f aca="false">INDEX(Laporan!$A$1:$AZ$300,G1480,4)</f>
        <v>3</v>
      </c>
      <c r="M1480" s="1" t="n">
        <f aca="false">DATE(Pemetaan!$B$1,VALUE(RIGHT(INDEX(Laporan!$A$1:$AZ$300,F1480+1,H1480),2)),VALUE(LEFT(INDEX(Laporan!$A$1:$AZ$300,F1480+1,H1480),2)))</f>
        <v>46086</v>
      </c>
      <c r="N1480" s="0" t="n">
        <f aca="false">INDEX(Laporan!$A$1:$AZ$300,G1480,H1480)</f>
        <v>28</v>
      </c>
      <c r="O1480" s="0" t="n">
        <f aca="false">IF(N1480="","",IFERROR(VALUE(SUBSTITUTE(SUBSTITUTE(N1480," btl",""),".","")),""))</f>
        <v>28</v>
      </c>
      <c r="P1480" s="0" t="str">
        <f aca="false">IF(B1480="PRODUKSI","produced","reject")</f>
        <v>reject</v>
      </c>
    </row>
    <row r="1481" customFormat="false" ht="15" hidden="false" customHeight="false" outlineLevel="0" collapsed="false">
      <c r="A1481" s="0" t="n">
        <v>1480</v>
      </c>
      <c r="B1481" s="0" t="str">
        <f aca="false">IF(A1481&lt;=36*25,"PRODUKSI","REJECT")</f>
        <v>REJECT</v>
      </c>
      <c r="C1481" s="0" t="n">
        <f aca="false">MOD(A1481-1,Pemetaan!$B$3*Pemetaan!$B$4)</f>
        <v>579</v>
      </c>
      <c r="D1481" s="0" t="n">
        <f aca="false">INT(C1481/Pemetaan!$B$4)</f>
        <v>23</v>
      </c>
      <c r="E1481" s="0" t="n">
        <f aca="false">MOD(C1481,Pemetaan!$B$4)</f>
        <v>4</v>
      </c>
      <c r="F1481" s="0" t="n">
        <f aca="false">IF(B1481="PRODUKSI",Pemetaan!$B$5,Pemetaan!$B$6)</f>
        <v>46</v>
      </c>
      <c r="G1481" s="0" t="n">
        <f aca="false">F1481+2+D1481</f>
        <v>71</v>
      </c>
      <c r="H1481" s="0" t="n">
        <f aca="false">Pemetaan!$B$2+E1481</f>
        <v>9</v>
      </c>
      <c r="I1481" s="0" t="str">
        <f aca="false">INDEX(Laporan!$A$1:$AZ$300,G1481,1)</f>
        <v>Mixing</v>
      </c>
      <c r="J1481" s="0" t="str">
        <f aca="false">INDEX(Laporan!$A$1:$AZ$300,G1481,2)</f>
        <v>330 ml</v>
      </c>
      <c r="K1481" s="0" t="str">
        <f aca="false">INDEX(Laporan!$A$1:$AZ$300,G1481,3)</f>
        <v>Shift 2</v>
      </c>
      <c r="L1481" s="0" t="n">
        <f aca="false">INDEX(Laporan!$A$1:$AZ$300,G1481,4)</f>
        <v>3</v>
      </c>
      <c r="M1481" s="1" t="n">
        <f aca="false">DATE(Pemetaan!$B$1,VALUE(RIGHT(INDEX(Laporan!$A$1:$AZ$300,F1481+1,H1481),2)),VALUE(LEFT(INDEX(Laporan!$A$1:$AZ$300,F1481+1,H1481),2)))</f>
        <v>46087</v>
      </c>
      <c r="N1481" s="0" t="n">
        <f aca="false">INDEX(Laporan!$A$1:$AZ$300,G1481,H1481)</f>
        <v>16</v>
      </c>
      <c r="O1481" s="0" t="n">
        <f aca="false">IF(N1481="","",IFERROR(VALUE(SUBSTITUTE(SUBSTITUTE(N1481," btl",""),".","")),""))</f>
        <v>16</v>
      </c>
      <c r="P1481" s="0" t="str">
        <f aca="false">IF(B1481="PRODUKSI","produced","reject")</f>
        <v>reject</v>
      </c>
    </row>
    <row r="1482" customFormat="false" ht="15" hidden="false" customHeight="false" outlineLevel="0" collapsed="false">
      <c r="A1482" s="0" t="n">
        <v>1481</v>
      </c>
      <c r="B1482" s="0" t="str">
        <f aca="false">IF(A1482&lt;=36*25,"PRODUKSI","REJECT")</f>
        <v>REJECT</v>
      </c>
      <c r="C1482" s="0" t="n">
        <f aca="false">MOD(A1482-1,Pemetaan!$B$3*Pemetaan!$B$4)</f>
        <v>580</v>
      </c>
      <c r="D1482" s="0" t="n">
        <f aca="false">INT(C1482/Pemetaan!$B$4)</f>
        <v>23</v>
      </c>
      <c r="E1482" s="0" t="n">
        <f aca="false">MOD(C1482,Pemetaan!$B$4)</f>
        <v>5</v>
      </c>
      <c r="F1482" s="0" t="n">
        <f aca="false">IF(B1482="PRODUKSI",Pemetaan!$B$5,Pemetaan!$B$6)</f>
        <v>46</v>
      </c>
      <c r="G1482" s="0" t="n">
        <f aca="false">F1482+2+D1482</f>
        <v>71</v>
      </c>
      <c r="H1482" s="0" t="n">
        <f aca="false">Pemetaan!$B$2+E1482</f>
        <v>10</v>
      </c>
      <c r="I1482" s="0" t="str">
        <f aca="false">INDEX(Laporan!$A$1:$AZ$300,G1482,1)</f>
        <v>Mixing</v>
      </c>
      <c r="J1482" s="0" t="str">
        <f aca="false">INDEX(Laporan!$A$1:$AZ$300,G1482,2)</f>
        <v>330 ml</v>
      </c>
      <c r="K1482" s="0" t="str">
        <f aca="false">INDEX(Laporan!$A$1:$AZ$300,G1482,3)</f>
        <v>Shift 2</v>
      </c>
      <c r="L1482" s="0" t="n">
        <f aca="false">INDEX(Laporan!$A$1:$AZ$300,G1482,4)</f>
        <v>3</v>
      </c>
      <c r="M1482" s="1" t="n">
        <f aca="false">DATE(Pemetaan!$B$1,VALUE(RIGHT(INDEX(Laporan!$A$1:$AZ$300,F1482+1,H1482),2)),VALUE(LEFT(INDEX(Laporan!$A$1:$AZ$300,F1482+1,H1482),2)))</f>
        <v>46090</v>
      </c>
      <c r="N1482" s="0" t="n">
        <f aca="false">INDEX(Laporan!$A$1:$AZ$300,G1482,H1482)</f>
        <v>23</v>
      </c>
      <c r="O1482" s="0" t="n">
        <f aca="false">IF(N1482="","",IFERROR(VALUE(SUBSTITUTE(SUBSTITUTE(N1482," btl",""),".","")),""))</f>
        <v>23</v>
      </c>
      <c r="P1482" s="0" t="str">
        <f aca="false">IF(B1482="PRODUKSI","produced","reject")</f>
        <v>reject</v>
      </c>
    </row>
    <row r="1483" customFormat="false" ht="15" hidden="false" customHeight="false" outlineLevel="0" collapsed="false">
      <c r="A1483" s="0" t="n">
        <v>1482</v>
      </c>
      <c r="B1483" s="0" t="str">
        <f aca="false">IF(A1483&lt;=36*25,"PRODUKSI","REJECT")</f>
        <v>REJECT</v>
      </c>
      <c r="C1483" s="0" t="n">
        <f aca="false">MOD(A1483-1,Pemetaan!$B$3*Pemetaan!$B$4)</f>
        <v>581</v>
      </c>
      <c r="D1483" s="0" t="n">
        <f aca="false">INT(C1483/Pemetaan!$B$4)</f>
        <v>23</v>
      </c>
      <c r="E1483" s="0" t="n">
        <f aca="false">MOD(C1483,Pemetaan!$B$4)</f>
        <v>6</v>
      </c>
      <c r="F1483" s="0" t="n">
        <f aca="false">IF(B1483="PRODUKSI",Pemetaan!$B$5,Pemetaan!$B$6)</f>
        <v>46</v>
      </c>
      <c r="G1483" s="0" t="n">
        <f aca="false">F1483+2+D1483</f>
        <v>71</v>
      </c>
      <c r="H1483" s="0" t="n">
        <f aca="false">Pemetaan!$B$2+E1483</f>
        <v>11</v>
      </c>
      <c r="I1483" s="0" t="str">
        <f aca="false">INDEX(Laporan!$A$1:$AZ$300,G1483,1)</f>
        <v>Mixing</v>
      </c>
      <c r="J1483" s="0" t="str">
        <f aca="false">INDEX(Laporan!$A$1:$AZ$300,G1483,2)</f>
        <v>330 ml</v>
      </c>
      <c r="K1483" s="0" t="str">
        <f aca="false">INDEX(Laporan!$A$1:$AZ$300,G1483,3)</f>
        <v>Shift 2</v>
      </c>
      <c r="L1483" s="0" t="n">
        <f aca="false">INDEX(Laporan!$A$1:$AZ$300,G1483,4)</f>
        <v>3</v>
      </c>
      <c r="M1483" s="1" t="n">
        <f aca="false">DATE(Pemetaan!$B$1,VALUE(RIGHT(INDEX(Laporan!$A$1:$AZ$300,F1483+1,H1483),2)),VALUE(LEFT(INDEX(Laporan!$A$1:$AZ$300,F1483+1,H1483),2)))</f>
        <v>46091</v>
      </c>
      <c r="N1483" s="0" t="n">
        <f aca="false">INDEX(Laporan!$A$1:$AZ$300,G1483,H1483)</f>
        <v>20</v>
      </c>
      <c r="O1483" s="0" t="n">
        <f aca="false">IF(N1483="","",IFERROR(VALUE(SUBSTITUTE(SUBSTITUTE(N1483," btl",""),".","")),""))</f>
        <v>20</v>
      </c>
      <c r="P1483" s="0" t="str">
        <f aca="false">IF(B1483="PRODUKSI","produced","reject")</f>
        <v>reject</v>
      </c>
    </row>
    <row r="1484" customFormat="false" ht="15" hidden="false" customHeight="false" outlineLevel="0" collapsed="false">
      <c r="A1484" s="0" t="n">
        <v>1483</v>
      </c>
      <c r="B1484" s="0" t="str">
        <f aca="false">IF(A1484&lt;=36*25,"PRODUKSI","REJECT")</f>
        <v>REJECT</v>
      </c>
      <c r="C1484" s="0" t="n">
        <f aca="false">MOD(A1484-1,Pemetaan!$B$3*Pemetaan!$B$4)</f>
        <v>582</v>
      </c>
      <c r="D1484" s="0" t="n">
        <f aca="false">INT(C1484/Pemetaan!$B$4)</f>
        <v>23</v>
      </c>
      <c r="E1484" s="0" t="n">
        <f aca="false">MOD(C1484,Pemetaan!$B$4)</f>
        <v>7</v>
      </c>
      <c r="F1484" s="0" t="n">
        <f aca="false">IF(B1484="PRODUKSI",Pemetaan!$B$5,Pemetaan!$B$6)</f>
        <v>46</v>
      </c>
      <c r="G1484" s="0" t="n">
        <f aca="false">F1484+2+D1484</f>
        <v>71</v>
      </c>
      <c r="H1484" s="0" t="n">
        <f aca="false">Pemetaan!$B$2+E1484</f>
        <v>12</v>
      </c>
      <c r="I1484" s="0" t="str">
        <f aca="false">INDEX(Laporan!$A$1:$AZ$300,G1484,1)</f>
        <v>Mixing</v>
      </c>
      <c r="J1484" s="0" t="str">
        <f aca="false">INDEX(Laporan!$A$1:$AZ$300,G1484,2)</f>
        <v>330 ml</v>
      </c>
      <c r="K1484" s="0" t="str">
        <f aca="false">INDEX(Laporan!$A$1:$AZ$300,G1484,3)</f>
        <v>Shift 2</v>
      </c>
      <c r="L1484" s="0" t="n">
        <f aca="false">INDEX(Laporan!$A$1:$AZ$300,G1484,4)</f>
        <v>3</v>
      </c>
      <c r="M1484" s="1" t="n">
        <f aca="false">DATE(Pemetaan!$B$1,VALUE(RIGHT(INDEX(Laporan!$A$1:$AZ$300,F1484+1,H1484),2)),VALUE(LEFT(INDEX(Laporan!$A$1:$AZ$300,F1484+1,H1484),2)))</f>
        <v>46092</v>
      </c>
      <c r="N1484" s="0" t="n">
        <f aca="false">INDEX(Laporan!$A$1:$AZ$300,G1484,H1484)</f>
        <v>19</v>
      </c>
      <c r="O1484" s="0" t="n">
        <f aca="false">IF(N1484="","",IFERROR(VALUE(SUBSTITUTE(SUBSTITUTE(N1484," btl",""),".","")),""))</f>
        <v>19</v>
      </c>
      <c r="P1484" s="0" t="str">
        <f aca="false">IF(B1484="PRODUKSI","produced","reject")</f>
        <v>reject</v>
      </c>
    </row>
    <row r="1485" customFormat="false" ht="15" hidden="false" customHeight="false" outlineLevel="0" collapsed="false">
      <c r="A1485" s="0" t="n">
        <v>1484</v>
      </c>
      <c r="B1485" s="0" t="str">
        <f aca="false">IF(A1485&lt;=36*25,"PRODUKSI","REJECT")</f>
        <v>REJECT</v>
      </c>
      <c r="C1485" s="0" t="n">
        <f aca="false">MOD(A1485-1,Pemetaan!$B$3*Pemetaan!$B$4)</f>
        <v>583</v>
      </c>
      <c r="D1485" s="0" t="n">
        <f aca="false">INT(C1485/Pemetaan!$B$4)</f>
        <v>23</v>
      </c>
      <c r="E1485" s="0" t="n">
        <f aca="false">MOD(C1485,Pemetaan!$B$4)</f>
        <v>8</v>
      </c>
      <c r="F1485" s="0" t="n">
        <f aca="false">IF(B1485="PRODUKSI",Pemetaan!$B$5,Pemetaan!$B$6)</f>
        <v>46</v>
      </c>
      <c r="G1485" s="0" t="n">
        <f aca="false">F1485+2+D1485</f>
        <v>71</v>
      </c>
      <c r="H1485" s="0" t="n">
        <f aca="false">Pemetaan!$B$2+E1485</f>
        <v>13</v>
      </c>
      <c r="I1485" s="0" t="str">
        <f aca="false">INDEX(Laporan!$A$1:$AZ$300,G1485,1)</f>
        <v>Mixing</v>
      </c>
      <c r="J1485" s="0" t="str">
        <f aca="false">INDEX(Laporan!$A$1:$AZ$300,G1485,2)</f>
        <v>330 ml</v>
      </c>
      <c r="K1485" s="0" t="str">
        <f aca="false">INDEX(Laporan!$A$1:$AZ$300,G1485,3)</f>
        <v>Shift 2</v>
      </c>
      <c r="L1485" s="0" t="n">
        <f aca="false">INDEX(Laporan!$A$1:$AZ$300,G1485,4)</f>
        <v>3</v>
      </c>
      <c r="M1485" s="1" t="n">
        <f aca="false">DATE(Pemetaan!$B$1,VALUE(RIGHT(INDEX(Laporan!$A$1:$AZ$300,F1485+1,H1485),2)),VALUE(LEFT(INDEX(Laporan!$A$1:$AZ$300,F1485+1,H1485),2)))</f>
        <v>46093</v>
      </c>
      <c r="N1485" s="0" t="n">
        <f aca="false">INDEX(Laporan!$A$1:$AZ$300,G1485,H1485)</f>
        <v>25</v>
      </c>
      <c r="O1485" s="0" t="n">
        <f aca="false">IF(N1485="","",IFERROR(VALUE(SUBSTITUTE(SUBSTITUTE(N1485," btl",""),".","")),""))</f>
        <v>25</v>
      </c>
      <c r="P1485" s="0" t="str">
        <f aca="false">IF(B1485="PRODUKSI","produced","reject")</f>
        <v>reject</v>
      </c>
    </row>
    <row r="1486" customFormat="false" ht="15" hidden="false" customHeight="false" outlineLevel="0" collapsed="false">
      <c r="A1486" s="0" t="n">
        <v>1485</v>
      </c>
      <c r="B1486" s="0" t="str">
        <f aca="false">IF(A1486&lt;=36*25,"PRODUKSI","REJECT")</f>
        <v>REJECT</v>
      </c>
      <c r="C1486" s="0" t="n">
        <f aca="false">MOD(A1486-1,Pemetaan!$B$3*Pemetaan!$B$4)</f>
        <v>584</v>
      </c>
      <c r="D1486" s="0" t="n">
        <f aca="false">INT(C1486/Pemetaan!$B$4)</f>
        <v>23</v>
      </c>
      <c r="E1486" s="0" t="n">
        <f aca="false">MOD(C1486,Pemetaan!$B$4)</f>
        <v>9</v>
      </c>
      <c r="F1486" s="0" t="n">
        <f aca="false">IF(B1486="PRODUKSI",Pemetaan!$B$5,Pemetaan!$B$6)</f>
        <v>46</v>
      </c>
      <c r="G1486" s="0" t="n">
        <f aca="false">F1486+2+D1486</f>
        <v>71</v>
      </c>
      <c r="H1486" s="0" t="n">
        <f aca="false">Pemetaan!$B$2+E1486</f>
        <v>14</v>
      </c>
      <c r="I1486" s="0" t="str">
        <f aca="false">INDEX(Laporan!$A$1:$AZ$300,G1486,1)</f>
        <v>Mixing</v>
      </c>
      <c r="J1486" s="0" t="str">
        <f aca="false">INDEX(Laporan!$A$1:$AZ$300,G1486,2)</f>
        <v>330 ml</v>
      </c>
      <c r="K1486" s="0" t="str">
        <f aca="false">INDEX(Laporan!$A$1:$AZ$300,G1486,3)</f>
        <v>Shift 2</v>
      </c>
      <c r="L1486" s="0" t="n">
        <f aca="false">INDEX(Laporan!$A$1:$AZ$300,G1486,4)</f>
        <v>3</v>
      </c>
      <c r="M1486" s="1" t="n">
        <f aca="false">DATE(Pemetaan!$B$1,VALUE(RIGHT(INDEX(Laporan!$A$1:$AZ$300,F1486+1,H1486),2)),VALUE(LEFT(INDEX(Laporan!$A$1:$AZ$300,F1486+1,H1486),2)))</f>
        <v>46094</v>
      </c>
      <c r="N1486" s="0" t="n">
        <f aca="false">INDEX(Laporan!$A$1:$AZ$300,G1486,H1486)</f>
        <v>20</v>
      </c>
      <c r="O1486" s="0" t="n">
        <f aca="false">IF(N1486="","",IFERROR(VALUE(SUBSTITUTE(SUBSTITUTE(N1486," btl",""),".","")),""))</f>
        <v>20</v>
      </c>
      <c r="P1486" s="0" t="str">
        <f aca="false">IF(B1486="PRODUKSI","produced","reject")</f>
        <v>reject</v>
      </c>
    </row>
    <row r="1487" customFormat="false" ht="15" hidden="false" customHeight="false" outlineLevel="0" collapsed="false">
      <c r="A1487" s="0" t="n">
        <v>1486</v>
      </c>
      <c r="B1487" s="0" t="str">
        <f aca="false">IF(A1487&lt;=36*25,"PRODUKSI","REJECT")</f>
        <v>REJECT</v>
      </c>
      <c r="C1487" s="0" t="n">
        <f aca="false">MOD(A1487-1,Pemetaan!$B$3*Pemetaan!$B$4)</f>
        <v>585</v>
      </c>
      <c r="D1487" s="0" t="n">
        <f aca="false">INT(C1487/Pemetaan!$B$4)</f>
        <v>23</v>
      </c>
      <c r="E1487" s="0" t="n">
        <f aca="false">MOD(C1487,Pemetaan!$B$4)</f>
        <v>10</v>
      </c>
      <c r="F1487" s="0" t="n">
        <f aca="false">IF(B1487="PRODUKSI",Pemetaan!$B$5,Pemetaan!$B$6)</f>
        <v>46</v>
      </c>
      <c r="G1487" s="0" t="n">
        <f aca="false">F1487+2+D1487</f>
        <v>71</v>
      </c>
      <c r="H1487" s="0" t="n">
        <f aca="false">Pemetaan!$B$2+E1487</f>
        <v>15</v>
      </c>
      <c r="I1487" s="0" t="str">
        <f aca="false">INDEX(Laporan!$A$1:$AZ$300,G1487,1)</f>
        <v>Mixing</v>
      </c>
      <c r="J1487" s="0" t="str">
        <f aca="false">INDEX(Laporan!$A$1:$AZ$300,G1487,2)</f>
        <v>330 ml</v>
      </c>
      <c r="K1487" s="0" t="str">
        <f aca="false">INDEX(Laporan!$A$1:$AZ$300,G1487,3)</f>
        <v>Shift 2</v>
      </c>
      <c r="L1487" s="0" t="n">
        <f aca="false">INDEX(Laporan!$A$1:$AZ$300,G1487,4)</f>
        <v>3</v>
      </c>
      <c r="M1487" s="1" t="n">
        <f aca="false">DATE(Pemetaan!$B$1,VALUE(RIGHT(INDEX(Laporan!$A$1:$AZ$300,F1487+1,H1487),2)),VALUE(LEFT(INDEX(Laporan!$A$1:$AZ$300,F1487+1,H1487),2)))</f>
        <v>46097</v>
      </c>
      <c r="N1487" s="0" t="n">
        <f aca="false">INDEX(Laporan!$A$1:$AZ$300,G1487,H1487)</f>
        <v>26</v>
      </c>
      <c r="O1487" s="0" t="n">
        <f aca="false">IF(N1487="","",IFERROR(VALUE(SUBSTITUTE(SUBSTITUTE(N1487," btl",""),".","")),""))</f>
        <v>26</v>
      </c>
      <c r="P1487" s="0" t="str">
        <f aca="false">IF(B1487="PRODUKSI","produced","reject")</f>
        <v>reject</v>
      </c>
    </row>
    <row r="1488" customFormat="false" ht="15" hidden="false" customHeight="false" outlineLevel="0" collapsed="false">
      <c r="A1488" s="0" t="n">
        <v>1487</v>
      </c>
      <c r="B1488" s="0" t="str">
        <f aca="false">IF(A1488&lt;=36*25,"PRODUKSI","REJECT")</f>
        <v>REJECT</v>
      </c>
      <c r="C1488" s="0" t="n">
        <f aca="false">MOD(A1488-1,Pemetaan!$B$3*Pemetaan!$B$4)</f>
        <v>586</v>
      </c>
      <c r="D1488" s="0" t="n">
        <f aca="false">INT(C1488/Pemetaan!$B$4)</f>
        <v>23</v>
      </c>
      <c r="E1488" s="0" t="n">
        <f aca="false">MOD(C1488,Pemetaan!$B$4)</f>
        <v>11</v>
      </c>
      <c r="F1488" s="0" t="n">
        <f aca="false">IF(B1488="PRODUKSI",Pemetaan!$B$5,Pemetaan!$B$6)</f>
        <v>46</v>
      </c>
      <c r="G1488" s="0" t="n">
        <f aca="false">F1488+2+D1488</f>
        <v>71</v>
      </c>
      <c r="H1488" s="0" t="n">
        <f aca="false">Pemetaan!$B$2+E1488</f>
        <v>16</v>
      </c>
      <c r="I1488" s="0" t="str">
        <f aca="false">INDEX(Laporan!$A$1:$AZ$300,G1488,1)</f>
        <v>Mixing</v>
      </c>
      <c r="J1488" s="0" t="str">
        <f aca="false">INDEX(Laporan!$A$1:$AZ$300,G1488,2)</f>
        <v>330 ml</v>
      </c>
      <c r="K1488" s="0" t="str">
        <f aca="false">INDEX(Laporan!$A$1:$AZ$300,G1488,3)</f>
        <v>Shift 2</v>
      </c>
      <c r="L1488" s="0" t="n">
        <f aca="false">INDEX(Laporan!$A$1:$AZ$300,G1488,4)</f>
        <v>3</v>
      </c>
      <c r="M1488" s="1" t="n">
        <f aca="false">DATE(Pemetaan!$B$1,VALUE(RIGHT(INDEX(Laporan!$A$1:$AZ$300,F1488+1,H1488),2)),VALUE(LEFT(INDEX(Laporan!$A$1:$AZ$300,F1488+1,H1488),2)))</f>
        <v>46098</v>
      </c>
      <c r="N1488" s="0" t="n">
        <f aca="false">INDEX(Laporan!$A$1:$AZ$300,G1488,H1488)</f>
        <v>15</v>
      </c>
      <c r="O1488" s="0" t="n">
        <f aca="false">IF(N1488="","",IFERROR(VALUE(SUBSTITUTE(SUBSTITUTE(N1488," btl",""),".","")),""))</f>
        <v>15</v>
      </c>
      <c r="P1488" s="0" t="str">
        <f aca="false">IF(B1488="PRODUKSI","produced","reject")</f>
        <v>reject</v>
      </c>
    </row>
    <row r="1489" customFormat="false" ht="15" hidden="false" customHeight="false" outlineLevel="0" collapsed="false">
      <c r="A1489" s="0" t="n">
        <v>1488</v>
      </c>
      <c r="B1489" s="0" t="str">
        <f aca="false">IF(A1489&lt;=36*25,"PRODUKSI","REJECT")</f>
        <v>REJECT</v>
      </c>
      <c r="C1489" s="0" t="n">
        <f aca="false">MOD(A1489-1,Pemetaan!$B$3*Pemetaan!$B$4)</f>
        <v>587</v>
      </c>
      <c r="D1489" s="0" t="n">
        <f aca="false">INT(C1489/Pemetaan!$B$4)</f>
        <v>23</v>
      </c>
      <c r="E1489" s="0" t="n">
        <f aca="false">MOD(C1489,Pemetaan!$B$4)</f>
        <v>12</v>
      </c>
      <c r="F1489" s="0" t="n">
        <f aca="false">IF(B1489="PRODUKSI",Pemetaan!$B$5,Pemetaan!$B$6)</f>
        <v>46</v>
      </c>
      <c r="G1489" s="0" t="n">
        <f aca="false">F1489+2+D1489</f>
        <v>71</v>
      </c>
      <c r="H1489" s="0" t="n">
        <f aca="false">Pemetaan!$B$2+E1489</f>
        <v>17</v>
      </c>
      <c r="I1489" s="0" t="str">
        <f aca="false">INDEX(Laporan!$A$1:$AZ$300,G1489,1)</f>
        <v>Mixing</v>
      </c>
      <c r="J1489" s="0" t="str">
        <f aca="false">INDEX(Laporan!$A$1:$AZ$300,G1489,2)</f>
        <v>330 ml</v>
      </c>
      <c r="K1489" s="0" t="str">
        <f aca="false">INDEX(Laporan!$A$1:$AZ$300,G1489,3)</f>
        <v>Shift 2</v>
      </c>
      <c r="L1489" s="0" t="n">
        <f aca="false">INDEX(Laporan!$A$1:$AZ$300,G1489,4)</f>
        <v>3</v>
      </c>
      <c r="M1489" s="1" t="n">
        <f aca="false">DATE(Pemetaan!$B$1,VALUE(RIGHT(INDEX(Laporan!$A$1:$AZ$300,F1489+1,H1489),2)),VALUE(LEFT(INDEX(Laporan!$A$1:$AZ$300,F1489+1,H1489),2)))</f>
        <v>46099</v>
      </c>
      <c r="N1489" s="0" t="n">
        <f aca="false">INDEX(Laporan!$A$1:$AZ$300,G1489,H1489)</f>
        <v>27</v>
      </c>
      <c r="O1489" s="0" t="n">
        <f aca="false">IF(N1489="","",IFERROR(VALUE(SUBSTITUTE(SUBSTITUTE(N1489," btl",""),".","")),""))</f>
        <v>27</v>
      </c>
      <c r="P1489" s="0" t="str">
        <f aca="false">IF(B1489="PRODUKSI","produced","reject")</f>
        <v>reject</v>
      </c>
    </row>
    <row r="1490" customFormat="false" ht="15" hidden="false" customHeight="false" outlineLevel="0" collapsed="false">
      <c r="A1490" s="0" t="n">
        <v>1489</v>
      </c>
      <c r="B1490" s="0" t="str">
        <f aca="false">IF(A1490&lt;=36*25,"PRODUKSI","REJECT")</f>
        <v>REJECT</v>
      </c>
      <c r="C1490" s="0" t="n">
        <f aca="false">MOD(A1490-1,Pemetaan!$B$3*Pemetaan!$B$4)</f>
        <v>588</v>
      </c>
      <c r="D1490" s="0" t="n">
        <f aca="false">INT(C1490/Pemetaan!$B$4)</f>
        <v>23</v>
      </c>
      <c r="E1490" s="0" t="n">
        <f aca="false">MOD(C1490,Pemetaan!$B$4)</f>
        <v>13</v>
      </c>
      <c r="F1490" s="0" t="n">
        <f aca="false">IF(B1490="PRODUKSI",Pemetaan!$B$5,Pemetaan!$B$6)</f>
        <v>46</v>
      </c>
      <c r="G1490" s="0" t="n">
        <f aca="false">F1490+2+D1490</f>
        <v>71</v>
      </c>
      <c r="H1490" s="0" t="n">
        <f aca="false">Pemetaan!$B$2+E1490</f>
        <v>18</v>
      </c>
      <c r="I1490" s="0" t="str">
        <f aca="false">INDEX(Laporan!$A$1:$AZ$300,G1490,1)</f>
        <v>Mixing</v>
      </c>
      <c r="J1490" s="0" t="str">
        <f aca="false">INDEX(Laporan!$A$1:$AZ$300,G1490,2)</f>
        <v>330 ml</v>
      </c>
      <c r="K1490" s="0" t="str">
        <f aca="false">INDEX(Laporan!$A$1:$AZ$300,G1490,3)</f>
        <v>Shift 2</v>
      </c>
      <c r="L1490" s="0" t="n">
        <f aca="false">INDEX(Laporan!$A$1:$AZ$300,G1490,4)</f>
        <v>3</v>
      </c>
      <c r="M1490" s="1" t="n">
        <f aca="false">DATE(Pemetaan!$B$1,VALUE(RIGHT(INDEX(Laporan!$A$1:$AZ$300,F1490+1,H1490),2)),VALUE(LEFT(INDEX(Laporan!$A$1:$AZ$300,F1490+1,H1490),2)))</f>
        <v>46100</v>
      </c>
      <c r="N1490" s="0" t="n">
        <f aca="false">INDEX(Laporan!$A$1:$AZ$300,G1490,H1490)</f>
        <v>18</v>
      </c>
      <c r="O1490" s="0" t="n">
        <f aca="false">IF(N1490="","",IFERROR(VALUE(SUBSTITUTE(SUBSTITUTE(N1490," btl",""),".","")),""))</f>
        <v>18</v>
      </c>
      <c r="P1490" s="0" t="str">
        <f aca="false">IF(B1490="PRODUKSI","produced","reject")</f>
        <v>reject</v>
      </c>
    </row>
    <row r="1491" customFormat="false" ht="15" hidden="false" customHeight="false" outlineLevel="0" collapsed="false">
      <c r="A1491" s="0" t="n">
        <v>1490</v>
      </c>
      <c r="B1491" s="0" t="str">
        <f aca="false">IF(A1491&lt;=36*25,"PRODUKSI","REJECT")</f>
        <v>REJECT</v>
      </c>
      <c r="C1491" s="0" t="n">
        <f aca="false">MOD(A1491-1,Pemetaan!$B$3*Pemetaan!$B$4)</f>
        <v>589</v>
      </c>
      <c r="D1491" s="0" t="n">
        <f aca="false">INT(C1491/Pemetaan!$B$4)</f>
        <v>23</v>
      </c>
      <c r="E1491" s="0" t="n">
        <f aca="false">MOD(C1491,Pemetaan!$B$4)</f>
        <v>14</v>
      </c>
      <c r="F1491" s="0" t="n">
        <f aca="false">IF(B1491="PRODUKSI",Pemetaan!$B$5,Pemetaan!$B$6)</f>
        <v>46</v>
      </c>
      <c r="G1491" s="0" t="n">
        <f aca="false">F1491+2+D1491</f>
        <v>71</v>
      </c>
      <c r="H1491" s="0" t="n">
        <f aca="false">Pemetaan!$B$2+E1491</f>
        <v>19</v>
      </c>
      <c r="I1491" s="0" t="str">
        <f aca="false">INDEX(Laporan!$A$1:$AZ$300,G1491,1)</f>
        <v>Mixing</v>
      </c>
      <c r="J1491" s="0" t="str">
        <f aca="false">INDEX(Laporan!$A$1:$AZ$300,G1491,2)</f>
        <v>330 ml</v>
      </c>
      <c r="K1491" s="0" t="str">
        <f aca="false">INDEX(Laporan!$A$1:$AZ$300,G1491,3)</f>
        <v>Shift 2</v>
      </c>
      <c r="L1491" s="0" t="n">
        <f aca="false">INDEX(Laporan!$A$1:$AZ$300,G1491,4)</f>
        <v>3</v>
      </c>
      <c r="M1491" s="1" t="n">
        <f aca="false">DATE(Pemetaan!$B$1,VALUE(RIGHT(INDEX(Laporan!$A$1:$AZ$300,F1491+1,H1491),2)),VALUE(LEFT(INDEX(Laporan!$A$1:$AZ$300,F1491+1,H1491),2)))</f>
        <v>46101</v>
      </c>
      <c r="N1491" s="0" t="n">
        <f aca="false">INDEX(Laporan!$A$1:$AZ$300,G1491,H1491)</f>
        <v>27</v>
      </c>
      <c r="O1491" s="0" t="n">
        <f aca="false">IF(N1491="","",IFERROR(VALUE(SUBSTITUTE(SUBSTITUTE(N1491," btl",""),".","")),""))</f>
        <v>27</v>
      </c>
      <c r="P1491" s="0" t="str">
        <f aca="false">IF(B1491="PRODUKSI","produced","reject")</f>
        <v>reject</v>
      </c>
    </row>
    <row r="1492" customFormat="false" ht="15" hidden="false" customHeight="false" outlineLevel="0" collapsed="false">
      <c r="A1492" s="0" t="n">
        <v>1491</v>
      </c>
      <c r="B1492" s="0" t="str">
        <f aca="false">IF(A1492&lt;=36*25,"PRODUKSI","REJECT")</f>
        <v>REJECT</v>
      </c>
      <c r="C1492" s="0" t="n">
        <f aca="false">MOD(A1492-1,Pemetaan!$B$3*Pemetaan!$B$4)</f>
        <v>590</v>
      </c>
      <c r="D1492" s="0" t="n">
        <f aca="false">INT(C1492/Pemetaan!$B$4)</f>
        <v>23</v>
      </c>
      <c r="E1492" s="0" t="n">
        <f aca="false">MOD(C1492,Pemetaan!$B$4)</f>
        <v>15</v>
      </c>
      <c r="F1492" s="0" t="n">
        <f aca="false">IF(B1492="PRODUKSI",Pemetaan!$B$5,Pemetaan!$B$6)</f>
        <v>46</v>
      </c>
      <c r="G1492" s="0" t="n">
        <f aca="false">F1492+2+D1492</f>
        <v>71</v>
      </c>
      <c r="H1492" s="0" t="n">
        <f aca="false">Pemetaan!$B$2+E1492</f>
        <v>20</v>
      </c>
      <c r="I1492" s="0" t="str">
        <f aca="false">INDEX(Laporan!$A$1:$AZ$300,G1492,1)</f>
        <v>Mixing</v>
      </c>
      <c r="J1492" s="0" t="str">
        <f aca="false">INDEX(Laporan!$A$1:$AZ$300,G1492,2)</f>
        <v>330 ml</v>
      </c>
      <c r="K1492" s="0" t="str">
        <f aca="false">INDEX(Laporan!$A$1:$AZ$300,G1492,3)</f>
        <v>Shift 2</v>
      </c>
      <c r="L1492" s="0" t="n">
        <f aca="false">INDEX(Laporan!$A$1:$AZ$300,G1492,4)</f>
        <v>3</v>
      </c>
      <c r="M1492" s="1" t="n">
        <f aca="false">DATE(Pemetaan!$B$1,VALUE(RIGHT(INDEX(Laporan!$A$1:$AZ$300,F1492+1,H1492),2)),VALUE(LEFT(INDEX(Laporan!$A$1:$AZ$300,F1492+1,H1492),2)))</f>
        <v>46104</v>
      </c>
      <c r="N1492" s="0" t="n">
        <f aca="false">INDEX(Laporan!$A$1:$AZ$300,G1492,H1492)</f>
        <v>22</v>
      </c>
      <c r="O1492" s="0" t="n">
        <f aca="false">IF(N1492="","",IFERROR(VALUE(SUBSTITUTE(SUBSTITUTE(N1492," btl",""),".","")),""))</f>
        <v>22</v>
      </c>
      <c r="P1492" s="0" t="str">
        <f aca="false">IF(B1492="PRODUKSI","produced","reject")</f>
        <v>reject</v>
      </c>
    </row>
    <row r="1493" customFormat="false" ht="15" hidden="false" customHeight="false" outlineLevel="0" collapsed="false">
      <c r="A1493" s="0" t="n">
        <v>1492</v>
      </c>
      <c r="B1493" s="0" t="str">
        <f aca="false">IF(A1493&lt;=36*25,"PRODUKSI","REJECT")</f>
        <v>REJECT</v>
      </c>
      <c r="C1493" s="0" t="n">
        <f aca="false">MOD(A1493-1,Pemetaan!$B$3*Pemetaan!$B$4)</f>
        <v>591</v>
      </c>
      <c r="D1493" s="0" t="n">
        <f aca="false">INT(C1493/Pemetaan!$B$4)</f>
        <v>23</v>
      </c>
      <c r="E1493" s="0" t="n">
        <f aca="false">MOD(C1493,Pemetaan!$B$4)</f>
        <v>16</v>
      </c>
      <c r="F1493" s="0" t="n">
        <f aca="false">IF(B1493="PRODUKSI",Pemetaan!$B$5,Pemetaan!$B$6)</f>
        <v>46</v>
      </c>
      <c r="G1493" s="0" t="n">
        <f aca="false">F1493+2+D1493</f>
        <v>71</v>
      </c>
      <c r="H1493" s="0" t="n">
        <f aca="false">Pemetaan!$B$2+E1493</f>
        <v>21</v>
      </c>
      <c r="I1493" s="0" t="str">
        <f aca="false">INDEX(Laporan!$A$1:$AZ$300,G1493,1)</f>
        <v>Mixing</v>
      </c>
      <c r="J1493" s="0" t="str">
        <f aca="false">INDEX(Laporan!$A$1:$AZ$300,G1493,2)</f>
        <v>330 ml</v>
      </c>
      <c r="K1493" s="0" t="str">
        <f aca="false">INDEX(Laporan!$A$1:$AZ$300,G1493,3)</f>
        <v>Shift 2</v>
      </c>
      <c r="L1493" s="0" t="n">
        <f aca="false">INDEX(Laporan!$A$1:$AZ$300,G1493,4)</f>
        <v>3</v>
      </c>
      <c r="M1493" s="1" t="n">
        <f aca="false">DATE(Pemetaan!$B$1,VALUE(RIGHT(INDEX(Laporan!$A$1:$AZ$300,F1493+1,H1493),2)),VALUE(LEFT(INDEX(Laporan!$A$1:$AZ$300,F1493+1,H1493),2)))</f>
        <v>46105</v>
      </c>
      <c r="N1493" s="0" t="n">
        <f aca="false">INDEX(Laporan!$A$1:$AZ$300,G1493,H1493)</f>
        <v>15</v>
      </c>
      <c r="O1493" s="0" t="n">
        <f aca="false">IF(N1493="","",IFERROR(VALUE(SUBSTITUTE(SUBSTITUTE(N1493," btl",""),".","")),""))</f>
        <v>15</v>
      </c>
      <c r="P1493" s="0" t="str">
        <f aca="false">IF(B1493="PRODUKSI","produced","reject")</f>
        <v>reject</v>
      </c>
    </row>
    <row r="1494" customFormat="false" ht="15" hidden="false" customHeight="false" outlineLevel="0" collapsed="false">
      <c r="A1494" s="0" t="n">
        <v>1493</v>
      </c>
      <c r="B1494" s="0" t="str">
        <f aca="false">IF(A1494&lt;=36*25,"PRODUKSI","REJECT")</f>
        <v>REJECT</v>
      </c>
      <c r="C1494" s="0" t="n">
        <f aca="false">MOD(A1494-1,Pemetaan!$B$3*Pemetaan!$B$4)</f>
        <v>592</v>
      </c>
      <c r="D1494" s="0" t="n">
        <f aca="false">INT(C1494/Pemetaan!$B$4)</f>
        <v>23</v>
      </c>
      <c r="E1494" s="0" t="n">
        <f aca="false">MOD(C1494,Pemetaan!$B$4)</f>
        <v>17</v>
      </c>
      <c r="F1494" s="0" t="n">
        <f aca="false">IF(B1494="PRODUKSI",Pemetaan!$B$5,Pemetaan!$B$6)</f>
        <v>46</v>
      </c>
      <c r="G1494" s="0" t="n">
        <f aca="false">F1494+2+D1494</f>
        <v>71</v>
      </c>
      <c r="H1494" s="0" t="n">
        <f aca="false">Pemetaan!$B$2+E1494</f>
        <v>22</v>
      </c>
      <c r="I1494" s="0" t="str">
        <f aca="false">INDEX(Laporan!$A$1:$AZ$300,G1494,1)</f>
        <v>Mixing</v>
      </c>
      <c r="J1494" s="0" t="str">
        <f aca="false">INDEX(Laporan!$A$1:$AZ$300,G1494,2)</f>
        <v>330 ml</v>
      </c>
      <c r="K1494" s="0" t="str">
        <f aca="false">INDEX(Laporan!$A$1:$AZ$300,G1494,3)</f>
        <v>Shift 2</v>
      </c>
      <c r="L1494" s="0" t="n">
        <f aca="false">INDEX(Laporan!$A$1:$AZ$300,G1494,4)</f>
        <v>3</v>
      </c>
      <c r="M1494" s="1" t="n">
        <f aca="false">DATE(Pemetaan!$B$1,VALUE(RIGHT(INDEX(Laporan!$A$1:$AZ$300,F1494+1,H1494),2)),VALUE(LEFT(INDEX(Laporan!$A$1:$AZ$300,F1494+1,H1494),2)))</f>
        <v>46106</v>
      </c>
      <c r="N1494" s="0" t="n">
        <f aca="false">INDEX(Laporan!$A$1:$AZ$300,G1494,H1494)</f>
        <v>13</v>
      </c>
      <c r="O1494" s="0" t="n">
        <f aca="false">IF(N1494="","",IFERROR(VALUE(SUBSTITUTE(SUBSTITUTE(N1494," btl",""),".","")),""))</f>
        <v>13</v>
      </c>
      <c r="P1494" s="0" t="str">
        <f aca="false">IF(B1494="PRODUKSI","produced","reject")</f>
        <v>reject</v>
      </c>
    </row>
    <row r="1495" customFormat="false" ht="15" hidden="false" customHeight="false" outlineLevel="0" collapsed="false">
      <c r="A1495" s="0" t="n">
        <v>1494</v>
      </c>
      <c r="B1495" s="0" t="str">
        <f aca="false">IF(A1495&lt;=36*25,"PRODUKSI","REJECT")</f>
        <v>REJECT</v>
      </c>
      <c r="C1495" s="0" t="n">
        <f aca="false">MOD(A1495-1,Pemetaan!$B$3*Pemetaan!$B$4)</f>
        <v>593</v>
      </c>
      <c r="D1495" s="0" t="n">
        <f aca="false">INT(C1495/Pemetaan!$B$4)</f>
        <v>23</v>
      </c>
      <c r="E1495" s="0" t="n">
        <f aca="false">MOD(C1495,Pemetaan!$B$4)</f>
        <v>18</v>
      </c>
      <c r="F1495" s="0" t="n">
        <f aca="false">IF(B1495="PRODUKSI",Pemetaan!$B$5,Pemetaan!$B$6)</f>
        <v>46</v>
      </c>
      <c r="G1495" s="0" t="n">
        <f aca="false">F1495+2+D1495</f>
        <v>71</v>
      </c>
      <c r="H1495" s="0" t="n">
        <f aca="false">Pemetaan!$B$2+E1495</f>
        <v>23</v>
      </c>
      <c r="I1495" s="0" t="str">
        <f aca="false">INDEX(Laporan!$A$1:$AZ$300,G1495,1)</f>
        <v>Mixing</v>
      </c>
      <c r="J1495" s="0" t="str">
        <f aca="false">INDEX(Laporan!$A$1:$AZ$300,G1495,2)</f>
        <v>330 ml</v>
      </c>
      <c r="K1495" s="0" t="str">
        <f aca="false">INDEX(Laporan!$A$1:$AZ$300,G1495,3)</f>
        <v>Shift 2</v>
      </c>
      <c r="L1495" s="0" t="n">
        <f aca="false">INDEX(Laporan!$A$1:$AZ$300,G1495,4)</f>
        <v>3</v>
      </c>
      <c r="M1495" s="1" t="n">
        <f aca="false">DATE(Pemetaan!$B$1,VALUE(RIGHT(INDEX(Laporan!$A$1:$AZ$300,F1495+1,H1495),2)),VALUE(LEFT(INDEX(Laporan!$A$1:$AZ$300,F1495+1,H1495),2)))</f>
        <v>46107</v>
      </c>
      <c r="N1495" s="0" t="n">
        <f aca="false">INDEX(Laporan!$A$1:$AZ$300,G1495,H1495)</f>
        <v>22</v>
      </c>
      <c r="O1495" s="0" t="n">
        <f aca="false">IF(N1495="","",IFERROR(VALUE(SUBSTITUTE(SUBSTITUTE(N1495," btl",""),".","")),""))</f>
        <v>22</v>
      </c>
      <c r="P1495" s="0" t="str">
        <f aca="false">IF(B1495="PRODUKSI","produced","reject")</f>
        <v>reject</v>
      </c>
    </row>
    <row r="1496" customFormat="false" ht="15" hidden="false" customHeight="false" outlineLevel="0" collapsed="false">
      <c r="A1496" s="0" t="n">
        <v>1495</v>
      </c>
      <c r="B1496" s="0" t="str">
        <f aca="false">IF(A1496&lt;=36*25,"PRODUKSI","REJECT")</f>
        <v>REJECT</v>
      </c>
      <c r="C1496" s="0" t="n">
        <f aca="false">MOD(A1496-1,Pemetaan!$B$3*Pemetaan!$B$4)</f>
        <v>594</v>
      </c>
      <c r="D1496" s="0" t="n">
        <f aca="false">INT(C1496/Pemetaan!$B$4)</f>
        <v>23</v>
      </c>
      <c r="E1496" s="0" t="n">
        <f aca="false">MOD(C1496,Pemetaan!$B$4)</f>
        <v>19</v>
      </c>
      <c r="F1496" s="0" t="n">
        <f aca="false">IF(B1496="PRODUKSI",Pemetaan!$B$5,Pemetaan!$B$6)</f>
        <v>46</v>
      </c>
      <c r="G1496" s="0" t="n">
        <f aca="false">F1496+2+D1496</f>
        <v>71</v>
      </c>
      <c r="H1496" s="0" t="n">
        <f aca="false">Pemetaan!$B$2+E1496</f>
        <v>24</v>
      </c>
      <c r="I1496" s="0" t="str">
        <f aca="false">INDEX(Laporan!$A$1:$AZ$300,G1496,1)</f>
        <v>Mixing</v>
      </c>
      <c r="J1496" s="0" t="str">
        <f aca="false">INDEX(Laporan!$A$1:$AZ$300,G1496,2)</f>
        <v>330 ml</v>
      </c>
      <c r="K1496" s="0" t="str">
        <f aca="false">INDEX(Laporan!$A$1:$AZ$300,G1496,3)</f>
        <v>Shift 2</v>
      </c>
      <c r="L1496" s="0" t="n">
        <f aca="false">INDEX(Laporan!$A$1:$AZ$300,G1496,4)</f>
        <v>3</v>
      </c>
      <c r="M1496" s="1" t="n">
        <f aca="false">DATE(Pemetaan!$B$1,VALUE(RIGHT(INDEX(Laporan!$A$1:$AZ$300,F1496+1,H1496),2)),VALUE(LEFT(INDEX(Laporan!$A$1:$AZ$300,F1496+1,H1496),2)))</f>
        <v>46108</v>
      </c>
      <c r="N1496" s="0" t="n">
        <f aca="false">INDEX(Laporan!$A$1:$AZ$300,G1496,H1496)</f>
        <v>14</v>
      </c>
      <c r="O1496" s="0" t="n">
        <f aca="false">IF(N1496="","",IFERROR(VALUE(SUBSTITUTE(SUBSTITUTE(N1496," btl",""),".","")),""))</f>
        <v>14</v>
      </c>
      <c r="P1496" s="0" t="str">
        <f aca="false">IF(B1496="PRODUKSI","produced","reject")</f>
        <v>reject</v>
      </c>
    </row>
    <row r="1497" customFormat="false" ht="15" hidden="false" customHeight="false" outlineLevel="0" collapsed="false">
      <c r="A1497" s="0" t="n">
        <v>1496</v>
      </c>
      <c r="B1497" s="0" t="str">
        <f aca="false">IF(A1497&lt;=36*25,"PRODUKSI","REJECT")</f>
        <v>REJECT</v>
      </c>
      <c r="C1497" s="0" t="n">
        <f aca="false">MOD(A1497-1,Pemetaan!$B$3*Pemetaan!$B$4)</f>
        <v>595</v>
      </c>
      <c r="D1497" s="0" t="n">
        <f aca="false">INT(C1497/Pemetaan!$B$4)</f>
        <v>23</v>
      </c>
      <c r="E1497" s="0" t="n">
        <f aca="false">MOD(C1497,Pemetaan!$B$4)</f>
        <v>20</v>
      </c>
      <c r="F1497" s="0" t="n">
        <f aca="false">IF(B1497="PRODUKSI",Pemetaan!$B$5,Pemetaan!$B$6)</f>
        <v>46</v>
      </c>
      <c r="G1497" s="0" t="n">
        <f aca="false">F1497+2+D1497</f>
        <v>71</v>
      </c>
      <c r="H1497" s="0" t="n">
        <f aca="false">Pemetaan!$B$2+E1497</f>
        <v>25</v>
      </c>
      <c r="I1497" s="0" t="str">
        <f aca="false">INDEX(Laporan!$A$1:$AZ$300,G1497,1)</f>
        <v>Mixing</v>
      </c>
      <c r="J1497" s="0" t="str">
        <f aca="false">INDEX(Laporan!$A$1:$AZ$300,G1497,2)</f>
        <v>330 ml</v>
      </c>
      <c r="K1497" s="0" t="str">
        <f aca="false">INDEX(Laporan!$A$1:$AZ$300,G1497,3)</f>
        <v>Shift 2</v>
      </c>
      <c r="L1497" s="0" t="n">
        <f aca="false">INDEX(Laporan!$A$1:$AZ$300,G1497,4)</f>
        <v>3</v>
      </c>
      <c r="M1497" s="1" t="n">
        <f aca="false">DATE(Pemetaan!$B$1,VALUE(RIGHT(INDEX(Laporan!$A$1:$AZ$300,F1497+1,H1497),2)),VALUE(LEFT(INDEX(Laporan!$A$1:$AZ$300,F1497+1,H1497),2)))</f>
        <v>46111</v>
      </c>
      <c r="N1497" s="0" t="n">
        <f aca="false">INDEX(Laporan!$A$1:$AZ$300,G1497,H1497)</f>
        <v>17</v>
      </c>
      <c r="O1497" s="0" t="n">
        <f aca="false">IF(N1497="","",IFERROR(VALUE(SUBSTITUTE(SUBSTITUTE(N1497," btl",""),".","")),""))</f>
        <v>17</v>
      </c>
      <c r="P1497" s="0" t="str">
        <f aca="false">IF(B1497="PRODUKSI","produced","reject")</f>
        <v>reject</v>
      </c>
    </row>
    <row r="1498" customFormat="false" ht="15" hidden="false" customHeight="false" outlineLevel="0" collapsed="false">
      <c r="A1498" s="0" t="n">
        <v>1497</v>
      </c>
      <c r="B1498" s="0" t="str">
        <f aca="false">IF(A1498&lt;=36*25,"PRODUKSI","REJECT")</f>
        <v>REJECT</v>
      </c>
      <c r="C1498" s="0" t="n">
        <f aca="false">MOD(A1498-1,Pemetaan!$B$3*Pemetaan!$B$4)</f>
        <v>596</v>
      </c>
      <c r="D1498" s="0" t="n">
        <f aca="false">INT(C1498/Pemetaan!$B$4)</f>
        <v>23</v>
      </c>
      <c r="E1498" s="0" t="n">
        <f aca="false">MOD(C1498,Pemetaan!$B$4)</f>
        <v>21</v>
      </c>
      <c r="F1498" s="0" t="n">
        <f aca="false">IF(B1498="PRODUKSI",Pemetaan!$B$5,Pemetaan!$B$6)</f>
        <v>46</v>
      </c>
      <c r="G1498" s="0" t="n">
        <f aca="false">F1498+2+D1498</f>
        <v>71</v>
      </c>
      <c r="H1498" s="0" t="n">
        <f aca="false">Pemetaan!$B$2+E1498</f>
        <v>26</v>
      </c>
      <c r="I1498" s="0" t="str">
        <f aca="false">INDEX(Laporan!$A$1:$AZ$300,G1498,1)</f>
        <v>Mixing</v>
      </c>
      <c r="J1498" s="0" t="str">
        <f aca="false">INDEX(Laporan!$A$1:$AZ$300,G1498,2)</f>
        <v>330 ml</v>
      </c>
      <c r="K1498" s="0" t="str">
        <f aca="false">INDEX(Laporan!$A$1:$AZ$300,G1498,3)</f>
        <v>Shift 2</v>
      </c>
      <c r="L1498" s="0" t="n">
        <f aca="false">INDEX(Laporan!$A$1:$AZ$300,G1498,4)</f>
        <v>3</v>
      </c>
      <c r="M1498" s="1" t="n">
        <f aca="false">DATE(Pemetaan!$B$1,VALUE(RIGHT(INDEX(Laporan!$A$1:$AZ$300,F1498+1,H1498),2)),VALUE(LEFT(INDEX(Laporan!$A$1:$AZ$300,F1498+1,H1498),2)))</f>
        <v>46112</v>
      </c>
      <c r="N1498" s="0" t="n">
        <f aca="false">INDEX(Laporan!$A$1:$AZ$300,G1498,H1498)</f>
        <v>14</v>
      </c>
      <c r="O1498" s="0" t="n">
        <f aca="false">IF(N1498="","",IFERROR(VALUE(SUBSTITUTE(SUBSTITUTE(N1498," btl",""),".","")),""))</f>
        <v>14</v>
      </c>
      <c r="P1498" s="0" t="str">
        <f aca="false">IF(B1498="PRODUKSI","produced","reject")</f>
        <v>reject</v>
      </c>
    </row>
    <row r="1499" customFormat="false" ht="15" hidden="false" customHeight="false" outlineLevel="0" collapsed="false">
      <c r="A1499" s="0" t="n">
        <v>1498</v>
      </c>
      <c r="B1499" s="0" t="str">
        <f aca="false">IF(A1499&lt;=36*25,"PRODUKSI","REJECT")</f>
        <v>REJECT</v>
      </c>
      <c r="C1499" s="0" t="n">
        <f aca="false">MOD(A1499-1,Pemetaan!$B$3*Pemetaan!$B$4)</f>
        <v>597</v>
      </c>
      <c r="D1499" s="0" t="n">
        <f aca="false">INT(C1499/Pemetaan!$B$4)</f>
        <v>23</v>
      </c>
      <c r="E1499" s="0" t="n">
        <f aca="false">MOD(C1499,Pemetaan!$B$4)</f>
        <v>22</v>
      </c>
      <c r="F1499" s="0" t="n">
        <f aca="false">IF(B1499="PRODUKSI",Pemetaan!$B$5,Pemetaan!$B$6)</f>
        <v>46</v>
      </c>
      <c r="G1499" s="0" t="n">
        <f aca="false">F1499+2+D1499</f>
        <v>71</v>
      </c>
      <c r="H1499" s="0" t="n">
        <f aca="false">Pemetaan!$B$2+E1499</f>
        <v>27</v>
      </c>
      <c r="I1499" s="0" t="str">
        <f aca="false">INDEX(Laporan!$A$1:$AZ$300,G1499,1)</f>
        <v>Mixing</v>
      </c>
      <c r="J1499" s="0" t="str">
        <f aca="false">INDEX(Laporan!$A$1:$AZ$300,G1499,2)</f>
        <v>330 ml</v>
      </c>
      <c r="K1499" s="0" t="str">
        <f aca="false">INDEX(Laporan!$A$1:$AZ$300,G1499,3)</f>
        <v>Shift 2</v>
      </c>
      <c r="L1499" s="0" t="n">
        <f aca="false">INDEX(Laporan!$A$1:$AZ$300,G1499,4)</f>
        <v>3</v>
      </c>
      <c r="M1499" s="1" t="n">
        <f aca="false">DATE(Pemetaan!$B$1,VALUE(RIGHT(INDEX(Laporan!$A$1:$AZ$300,F1499+1,H1499),2)),VALUE(LEFT(INDEX(Laporan!$A$1:$AZ$300,F1499+1,H1499),2)))</f>
        <v>46113</v>
      </c>
      <c r="N1499" s="0" t="n">
        <f aca="false">INDEX(Laporan!$A$1:$AZ$300,G1499,H1499)</f>
        <v>17</v>
      </c>
      <c r="O1499" s="0" t="n">
        <f aca="false">IF(N1499="","",IFERROR(VALUE(SUBSTITUTE(SUBSTITUTE(N1499," btl",""),".","")),""))</f>
        <v>17</v>
      </c>
      <c r="P1499" s="0" t="str">
        <f aca="false">IF(B1499="PRODUKSI","produced","reject")</f>
        <v>reject</v>
      </c>
    </row>
    <row r="1500" customFormat="false" ht="15" hidden="false" customHeight="false" outlineLevel="0" collapsed="false">
      <c r="A1500" s="0" t="n">
        <v>1499</v>
      </c>
      <c r="B1500" s="0" t="str">
        <f aca="false">IF(A1500&lt;=36*25,"PRODUKSI","REJECT")</f>
        <v>REJECT</v>
      </c>
      <c r="C1500" s="0" t="n">
        <f aca="false">MOD(A1500-1,Pemetaan!$B$3*Pemetaan!$B$4)</f>
        <v>598</v>
      </c>
      <c r="D1500" s="0" t="n">
        <f aca="false">INT(C1500/Pemetaan!$B$4)</f>
        <v>23</v>
      </c>
      <c r="E1500" s="0" t="n">
        <f aca="false">MOD(C1500,Pemetaan!$B$4)</f>
        <v>23</v>
      </c>
      <c r="F1500" s="0" t="n">
        <f aca="false">IF(B1500="PRODUKSI",Pemetaan!$B$5,Pemetaan!$B$6)</f>
        <v>46</v>
      </c>
      <c r="G1500" s="0" t="n">
        <f aca="false">F1500+2+D1500</f>
        <v>71</v>
      </c>
      <c r="H1500" s="0" t="n">
        <f aca="false">Pemetaan!$B$2+E1500</f>
        <v>28</v>
      </c>
      <c r="I1500" s="0" t="str">
        <f aca="false">INDEX(Laporan!$A$1:$AZ$300,G1500,1)</f>
        <v>Mixing</v>
      </c>
      <c r="J1500" s="0" t="str">
        <f aca="false">INDEX(Laporan!$A$1:$AZ$300,G1500,2)</f>
        <v>330 ml</v>
      </c>
      <c r="K1500" s="0" t="str">
        <f aca="false">INDEX(Laporan!$A$1:$AZ$300,G1500,3)</f>
        <v>Shift 2</v>
      </c>
      <c r="L1500" s="0" t="n">
        <f aca="false">INDEX(Laporan!$A$1:$AZ$300,G1500,4)</f>
        <v>3</v>
      </c>
      <c r="M1500" s="1" t="n">
        <f aca="false">DATE(Pemetaan!$B$1,VALUE(RIGHT(INDEX(Laporan!$A$1:$AZ$300,F1500+1,H1500),2)),VALUE(LEFT(INDEX(Laporan!$A$1:$AZ$300,F1500+1,H1500),2)))</f>
        <v>46114</v>
      </c>
      <c r="N1500" s="0" t="n">
        <f aca="false">INDEX(Laporan!$A$1:$AZ$300,G1500,H1500)</f>
        <v>11</v>
      </c>
      <c r="O1500" s="0" t="n">
        <f aca="false">IF(N1500="","",IFERROR(VALUE(SUBSTITUTE(SUBSTITUTE(N1500," btl",""),".","")),""))</f>
        <v>11</v>
      </c>
      <c r="P1500" s="0" t="str">
        <f aca="false">IF(B1500="PRODUKSI","produced","reject")</f>
        <v>reject</v>
      </c>
    </row>
    <row r="1501" customFormat="false" ht="15" hidden="false" customHeight="false" outlineLevel="0" collapsed="false">
      <c r="A1501" s="0" t="n">
        <v>1500</v>
      </c>
      <c r="B1501" s="0" t="str">
        <f aca="false">IF(A1501&lt;=36*25,"PRODUKSI","REJECT")</f>
        <v>REJECT</v>
      </c>
      <c r="C1501" s="0" t="n">
        <f aca="false">MOD(A1501-1,Pemetaan!$B$3*Pemetaan!$B$4)</f>
        <v>599</v>
      </c>
      <c r="D1501" s="0" t="n">
        <f aca="false">INT(C1501/Pemetaan!$B$4)</f>
        <v>23</v>
      </c>
      <c r="E1501" s="0" t="n">
        <f aca="false">MOD(C1501,Pemetaan!$B$4)</f>
        <v>24</v>
      </c>
      <c r="F1501" s="0" t="n">
        <f aca="false">IF(B1501="PRODUKSI",Pemetaan!$B$5,Pemetaan!$B$6)</f>
        <v>46</v>
      </c>
      <c r="G1501" s="0" t="n">
        <f aca="false">F1501+2+D1501</f>
        <v>71</v>
      </c>
      <c r="H1501" s="0" t="n">
        <f aca="false">Pemetaan!$B$2+E1501</f>
        <v>29</v>
      </c>
      <c r="I1501" s="0" t="str">
        <f aca="false">INDEX(Laporan!$A$1:$AZ$300,G1501,1)</f>
        <v>Mixing</v>
      </c>
      <c r="J1501" s="0" t="str">
        <f aca="false">INDEX(Laporan!$A$1:$AZ$300,G1501,2)</f>
        <v>330 ml</v>
      </c>
      <c r="K1501" s="0" t="str">
        <f aca="false">INDEX(Laporan!$A$1:$AZ$300,G1501,3)</f>
        <v>Shift 2</v>
      </c>
      <c r="L1501" s="0" t="n">
        <f aca="false">INDEX(Laporan!$A$1:$AZ$300,G1501,4)</f>
        <v>3</v>
      </c>
      <c r="M1501" s="1" t="n">
        <f aca="false">DATE(Pemetaan!$B$1,VALUE(RIGHT(INDEX(Laporan!$A$1:$AZ$300,F1501+1,H1501),2)),VALUE(LEFT(INDEX(Laporan!$A$1:$AZ$300,F1501+1,H1501),2)))</f>
        <v>46115</v>
      </c>
      <c r="N1501" s="0" t="n">
        <f aca="false">INDEX(Laporan!$A$1:$AZ$300,G1501,H1501)</f>
        <v>26</v>
      </c>
      <c r="O1501" s="0" t="n">
        <f aca="false">IF(N1501="","",IFERROR(VALUE(SUBSTITUTE(SUBSTITUTE(N1501," btl",""),".","")),""))</f>
        <v>26</v>
      </c>
      <c r="P1501" s="0" t="str">
        <f aca="false">IF(B1501="PRODUKSI","produced","reject")</f>
        <v>reject</v>
      </c>
    </row>
    <row r="1502" customFormat="false" ht="15" hidden="false" customHeight="false" outlineLevel="0" collapsed="false">
      <c r="A1502" s="0" t="n">
        <v>1501</v>
      </c>
      <c r="B1502" s="0" t="str">
        <f aca="false">IF(A1502&lt;=36*25,"PRODUKSI","REJECT")</f>
        <v>REJECT</v>
      </c>
      <c r="C1502" s="0" t="n">
        <f aca="false">MOD(A1502-1,Pemetaan!$B$3*Pemetaan!$B$4)</f>
        <v>600</v>
      </c>
      <c r="D1502" s="0" t="n">
        <f aca="false">INT(C1502/Pemetaan!$B$4)</f>
        <v>24</v>
      </c>
      <c r="E1502" s="0" t="n">
        <f aca="false">MOD(C1502,Pemetaan!$B$4)</f>
        <v>0</v>
      </c>
      <c r="F1502" s="0" t="n">
        <f aca="false">IF(B1502="PRODUKSI",Pemetaan!$B$5,Pemetaan!$B$6)</f>
        <v>46</v>
      </c>
      <c r="G1502" s="0" t="n">
        <f aca="false">F1502+2+D1502</f>
        <v>72</v>
      </c>
      <c r="H1502" s="0" t="n">
        <f aca="false">Pemetaan!$B$2+E1502</f>
        <v>5</v>
      </c>
      <c r="I1502" s="0" t="str">
        <f aca="false">INDEX(Laporan!$A$1:$AZ$300,G1502,1)</f>
        <v>Mixing</v>
      </c>
      <c r="J1502" s="0" t="str">
        <f aca="false">INDEX(Laporan!$A$1:$AZ$300,G1502,2)</f>
        <v>600 ml</v>
      </c>
      <c r="K1502" s="0" t="str">
        <f aca="false">INDEX(Laporan!$A$1:$AZ$300,G1502,3)</f>
        <v>Shift 1</v>
      </c>
      <c r="L1502" s="0" t="n">
        <f aca="false">INDEX(Laporan!$A$1:$AZ$300,G1502,4)</f>
        <v>1</v>
      </c>
      <c r="M1502" s="1" t="n">
        <f aca="false">DATE(Pemetaan!$B$1,VALUE(RIGHT(INDEX(Laporan!$A$1:$AZ$300,F1502+1,H1502),2)),VALUE(LEFT(INDEX(Laporan!$A$1:$AZ$300,F1502+1,H1502),2)))</f>
        <v>46083</v>
      </c>
      <c r="N1502" s="0" t="n">
        <f aca="false">INDEX(Laporan!$A$1:$AZ$300,G1502,H1502)</f>
        <v>150</v>
      </c>
      <c r="O1502" s="0" t="n">
        <f aca="false">IF(N1502="","",IFERROR(VALUE(SUBSTITUTE(SUBSTITUTE(N1502," btl",""),".","")),""))</f>
        <v>150</v>
      </c>
      <c r="P1502" s="0" t="str">
        <f aca="false">IF(B1502="PRODUKSI","produced","reject")</f>
        <v>reject</v>
      </c>
    </row>
    <row r="1503" customFormat="false" ht="15" hidden="false" customHeight="false" outlineLevel="0" collapsed="false">
      <c r="A1503" s="0" t="n">
        <v>1502</v>
      </c>
      <c r="B1503" s="0" t="str">
        <f aca="false">IF(A1503&lt;=36*25,"PRODUKSI","REJECT")</f>
        <v>REJECT</v>
      </c>
      <c r="C1503" s="0" t="n">
        <f aca="false">MOD(A1503-1,Pemetaan!$B$3*Pemetaan!$B$4)</f>
        <v>601</v>
      </c>
      <c r="D1503" s="0" t="n">
        <f aca="false">INT(C1503/Pemetaan!$B$4)</f>
        <v>24</v>
      </c>
      <c r="E1503" s="0" t="n">
        <f aca="false">MOD(C1503,Pemetaan!$B$4)</f>
        <v>1</v>
      </c>
      <c r="F1503" s="0" t="n">
        <f aca="false">IF(B1503="PRODUKSI",Pemetaan!$B$5,Pemetaan!$B$6)</f>
        <v>46</v>
      </c>
      <c r="G1503" s="0" t="n">
        <f aca="false">F1503+2+D1503</f>
        <v>72</v>
      </c>
      <c r="H1503" s="0" t="n">
        <f aca="false">Pemetaan!$B$2+E1503</f>
        <v>6</v>
      </c>
      <c r="I1503" s="0" t="str">
        <f aca="false">INDEX(Laporan!$A$1:$AZ$300,G1503,1)</f>
        <v>Mixing</v>
      </c>
      <c r="J1503" s="0" t="str">
        <f aca="false">INDEX(Laporan!$A$1:$AZ$300,G1503,2)</f>
        <v>600 ml</v>
      </c>
      <c r="K1503" s="0" t="str">
        <f aca="false">INDEX(Laporan!$A$1:$AZ$300,G1503,3)</f>
        <v>Shift 1</v>
      </c>
      <c r="L1503" s="0" t="n">
        <f aca="false">INDEX(Laporan!$A$1:$AZ$300,G1503,4)</f>
        <v>1</v>
      </c>
      <c r="M1503" s="1" t="n">
        <f aca="false">DATE(Pemetaan!$B$1,VALUE(RIGHT(INDEX(Laporan!$A$1:$AZ$300,F1503+1,H1503),2)),VALUE(LEFT(INDEX(Laporan!$A$1:$AZ$300,F1503+1,H1503),2)))</f>
        <v>46084</v>
      </c>
      <c r="N1503" s="0" t="n">
        <f aca="false">INDEX(Laporan!$A$1:$AZ$300,G1503,H1503)</f>
        <v>14</v>
      </c>
      <c r="O1503" s="0" t="n">
        <f aca="false">IF(N1503="","",IFERROR(VALUE(SUBSTITUTE(SUBSTITUTE(N1503," btl",""),".","")),""))</f>
        <v>14</v>
      </c>
      <c r="P1503" s="0" t="str">
        <f aca="false">IF(B1503="PRODUKSI","produced","reject")</f>
        <v>reject</v>
      </c>
    </row>
    <row r="1504" customFormat="false" ht="15" hidden="false" customHeight="false" outlineLevel="0" collapsed="false">
      <c r="A1504" s="0" t="n">
        <v>1503</v>
      </c>
      <c r="B1504" s="0" t="str">
        <f aca="false">IF(A1504&lt;=36*25,"PRODUKSI","REJECT")</f>
        <v>REJECT</v>
      </c>
      <c r="C1504" s="0" t="n">
        <f aca="false">MOD(A1504-1,Pemetaan!$B$3*Pemetaan!$B$4)</f>
        <v>602</v>
      </c>
      <c r="D1504" s="0" t="n">
        <f aca="false">INT(C1504/Pemetaan!$B$4)</f>
        <v>24</v>
      </c>
      <c r="E1504" s="0" t="n">
        <f aca="false">MOD(C1504,Pemetaan!$B$4)</f>
        <v>2</v>
      </c>
      <c r="F1504" s="0" t="n">
        <f aca="false">IF(B1504="PRODUKSI",Pemetaan!$B$5,Pemetaan!$B$6)</f>
        <v>46</v>
      </c>
      <c r="G1504" s="0" t="n">
        <f aca="false">F1504+2+D1504</f>
        <v>72</v>
      </c>
      <c r="H1504" s="0" t="n">
        <f aca="false">Pemetaan!$B$2+E1504</f>
        <v>7</v>
      </c>
      <c r="I1504" s="0" t="str">
        <f aca="false">INDEX(Laporan!$A$1:$AZ$300,G1504,1)</f>
        <v>Mixing</v>
      </c>
      <c r="J1504" s="0" t="str">
        <f aca="false">INDEX(Laporan!$A$1:$AZ$300,G1504,2)</f>
        <v>600 ml</v>
      </c>
      <c r="K1504" s="0" t="str">
        <f aca="false">INDEX(Laporan!$A$1:$AZ$300,G1504,3)</f>
        <v>Shift 1</v>
      </c>
      <c r="L1504" s="0" t="n">
        <f aca="false">INDEX(Laporan!$A$1:$AZ$300,G1504,4)</f>
        <v>1</v>
      </c>
      <c r="M1504" s="1" t="n">
        <f aca="false">DATE(Pemetaan!$B$1,VALUE(RIGHT(INDEX(Laporan!$A$1:$AZ$300,F1504+1,H1504),2)),VALUE(LEFT(INDEX(Laporan!$A$1:$AZ$300,F1504+1,H1504),2)))</f>
        <v>46085</v>
      </c>
      <c r="N1504" s="0" t="n">
        <f aca="false">INDEX(Laporan!$A$1:$AZ$300,G1504,H1504)</f>
        <v>16</v>
      </c>
      <c r="O1504" s="0" t="n">
        <f aca="false">IF(N1504="","",IFERROR(VALUE(SUBSTITUTE(SUBSTITUTE(N1504," btl",""),".","")),""))</f>
        <v>16</v>
      </c>
      <c r="P1504" s="0" t="str">
        <f aca="false">IF(B1504="PRODUKSI","produced","reject")</f>
        <v>reject</v>
      </c>
    </row>
    <row r="1505" customFormat="false" ht="15" hidden="false" customHeight="false" outlineLevel="0" collapsed="false">
      <c r="A1505" s="0" t="n">
        <v>1504</v>
      </c>
      <c r="B1505" s="0" t="str">
        <f aca="false">IF(A1505&lt;=36*25,"PRODUKSI","REJECT")</f>
        <v>REJECT</v>
      </c>
      <c r="C1505" s="0" t="n">
        <f aca="false">MOD(A1505-1,Pemetaan!$B$3*Pemetaan!$B$4)</f>
        <v>603</v>
      </c>
      <c r="D1505" s="0" t="n">
        <f aca="false">INT(C1505/Pemetaan!$B$4)</f>
        <v>24</v>
      </c>
      <c r="E1505" s="0" t="n">
        <f aca="false">MOD(C1505,Pemetaan!$B$4)</f>
        <v>3</v>
      </c>
      <c r="F1505" s="0" t="n">
        <f aca="false">IF(B1505="PRODUKSI",Pemetaan!$B$5,Pemetaan!$B$6)</f>
        <v>46</v>
      </c>
      <c r="G1505" s="0" t="n">
        <f aca="false">F1505+2+D1505</f>
        <v>72</v>
      </c>
      <c r="H1505" s="0" t="n">
        <f aca="false">Pemetaan!$B$2+E1505</f>
        <v>8</v>
      </c>
      <c r="I1505" s="0" t="str">
        <f aca="false">INDEX(Laporan!$A$1:$AZ$300,G1505,1)</f>
        <v>Mixing</v>
      </c>
      <c r="J1505" s="0" t="str">
        <f aca="false">INDEX(Laporan!$A$1:$AZ$300,G1505,2)</f>
        <v>600 ml</v>
      </c>
      <c r="K1505" s="0" t="str">
        <f aca="false">INDEX(Laporan!$A$1:$AZ$300,G1505,3)</f>
        <v>Shift 1</v>
      </c>
      <c r="L1505" s="0" t="n">
        <f aca="false">INDEX(Laporan!$A$1:$AZ$300,G1505,4)</f>
        <v>1</v>
      </c>
      <c r="M1505" s="1" t="n">
        <f aca="false">DATE(Pemetaan!$B$1,VALUE(RIGHT(INDEX(Laporan!$A$1:$AZ$300,F1505+1,H1505),2)),VALUE(LEFT(INDEX(Laporan!$A$1:$AZ$300,F1505+1,H1505),2)))</f>
        <v>46086</v>
      </c>
      <c r="N1505" s="0" t="n">
        <f aca="false">INDEX(Laporan!$A$1:$AZ$300,G1505,H1505)</f>
        <v>15</v>
      </c>
      <c r="O1505" s="0" t="n">
        <f aca="false">IF(N1505="","",IFERROR(VALUE(SUBSTITUTE(SUBSTITUTE(N1505," btl",""),".","")),""))</f>
        <v>15</v>
      </c>
      <c r="P1505" s="0" t="str">
        <f aca="false">IF(B1505="PRODUKSI","produced","reject")</f>
        <v>reject</v>
      </c>
    </row>
    <row r="1506" customFormat="false" ht="15" hidden="false" customHeight="false" outlineLevel="0" collapsed="false">
      <c r="A1506" s="0" t="n">
        <v>1505</v>
      </c>
      <c r="B1506" s="0" t="str">
        <f aca="false">IF(A1506&lt;=36*25,"PRODUKSI","REJECT")</f>
        <v>REJECT</v>
      </c>
      <c r="C1506" s="0" t="n">
        <f aca="false">MOD(A1506-1,Pemetaan!$B$3*Pemetaan!$B$4)</f>
        <v>604</v>
      </c>
      <c r="D1506" s="0" t="n">
        <f aca="false">INT(C1506/Pemetaan!$B$4)</f>
        <v>24</v>
      </c>
      <c r="E1506" s="0" t="n">
        <f aca="false">MOD(C1506,Pemetaan!$B$4)</f>
        <v>4</v>
      </c>
      <c r="F1506" s="0" t="n">
        <f aca="false">IF(B1506="PRODUKSI",Pemetaan!$B$5,Pemetaan!$B$6)</f>
        <v>46</v>
      </c>
      <c r="G1506" s="0" t="n">
        <f aca="false">F1506+2+D1506</f>
        <v>72</v>
      </c>
      <c r="H1506" s="0" t="n">
        <f aca="false">Pemetaan!$B$2+E1506</f>
        <v>9</v>
      </c>
      <c r="I1506" s="0" t="str">
        <f aca="false">INDEX(Laporan!$A$1:$AZ$300,G1506,1)</f>
        <v>Mixing</v>
      </c>
      <c r="J1506" s="0" t="str">
        <f aca="false">INDEX(Laporan!$A$1:$AZ$300,G1506,2)</f>
        <v>600 ml</v>
      </c>
      <c r="K1506" s="0" t="str">
        <f aca="false">INDEX(Laporan!$A$1:$AZ$300,G1506,3)</f>
        <v>Shift 1</v>
      </c>
      <c r="L1506" s="0" t="n">
        <f aca="false">INDEX(Laporan!$A$1:$AZ$300,G1506,4)</f>
        <v>1</v>
      </c>
      <c r="M1506" s="1" t="n">
        <f aca="false">DATE(Pemetaan!$B$1,VALUE(RIGHT(INDEX(Laporan!$A$1:$AZ$300,F1506+1,H1506),2)),VALUE(LEFT(INDEX(Laporan!$A$1:$AZ$300,F1506+1,H1506),2)))</f>
        <v>46087</v>
      </c>
      <c r="N1506" s="0" t="n">
        <f aca="false">INDEX(Laporan!$A$1:$AZ$300,G1506,H1506)</f>
        <v>20</v>
      </c>
      <c r="O1506" s="0" t="n">
        <f aca="false">IF(N1506="","",IFERROR(VALUE(SUBSTITUTE(SUBSTITUTE(N1506," btl",""),".","")),""))</f>
        <v>20</v>
      </c>
      <c r="P1506" s="0" t="str">
        <f aca="false">IF(B1506="PRODUKSI","produced","reject")</f>
        <v>reject</v>
      </c>
    </row>
    <row r="1507" customFormat="false" ht="15" hidden="false" customHeight="false" outlineLevel="0" collapsed="false">
      <c r="A1507" s="0" t="n">
        <v>1506</v>
      </c>
      <c r="B1507" s="0" t="str">
        <f aca="false">IF(A1507&lt;=36*25,"PRODUKSI","REJECT")</f>
        <v>REJECT</v>
      </c>
      <c r="C1507" s="0" t="n">
        <f aca="false">MOD(A1507-1,Pemetaan!$B$3*Pemetaan!$B$4)</f>
        <v>605</v>
      </c>
      <c r="D1507" s="0" t="n">
        <f aca="false">INT(C1507/Pemetaan!$B$4)</f>
        <v>24</v>
      </c>
      <c r="E1507" s="0" t="n">
        <f aca="false">MOD(C1507,Pemetaan!$B$4)</f>
        <v>5</v>
      </c>
      <c r="F1507" s="0" t="n">
        <f aca="false">IF(B1507="PRODUKSI",Pemetaan!$B$5,Pemetaan!$B$6)</f>
        <v>46</v>
      </c>
      <c r="G1507" s="0" t="n">
        <f aca="false">F1507+2+D1507</f>
        <v>72</v>
      </c>
      <c r="H1507" s="0" t="n">
        <f aca="false">Pemetaan!$B$2+E1507</f>
        <v>10</v>
      </c>
      <c r="I1507" s="0" t="str">
        <f aca="false">INDEX(Laporan!$A$1:$AZ$300,G1507,1)</f>
        <v>Mixing</v>
      </c>
      <c r="J1507" s="0" t="str">
        <f aca="false">INDEX(Laporan!$A$1:$AZ$300,G1507,2)</f>
        <v>600 ml</v>
      </c>
      <c r="K1507" s="0" t="str">
        <f aca="false">INDEX(Laporan!$A$1:$AZ$300,G1507,3)</f>
        <v>Shift 1</v>
      </c>
      <c r="L1507" s="0" t="n">
        <f aca="false">INDEX(Laporan!$A$1:$AZ$300,G1507,4)</f>
        <v>1</v>
      </c>
      <c r="M1507" s="1" t="n">
        <f aca="false">DATE(Pemetaan!$B$1,VALUE(RIGHT(INDEX(Laporan!$A$1:$AZ$300,F1507+1,H1507),2)),VALUE(LEFT(INDEX(Laporan!$A$1:$AZ$300,F1507+1,H1507),2)))</f>
        <v>46090</v>
      </c>
      <c r="N1507" s="0" t="n">
        <f aca="false">INDEX(Laporan!$A$1:$AZ$300,G1507,H1507)</f>
        <v>17</v>
      </c>
      <c r="O1507" s="0" t="n">
        <f aca="false">IF(N1507="","",IFERROR(VALUE(SUBSTITUTE(SUBSTITUTE(N1507," btl",""),".","")),""))</f>
        <v>17</v>
      </c>
      <c r="P1507" s="0" t="str">
        <f aca="false">IF(B1507="PRODUKSI","produced","reject")</f>
        <v>reject</v>
      </c>
    </row>
    <row r="1508" customFormat="false" ht="15" hidden="false" customHeight="false" outlineLevel="0" collapsed="false">
      <c r="A1508" s="0" t="n">
        <v>1507</v>
      </c>
      <c r="B1508" s="0" t="str">
        <f aca="false">IF(A1508&lt;=36*25,"PRODUKSI","REJECT")</f>
        <v>REJECT</v>
      </c>
      <c r="C1508" s="0" t="n">
        <f aca="false">MOD(A1508-1,Pemetaan!$B$3*Pemetaan!$B$4)</f>
        <v>606</v>
      </c>
      <c r="D1508" s="0" t="n">
        <f aca="false">INT(C1508/Pemetaan!$B$4)</f>
        <v>24</v>
      </c>
      <c r="E1508" s="0" t="n">
        <f aca="false">MOD(C1508,Pemetaan!$B$4)</f>
        <v>6</v>
      </c>
      <c r="F1508" s="0" t="n">
        <f aca="false">IF(B1508="PRODUKSI",Pemetaan!$B$5,Pemetaan!$B$6)</f>
        <v>46</v>
      </c>
      <c r="G1508" s="0" t="n">
        <f aca="false">F1508+2+D1508</f>
        <v>72</v>
      </c>
      <c r="H1508" s="0" t="n">
        <f aca="false">Pemetaan!$B$2+E1508</f>
        <v>11</v>
      </c>
      <c r="I1508" s="0" t="str">
        <f aca="false">INDEX(Laporan!$A$1:$AZ$300,G1508,1)</f>
        <v>Mixing</v>
      </c>
      <c r="J1508" s="0" t="str">
        <f aca="false">INDEX(Laporan!$A$1:$AZ$300,G1508,2)</f>
        <v>600 ml</v>
      </c>
      <c r="K1508" s="0" t="str">
        <f aca="false">INDEX(Laporan!$A$1:$AZ$300,G1508,3)</f>
        <v>Shift 1</v>
      </c>
      <c r="L1508" s="0" t="n">
        <f aca="false">INDEX(Laporan!$A$1:$AZ$300,G1508,4)</f>
        <v>1</v>
      </c>
      <c r="M1508" s="1" t="n">
        <f aca="false">DATE(Pemetaan!$B$1,VALUE(RIGHT(INDEX(Laporan!$A$1:$AZ$300,F1508+1,H1508),2)),VALUE(LEFT(INDEX(Laporan!$A$1:$AZ$300,F1508+1,H1508),2)))</f>
        <v>46091</v>
      </c>
      <c r="N1508" s="0" t="n">
        <f aca="false">INDEX(Laporan!$A$1:$AZ$300,G1508,H1508)</f>
        <v>14</v>
      </c>
      <c r="O1508" s="0" t="n">
        <f aca="false">IF(N1508="","",IFERROR(VALUE(SUBSTITUTE(SUBSTITUTE(N1508," btl",""),".","")),""))</f>
        <v>14</v>
      </c>
      <c r="P1508" s="0" t="str">
        <f aca="false">IF(B1508="PRODUKSI","produced","reject")</f>
        <v>reject</v>
      </c>
    </row>
    <row r="1509" customFormat="false" ht="15" hidden="false" customHeight="false" outlineLevel="0" collapsed="false">
      <c r="A1509" s="0" t="n">
        <v>1508</v>
      </c>
      <c r="B1509" s="0" t="str">
        <f aca="false">IF(A1509&lt;=36*25,"PRODUKSI","REJECT")</f>
        <v>REJECT</v>
      </c>
      <c r="C1509" s="0" t="n">
        <f aca="false">MOD(A1509-1,Pemetaan!$B$3*Pemetaan!$B$4)</f>
        <v>607</v>
      </c>
      <c r="D1509" s="0" t="n">
        <f aca="false">INT(C1509/Pemetaan!$B$4)</f>
        <v>24</v>
      </c>
      <c r="E1509" s="0" t="n">
        <f aca="false">MOD(C1509,Pemetaan!$B$4)</f>
        <v>7</v>
      </c>
      <c r="F1509" s="0" t="n">
        <f aca="false">IF(B1509="PRODUKSI",Pemetaan!$B$5,Pemetaan!$B$6)</f>
        <v>46</v>
      </c>
      <c r="G1509" s="0" t="n">
        <f aca="false">F1509+2+D1509</f>
        <v>72</v>
      </c>
      <c r="H1509" s="0" t="n">
        <f aca="false">Pemetaan!$B$2+E1509</f>
        <v>12</v>
      </c>
      <c r="I1509" s="0" t="str">
        <f aca="false">INDEX(Laporan!$A$1:$AZ$300,G1509,1)</f>
        <v>Mixing</v>
      </c>
      <c r="J1509" s="0" t="str">
        <f aca="false">INDEX(Laporan!$A$1:$AZ$300,G1509,2)</f>
        <v>600 ml</v>
      </c>
      <c r="K1509" s="0" t="str">
        <f aca="false">INDEX(Laporan!$A$1:$AZ$300,G1509,3)</f>
        <v>Shift 1</v>
      </c>
      <c r="L1509" s="0" t="n">
        <f aca="false">INDEX(Laporan!$A$1:$AZ$300,G1509,4)</f>
        <v>1</v>
      </c>
      <c r="M1509" s="1" t="n">
        <f aca="false">DATE(Pemetaan!$B$1,VALUE(RIGHT(INDEX(Laporan!$A$1:$AZ$300,F1509+1,H1509),2)),VALUE(LEFT(INDEX(Laporan!$A$1:$AZ$300,F1509+1,H1509),2)))</f>
        <v>46092</v>
      </c>
      <c r="N1509" s="0" t="n">
        <f aca="false">INDEX(Laporan!$A$1:$AZ$300,G1509,H1509)</f>
        <v>12</v>
      </c>
      <c r="O1509" s="0" t="n">
        <f aca="false">IF(N1509="","",IFERROR(VALUE(SUBSTITUTE(SUBSTITUTE(N1509," btl",""),".","")),""))</f>
        <v>12</v>
      </c>
      <c r="P1509" s="0" t="str">
        <f aca="false">IF(B1509="PRODUKSI","produced","reject")</f>
        <v>reject</v>
      </c>
    </row>
    <row r="1510" customFormat="false" ht="15" hidden="false" customHeight="false" outlineLevel="0" collapsed="false">
      <c r="A1510" s="0" t="n">
        <v>1509</v>
      </c>
      <c r="B1510" s="0" t="str">
        <f aca="false">IF(A1510&lt;=36*25,"PRODUKSI","REJECT")</f>
        <v>REJECT</v>
      </c>
      <c r="C1510" s="0" t="n">
        <f aca="false">MOD(A1510-1,Pemetaan!$B$3*Pemetaan!$B$4)</f>
        <v>608</v>
      </c>
      <c r="D1510" s="0" t="n">
        <f aca="false">INT(C1510/Pemetaan!$B$4)</f>
        <v>24</v>
      </c>
      <c r="E1510" s="0" t="n">
        <f aca="false">MOD(C1510,Pemetaan!$B$4)</f>
        <v>8</v>
      </c>
      <c r="F1510" s="0" t="n">
        <f aca="false">IF(B1510="PRODUKSI",Pemetaan!$B$5,Pemetaan!$B$6)</f>
        <v>46</v>
      </c>
      <c r="G1510" s="0" t="n">
        <f aca="false">F1510+2+D1510</f>
        <v>72</v>
      </c>
      <c r="H1510" s="0" t="n">
        <f aca="false">Pemetaan!$B$2+E1510</f>
        <v>13</v>
      </c>
      <c r="I1510" s="0" t="str">
        <f aca="false">INDEX(Laporan!$A$1:$AZ$300,G1510,1)</f>
        <v>Mixing</v>
      </c>
      <c r="J1510" s="0" t="str">
        <f aca="false">INDEX(Laporan!$A$1:$AZ$300,G1510,2)</f>
        <v>600 ml</v>
      </c>
      <c r="K1510" s="0" t="str">
        <f aca="false">INDEX(Laporan!$A$1:$AZ$300,G1510,3)</f>
        <v>Shift 1</v>
      </c>
      <c r="L1510" s="0" t="n">
        <f aca="false">INDEX(Laporan!$A$1:$AZ$300,G1510,4)</f>
        <v>1</v>
      </c>
      <c r="M1510" s="1" t="n">
        <f aca="false">DATE(Pemetaan!$B$1,VALUE(RIGHT(INDEX(Laporan!$A$1:$AZ$300,F1510+1,H1510),2)),VALUE(LEFT(INDEX(Laporan!$A$1:$AZ$300,F1510+1,H1510),2)))</f>
        <v>46093</v>
      </c>
      <c r="N1510" s="0" t="n">
        <f aca="false">INDEX(Laporan!$A$1:$AZ$300,G1510,H1510)</f>
        <v>19</v>
      </c>
      <c r="O1510" s="0" t="n">
        <f aca="false">IF(N1510="","",IFERROR(VALUE(SUBSTITUTE(SUBSTITUTE(N1510," btl",""),".","")),""))</f>
        <v>19</v>
      </c>
      <c r="P1510" s="0" t="str">
        <f aca="false">IF(B1510="PRODUKSI","produced","reject")</f>
        <v>reject</v>
      </c>
    </row>
    <row r="1511" customFormat="false" ht="15" hidden="false" customHeight="false" outlineLevel="0" collapsed="false">
      <c r="A1511" s="0" t="n">
        <v>1510</v>
      </c>
      <c r="B1511" s="0" t="str">
        <f aca="false">IF(A1511&lt;=36*25,"PRODUKSI","REJECT")</f>
        <v>REJECT</v>
      </c>
      <c r="C1511" s="0" t="n">
        <f aca="false">MOD(A1511-1,Pemetaan!$B$3*Pemetaan!$B$4)</f>
        <v>609</v>
      </c>
      <c r="D1511" s="0" t="n">
        <f aca="false">INT(C1511/Pemetaan!$B$4)</f>
        <v>24</v>
      </c>
      <c r="E1511" s="0" t="n">
        <f aca="false">MOD(C1511,Pemetaan!$B$4)</f>
        <v>9</v>
      </c>
      <c r="F1511" s="0" t="n">
        <f aca="false">IF(B1511="PRODUKSI",Pemetaan!$B$5,Pemetaan!$B$6)</f>
        <v>46</v>
      </c>
      <c r="G1511" s="0" t="n">
        <f aca="false">F1511+2+D1511</f>
        <v>72</v>
      </c>
      <c r="H1511" s="0" t="n">
        <f aca="false">Pemetaan!$B$2+E1511</f>
        <v>14</v>
      </c>
      <c r="I1511" s="0" t="str">
        <f aca="false">INDEX(Laporan!$A$1:$AZ$300,G1511,1)</f>
        <v>Mixing</v>
      </c>
      <c r="J1511" s="0" t="str">
        <f aca="false">INDEX(Laporan!$A$1:$AZ$300,G1511,2)</f>
        <v>600 ml</v>
      </c>
      <c r="K1511" s="0" t="str">
        <f aca="false">INDEX(Laporan!$A$1:$AZ$300,G1511,3)</f>
        <v>Shift 1</v>
      </c>
      <c r="L1511" s="0" t="n">
        <f aca="false">INDEX(Laporan!$A$1:$AZ$300,G1511,4)</f>
        <v>1</v>
      </c>
      <c r="M1511" s="1" t="n">
        <f aca="false">DATE(Pemetaan!$B$1,VALUE(RIGHT(INDEX(Laporan!$A$1:$AZ$300,F1511+1,H1511),2)),VALUE(LEFT(INDEX(Laporan!$A$1:$AZ$300,F1511+1,H1511),2)))</f>
        <v>46094</v>
      </c>
      <c r="N1511" s="0" t="n">
        <f aca="false">INDEX(Laporan!$A$1:$AZ$300,G1511,H1511)</f>
        <v>16</v>
      </c>
      <c r="O1511" s="0" t="n">
        <f aca="false">IF(N1511="","",IFERROR(VALUE(SUBSTITUTE(SUBSTITUTE(N1511," btl",""),".","")),""))</f>
        <v>16</v>
      </c>
      <c r="P1511" s="0" t="str">
        <f aca="false">IF(B1511="PRODUKSI","produced","reject")</f>
        <v>reject</v>
      </c>
    </row>
    <row r="1512" customFormat="false" ht="15" hidden="false" customHeight="false" outlineLevel="0" collapsed="false">
      <c r="A1512" s="0" t="n">
        <v>1511</v>
      </c>
      <c r="B1512" s="0" t="str">
        <f aca="false">IF(A1512&lt;=36*25,"PRODUKSI","REJECT")</f>
        <v>REJECT</v>
      </c>
      <c r="C1512" s="0" t="n">
        <f aca="false">MOD(A1512-1,Pemetaan!$B$3*Pemetaan!$B$4)</f>
        <v>610</v>
      </c>
      <c r="D1512" s="0" t="n">
        <f aca="false">INT(C1512/Pemetaan!$B$4)</f>
        <v>24</v>
      </c>
      <c r="E1512" s="0" t="n">
        <f aca="false">MOD(C1512,Pemetaan!$B$4)</f>
        <v>10</v>
      </c>
      <c r="F1512" s="0" t="n">
        <f aca="false">IF(B1512="PRODUKSI",Pemetaan!$B$5,Pemetaan!$B$6)</f>
        <v>46</v>
      </c>
      <c r="G1512" s="0" t="n">
        <f aca="false">F1512+2+D1512</f>
        <v>72</v>
      </c>
      <c r="H1512" s="0" t="n">
        <f aca="false">Pemetaan!$B$2+E1512</f>
        <v>15</v>
      </c>
      <c r="I1512" s="0" t="str">
        <f aca="false">INDEX(Laporan!$A$1:$AZ$300,G1512,1)</f>
        <v>Mixing</v>
      </c>
      <c r="J1512" s="0" t="str">
        <f aca="false">INDEX(Laporan!$A$1:$AZ$300,G1512,2)</f>
        <v>600 ml</v>
      </c>
      <c r="K1512" s="0" t="str">
        <f aca="false">INDEX(Laporan!$A$1:$AZ$300,G1512,3)</f>
        <v>Shift 1</v>
      </c>
      <c r="L1512" s="0" t="n">
        <f aca="false">INDEX(Laporan!$A$1:$AZ$300,G1512,4)</f>
        <v>1</v>
      </c>
      <c r="M1512" s="1" t="n">
        <f aca="false">DATE(Pemetaan!$B$1,VALUE(RIGHT(INDEX(Laporan!$A$1:$AZ$300,F1512+1,H1512),2)),VALUE(LEFT(INDEX(Laporan!$A$1:$AZ$300,F1512+1,H1512),2)))</f>
        <v>46097</v>
      </c>
      <c r="N1512" s="0" t="n">
        <f aca="false">INDEX(Laporan!$A$1:$AZ$300,G1512,H1512)</f>
        <v>15</v>
      </c>
      <c r="O1512" s="0" t="n">
        <f aca="false">IF(N1512="","",IFERROR(VALUE(SUBSTITUTE(SUBSTITUTE(N1512," btl",""),".","")),""))</f>
        <v>15</v>
      </c>
      <c r="P1512" s="0" t="str">
        <f aca="false">IF(B1512="PRODUKSI","produced","reject")</f>
        <v>reject</v>
      </c>
    </row>
    <row r="1513" customFormat="false" ht="15" hidden="false" customHeight="false" outlineLevel="0" collapsed="false">
      <c r="A1513" s="0" t="n">
        <v>1512</v>
      </c>
      <c r="B1513" s="0" t="str">
        <f aca="false">IF(A1513&lt;=36*25,"PRODUKSI","REJECT")</f>
        <v>REJECT</v>
      </c>
      <c r="C1513" s="0" t="n">
        <f aca="false">MOD(A1513-1,Pemetaan!$B$3*Pemetaan!$B$4)</f>
        <v>611</v>
      </c>
      <c r="D1513" s="0" t="n">
        <f aca="false">INT(C1513/Pemetaan!$B$4)</f>
        <v>24</v>
      </c>
      <c r="E1513" s="0" t="n">
        <f aca="false">MOD(C1513,Pemetaan!$B$4)</f>
        <v>11</v>
      </c>
      <c r="F1513" s="0" t="n">
        <f aca="false">IF(B1513="PRODUKSI",Pemetaan!$B$5,Pemetaan!$B$6)</f>
        <v>46</v>
      </c>
      <c r="G1513" s="0" t="n">
        <f aca="false">F1513+2+D1513</f>
        <v>72</v>
      </c>
      <c r="H1513" s="0" t="n">
        <f aca="false">Pemetaan!$B$2+E1513</f>
        <v>16</v>
      </c>
      <c r="I1513" s="0" t="str">
        <f aca="false">INDEX(Laporan!$A$1:$AZ$300,G1513,1)</f>
        <v>Mixing</v>
      </c>
      <c r="J1513" s="0" t="str">
        <f aca="false">INDEX(Laporan!$A$1:$AZ$300,G1513,2)</f>
        <v>600 ml</v>
      </c>
      <c r="K1513" s="0" t="str">
        <f aca="false">INDEX(Laporan!$A$1:$AZ$300,G1513,3)</f>
        <v>Shift 1</v>
      </c>
      <c r="L1513" s="0" t="n">
        <f aca="false">INDEX(Laporan!$A$1:$AZ$300,G1513,4)</f>
        <v>1</v>
      </c>
      <c r="M1513" s="1" t="n">
        <f aca="false">DATE(Pemetaan!$B$1,VALUE(RIGHT(INDEX(Laporan!$A$1:$AZ$300,F1513+1,H1513),2)),VALUE(LEFT(INDEX(Laporan!$A$1:$AZ$300,F1513+1,H1513),2)))</f>
        <v>46098</v>
      </c>
      <c r="N1513" s="0" t="n">
        <f aca="false">INDEX(Laporan!$A$1:$AZ$300,G1513,H1513)</f>
        <v>10</v>
      </c>
      <c r="O1513" s="0" t="n">
        <f aca="false">IF(N1513="","",IFERROR(VALUE(SUBSTITUTE(SUBSTITUTE(N1513," btl",""),".","")),""))</f>
        <v>10</v>
      </c>
      <c r="P1513" s="0" t="str">
        <f aca="false">IF(B1513="PRODUKSI","produced","reject")</f>
        <v>reject</v>
      </c>
    </row>
    <row r="1514" customFormat="false" ht="15" hidden="false" customHeight="false" outlineLevel="0" collapsed="false">
      <c r="A1514" s="0" t="n">
        <v>1513</v>
      </c>
      <c r="B1514" s="0" t="str">
        <f aca="false">IF(A1514&lt;=36*25,"PRODUKSI","REJECT")</f>
        <v>REJECT</v>
      </c>
      <c r="C1514" s="0" t="n">
        <f aca="false">MOD(A1514-1,Pemetaan!$B$3*Pemetaan!$B$4)</f>
        <v>612</v>
      </c>
      <c r="D1514" s="0" t="n">
        <f aca="false">INT(C1514/Pemetaan!$B$4)</f>
        <v>24</v>
      </c>
      <c r="E1514" s="0" t="n">
        <f aca="false">MOD(C1514,Pemetaan!$B$4)</f>
        <v>12</v>
      </c>
      <c r="F1514" s="0" t="n">
        <f aca="false">IF(B1514="PRODUKSI",Pemetaan!$B$5,Pemetaan!$B$6)</f>
        <v>46</v>
      </c>
      <c r="G1514" s="0" t="n">
        <f aca="false">F1514+2+D1514</f>
        <v>72</v>
      </c>
      <c r="H1514" s="0" t="n">
        <f aca="false">Pemetaan!$B$2+E1514</f>
        <v>17</v>
      </c>
      <c r="I1514" s="0" t="str">
        <f aca="false">INDEX(Laporan!$A$1:$AZ$300,G1514,1)</f>
        <v>Mixing</v>
      </c>
      <c r="J1514" s="0" t="str">
        <f aca="false">INDEX(Laporan!$A$1:$AZ$300,G1514,2)</f>
        <v>600 ml</v>
      </c>
      <c r="K1514" s="0" t="str">
        <f aca="false">INDEX(Laporan!$A$1:$AZ$300,G1514,3)</f>
        <v>Shift 1</v>
      </c>
      <c r="L1514" s="0" t="n">
        <f aca="false">INDEX(Laporan!$A$1:$AZ$300,G1514,4)</f>
        <v>1</v>
      </c>
      <c r="M1514" s="1" t="n">
        <f aca="false">DATE(Pemetaan!$B$1,VALUE(RIGHT(INDEX(Laporan!$A$1:$AZ$300,F1514+1,H1514),2)),VALUE(LEFT(INDEX(Laporan!$A$1:$AZ$300,F1514+1,H1514),2)))</f>
        <v>46099</v>
      </c>
      <c r="N1514" s="0" t="n">
        <f aca="false">INDEX(Laporan!$A$1:$AZ$300,G1514,H1514)</f>
        <v>13</v>
      </c>
      <c r="O1514" s="0" t="n">
        <f aca="false">IF(N1514="","",IFERROR(VALUE(SUBSTITUTE(SUBSTITUTE(N1514," btl",""),".","")),""))</f>
        <v>13</v>
      </c>
      <c r="P1514" s="0" t="str">
        <f aca="false">IF(B1514="PRODUKSI","produced","reject")</f>
        <v>reject</v>
      </c>
    </row>
    <row r="1515" customFormat="false" ht="15" hidden="false" customHeight="false" outlineLevel="0" collapsed="false">
      <c r="A1515" s="0" t="n">
        <v>1514</v>
      </c>
      <c r="B1515" s="0" t="str">
        <f aca="false">IF(A1515&lt;=36*25,"PRODUKSI","REJECT")</f>
        <v>REJECT</v>
      </c>
      <c r="C1515" s="0" t="n">
        <f aca="false">MOD(A1515-1,Pemetaan!$B$3*Pemetaan!$B$4)</f>
        <v>613</v>
      </c>
      <c r="D1515" s="0" t="n">
        <f aca="false">INT(C1515/Pemetaan!$B$4)</f>
        <v>24</v>
      </c>
      <c r="E1515" s="0" t="n">
        <f aca="false">MOD(C1515,Pemetaan!$B$4)</f>
        <v>13</v>
      </c>
      <c r="F1515" s="0" t="n">
        <f aca="false">IF(B1515="PRODUKSI",Pemetaan!$B$5,Pemetaan!$B$6)</f>
        <v>46</v>
      </c>
      <c r="G1515" s="0" t="n">
        <f aca="false">F1515+2+D1515</f>
        <v>72</v>
      </c>
      <c r="H1515" s="0" t="n">
        <f aca="false">Pemetaan!$B$2+E1515</f>
        <v>18</v>
      </c>
      <c r="I1515" s="0" t="str">
        <f aca="false">INDEX(Laporan!$A$1:$AZ$300,G1515,1)</f>
        <v>Mixing</v>
      </c>
      <c r="J1515" s="0" t="str">
        <f aca="false">INDEX(Laporan!$A$1:$AZ$300,G1515,2)</f>
        <v>600 ml</v>
      </c>
      <c r="K1515" s="0" t="str">
        <f aca="false">INDEX(Laporan!$A$1:$AZ$300,G1515,3)</f>
        <v>Shift 1</v>
      </c>
      <c r="L1515" s="0" t="n">
        <f aca="false">INDEX(Laporan!$A$1:$AZ$300,G1515,4)</f>
        <v>1</v>
      </c>
      <c r="M1515" s="1" t="n">
        <f aca="false">DATE(Pemetaan!$B$1,VALUE(RIGHT(INDEX(Laporan!$A$1:$AZ$300,F1515+1,H1515),2)),VALUE(LEFT(INDEX(Laporan!$A$1:$AZ$300,F1515+1,H1515),2)))</f>
        <v>46100</v>
      </c>
      <c r="N1515" s="0" t="n">
        <f aca="false">INDEX(Laporan!$A$1:$AZ$300,G1515,H1515)</f>
        <v>20</v>
      </c>
      <c r="O1515" s="0" t="n">
        <f aca="false">IF(N1515="","",IFERROR(VALUE(SUBSTITUTE(SUBSTITUTE(N1515," btl",""),".","")),""))</f>
        <v>20</v>
      </c>
      <c r="P1515" s="0" t="str">
        <f aca="false">IF(B1515="PRODUKSI","produced","reject")</f>
        <v>reject</v>
      </c>
    </row>
    <row r="1516" customFormat="false" ht="15" hidden="false" customHeight="false" outlineLevel="0" collapsed="false">
      <c r="A1516" s="0" t="n">
        <v>1515</v>
      </c>
      <c r="B1516" s="0" t="str">
        <f aca="false">IF(A1516&lt;=36*25,"PRODUKSI","REJECT")</f>
        <v>REJECT</v>
      </c>
      <c r="C1516" s="0" t="n">
        <f aca="false">MOD(A1516-1,Pemetaan!$B$3*Pemetaan!$B$4)</f>
        <v>614</v>
      </c>
      <c r="D1516" s="0" t="n">
        <f aca="false">INT(C1516/Pemetaan!$B$4)</f>
        <v>24</v>
      </c>
      <c r="E1516" s="0" t="n">
        <f aca="false">MOD(C1516,Pemetaan!$B$4)</f>
        <v>14</v>
      </c>
      <c r="F1516" s="0" t="n">
        <f aca="false">IF(B1516="PRODUKSI",Pemetaan!$B$5,Pemetaan!$B$6)</f>
        <v>46</v>
      </c>
      <c r="G1516" s="0" t="n">
        <f aca="false">F1516+2+D1516</f>
        <v>72</v>
      </c>
      <c r="H1516" s="0" t="n">
        <f aca="false">Pemetaan!$B$2+E1516</f>
        <v>19</v>
      </c>
      <c r="I1516" s="0" t="str">
        <f aca="false">INDEX(Laporan!$A$1:$AZ$300,G1516,1)</f>
        <v>Mixing</v>
      </c>
      <c r="J1516" s="0" t="str">
        <f aca="false">INDEX(Laporan!$A$1:$AZ$300,G1516,2)</f>
        <v>600 ml</v>
      </c>
      <c r="K1516" s="0" t="str">
        <f aca="false">INDEX(Laporan!$A$1:$AZ$300,G1516,3)</f>
        <v>Shift 1</v>
      </c>
      <c r="L1516" s="0" t="n">
        <f aca="false">INDEX(Laporan!$A$1:$AZ$300,G1516,4)</f>
        <v>1</v>
      </c>
      <c r="M1516" s="1" t="n">
        <f aca="false">DATE(Pemetaan!$B$1,VALUE(RIGHT(INDEX(Laporan!$A$1:$AZ$300,F1516+1,H1516),2)),VALUE(LEFT(INDEX(Laporan!$A$1:$AZ$300,F1516+1,H1516),2)))</f>
        <v>46101</v>
      </c>
      <c r="N1516" s="0" t="n">
        <f aca="false">INDEX(Laporan!$A$1:$AZ$300,G1516,H1516)</f>
        <v>22</v>
      </c>
      <c r="O1516" s="0" t="n">
        <f aca="false">IF(N1516="","",IFERROR(VALUE(SUBSTITUTE(SUBSTITUTE(N1516," btl",""),".","")),""))</f>
        <v>22</v>
      </c>
      <c r="P1516" s="0" t="str">
        <f aca="false">IF(B1516="PRODUKSI","produced","reject")</f>
        <v>reject</v>
      </c>
    </row>
    <row r="1517" customFormat="false" ht="15" hidden="false" customHeight="false" outlineLevel="0" collapsed="false">
      <c r="A1517" s="0" t="n">
        <v>1516</v>
      </c>
      <c r="B1517" s="0" t="str">
        <f aca="false">IF(A1517&lt;=36*25,"PRODUKSI","REJECT")</f>
        <v>REJECT</v>
      </c>
      <c r="C1517" s="0" t="n">
        <f aca="false">MOD(A1517-1,Pemetaan!$B$3*Pemetaan!$B$4)</f>
        <v>615</v>
      </c>
      <c r="D1517" s="0" t="n">
        <f aca="false">INT(C1517/Pemetaan!$B$4)</f>
        <v>24</v>
      </c>
      <c r="E1517" s="0" t="n">
        <f aca="false">MOD(C1517,Pemetaan!$B$4)</f>
        <v>15</v>
      </c>
      <c r="F1517" s="0" t="n">
        <f aca="false">IF(B1517="PRODUKSI",Pemetaan!$B$5,Pemetaan!$B$6)</f>
        <v>46</v>
      </c>
      <c r="G1517" s="0" t="n">
        <f aca="false">F1517+2+D1517</f>
        <v>72</v>
      </c>
      <c r="H1517" s="0" t="n">
        <f aca="false">Pemetaan!$B$2+E1517</f>
        <v>20</v>
      </c>
      <c r="I1517" s="0" t="str">
        <f aca="false">INDEX(Laporan!$A$1:$AZ$300,G1517,1)</f>
        <v>Mixing</v>
      </c>
      <c r="J1517" s="0" t="str">
        <f aca="false">INDEX(Laporan!$A$1:$AZ$300,G1517,2)</f>
        <v>600 ml</v>
      </c>
      <c r="K1517" s="0" t="str">
        <f aca="false">INDEX(Laporan!$A$1:$AZ$300,G1517,3)</f>
        <v>Shift 1</v>
      </c>
      <c r="L1517" s="0" t="n">
        <f aca="false">INDEX(Laporan!$A$1:$AZ$300,G1517,4)</f>
        <v>1</v>
      </c>
      <c r="M1517" s="1" t="n">
        <f aca="false">DATE(Pemetaan!$B$1,VALUE(RIGHT(INDEX(Laporan!$A$1:$AZ$300,F1517+1,H1517),2)),VALUE(LEFT(INDEX(Laporan!$A$1:$AZ$300,F1517+1,H1517),2)))</f>
        <v>46104</v>
      </c>
      <c r="N1517" s="0" t="n">
        <f aca="false">INDEX(Laporan!$A$1:$AZ$300,G1517,H1517)</f>
        <v>20</v>
      </c>
      <c r="O1517" s="0" t="n">
        <f aca="false">IF(N1517="","",IFERROR(VALUE(SUBSTITUTE(SUBSTITUTE(N1517," btl",""),".","")),""))</f>
        <v>20</v>
      </c>
      <c r="P1517" s="0" t="str">
        <f aca="false">IF(B1517="PRODUKSI","produced","reject")</f>
        <v>reject</v>
      </c>
    </row>
    <row r="1518" customFormat="false" ht="15" hidden="false" customHeight="false" outlineLevel="0" collapsed="false">
      <c r="A1518" s="0" t="n">
        <v>1517</v>
      </c>
      <c r="B1518" s="0" t="str">
        <f aca="false">IF(A1518&lt;=36*25,"PRODUKSI","REJECT")</f>
        <v>REJECT</v>
      </c>
      <c r="C1518" s="0" t="n">
        <f aca="false">MOD(A1518-1,Pemetaan!$B$3*Pemetaan!$B$4)</f>
        <v>616</v>
      </c>
      <c r="D1518" s="0" t="n">
        <f aca="false">INT(C1518/Pemetaan!$B$4)</f>
        <v>24</v>
      </c>
      <c r="E1518" s="0" t="n">
        <f aca="false">MOD(C1518,Pemetaan!$B$4)</f>
        <v>16</v>
      </c>
      <c r="F1518" s="0" t="n">
        <f aca="false">IF(B1518="PRODUKSI",Pemetaan!$B$5,Pemetaan!$B$6)</f>
        <v>46</v>
      </c>
      <c r="G1518" s="0" t="n">
        <f aca="false">F1518+2+D1518</f>
        <v>72</v>
      </c>
      <c r="H1518" s="0" t="n">
        <f aca="false">Pemetaan!$B$2+E1518</f>
        <v>21</v>
      </c>
      <c r="I1518" s="0" t="str">
        <f aca="false">INDEX(Laporan!$A$1:$AZ$300,G1518,1)</f>
        <v>Mixing</v>
      </c>
      <c r="J1518" s="0" t="str">
        <f aca="false">INDEX(Laporan!$A$1:$AZ$300,G1518,2)</f>
        <v>600 ml</v>
      </c>
      <c r="K1518" s="0" t="str">
        <f aca="false">INDEX(Laporan!$A$1:$AZ$300,G1518,3)</f>
        <v>Shift 1</v>
      </c>
      <c r="L1518" s="0" t="n">
        <f aca="false">INDEX(Laporan!$A$1:$AZ$300,G1518,4)</f>
        <v>1</v>
      </c>
      <c r="M1518" s="1" t="n">
        <f aca="false">DATE(Pemetaan!$B$1,VALUE(RIGHT(INDEX(Laporan!$A$1:$AZ$300,F1518+1,H1518),2)),VALUE(LEFT(INDEX(Laporan!$A$1:$AZ$300,F1518+1,H1518),2)))</f>
        <v>46105</v>
      </c>
      <c r="N1518" s="0" t="n">
        <f aca="false">INDEX(Laporan!$A$1:$AZ$300,G1518,H1518)</f>
        <v>17</v>
      </c>
      <c r="O1518" s="0" t="n">
        <f aca="false">IF(N1518="","",IFERROR(VALUE(SUBSTITUTE(SUBSTITUTE(N1518," btl",""),".","")),""))</f>
        <v>17</v>
      </c>
      <c r="P1518" s="0" t="str">
        <f aca="false">IF(B1518="PRODUKSI","produced","reject")</f>
        <v>reject</v>
      </c>
    </row>
    <row r="1519" customFormat="false" ht="15" hidden="false" customHeight="false" outlineLevel="0" collapsed="false">
      <c r="A1519" s="0" t="n">
        <v>1518</v>
      </c>
      <c r="B1519" s="0" t="str">
        <f aca="false">IF(A1519&lt;=36*25,"PRODUKSI","REJECT")</f>
        <v>REJECT</v>
      </c>
      <c r="C1519" s="0" t="n">
        <f aca="false">MOD(A1519-1,Pemetaan!$B$3*Pemetaan!$B$4)</f>
        <v>617</v>
      </c>
      <c r="D1519" s="0" t="n">
        <f aca="false">INT(C1519/Pemetaan!$B$4)</f>
        <v>24</v>
      </c>
      <c r="E1519" s="0" t="n">
        <f aca="false">MOD(C1519,Pemetaan!$B$4)</f>
        <v>17</v>
      </c>
      <c r="F1519" s="0" t="n">
        <f aca="false">IF(B1519="PRODUKSI",Pemetaan!$B$5,Pemetaan!$B$6)</f>
        <v>46</v>
      </c>
      <c r="G1519" s="0" t="n">
        <f aca="false">F1519+2+D1519</f>
        <v>72</v>
      </c>
      <c r="H1519" s="0" t="n">
        <f aca="false">Pemetaan!$B$2+E1519</f>
        <v>22</v>
      </c>
      <c r="I1519" s="0" t="str">
        <f aca="false">INDEX(Laporan!$A$1:$AZ$300,G1519,1)</f>
        <v>Mixing</v>
      </c>
      <c r="J1519" s="0" t="str">
        <f aca="false">INDEX(Laporan!$A$1:$AZ$300,G1519,2)</f>
        <v>600 ml</v>
      </c>
      <c r="K1519" s="0" t="str">
        <f aca="false">INDEX(Laporan!$A$1:$AZ$300,G1519,3)</f>
        <v>Shift 1</v>
      </c>
      <c r="L1519" s="0" t="n">
        <f aca="false">INDEX(Laporan!$A$1:$AZ$300,G1519,4)</f>
        <v>1</v>
      </c>
      <c r="M1519" s="1" t="n">
        <f aca="false">DATE(Pemetaan!$B$1,VALUE(RIGHT(INDEX(Laporan!$A$1:$AZ$300,F1519+1,H1519),2)),VALUE(LEFT(INDEX(Laporan!$A$1:$AZ$300,F1519+1,H1519),2)))</f>
        <v>46106</v>
      </c>
      <c r="N1519" s="0" t="n">
        <f aca="false">INDEX(Laporan!$A$1:$AZ$300,G1519,H1519)</f>
        <v>16</v>
      </c>
      <c r="O1519" s="0" t="n">
        <f aca="false">IF(N1519="","",IFERROR(VALUE(SUBSTITUTE(SUBSTITUTE(N1519," btl",""),".","")),""))</f>
        <v>16</v>
      </c>
      <c r="P1519" s="0" t="str">
        <f aca="false">IF(B1519="PRODUKSI","produced","reject")</f>
        <v>reject</v>
      </c>
    </row>
    <row r="1520" customFormat="false" ht="15" hidden="false" customHeight="false" outlineLevel="0" collapsed="false">
      <c r="A1520" s="0" t="n">
        <v>1519</v>
      </c>
      <c r="B1520" s="0" t="str">
        <f aca="false">IF(A1520&lt;=36*25,"PRODUKSI","REJECT")</f>
        <v>REJECT</v>
      </c>
      <c r="C1520" s="0" t="n">
        <f aca="false">MOD(A1520-1,Pemetaan!$B$3*Pemetaan!$B$4)</f>
        <v>618</v>
      </c>
      <c r="D1520" s="0" t="n">
        <f aca="false">INT(C1520/Pemetaan!$B$4)</f>
        <v>24</v>
      </c>
      <c r="E1520" s="0" t="n">
        <f aca="false">MOD(C1520,Pemetaan!$B$4)</f>
        <v>18</v>
      </c>
      <c r="F1520" s="0" t="n">
        <f aca="false">IF(B1520="PRODUKSI",Pemetaan!$B$5,Pemetaan!$B$6)</f>
        <v>46</v>
      </c>
      <c r="G1520" s="0" t="n">
        <f aca="false">F1520+2+D1520</f>
        <v>72</v>
      </c>
      <c r="H1520" s="0" t="n">
        <f aca="false">Pemetaan!$B$2+E1520</f>
        <v>23</v>
      </c>
      <c r="I1520" s="0" t="str">
        <f aca="false">INDEX(Laporan!$A$1:$AZ$300,G1520,1)</f>
        <v>Mixing</v>
      </c>
      <c r="J1520" s="0" t="str">
        <f aca="false">INDEX(Laporan!$A$1:$AZ$300,G1520,2)</f>
        <v>600 ml</v>
      </c>
      <c r="K1520" s="0" t="str">
        <f aca="false">INDEX(Laporan!$A$1:$AZ$300,G1520,3)</f>
        <v>Shift 1</v>
      </c>
      <c r="L1520" s="0" t="n">
        <f aca="false">INDEX(Laporan!$A$1:$AZ$300,G1520,4)</f>
        <v>1</v>
      </c>
      <c r="M1520" s="1" t="n">
        <f aca="false">DATE(Pemetaan!$B$1,VALUE(RIGHT(INDEX(Laporan!$A$1:$AZ$300,F1520+1,H1520),2)),VALUE(LEFT(INDEX(Laporan!$A$1:$AZ$300,F1520+1,H1520),2)))</f>
        <v>46107</v>
      </c>
      <c r="N1520" s="0" t="n">
        <f aca="false">INDEX(Laporan!$A$1:$AZ$300,G1520,H1520)</f>
        <v>15</v>
      </c>
      <c r="O1520" s="0" t="n">
        <f aca="false">IF(N1520="","",IFERROR(VALUE(SUBSTITUTE(SUBSTITUTE(N1520," btl",""),".","")),""))</f>
        <v>15</v>
      </c>
      <c r="P1520" s="0" t="str">
        <f aca="false">IF(B1520="PRODUKSI","produced","reject")</f>
        <v>reject</v>
      </c>
    </row>
    <row r="1521" customFormat="false" ht="15" hidden="false" customHeight="false" outlineLevel="0" collapsed="false">
      <c r="A1521" s="0" t="n">
        <v>1520</v>
      </c>
      <c r="B1521" s="0" t="str">
        <f aca="false">IF(A1521&lt;=36*25,"PRODUKSI","REJECT")</f>
        <v>REJECT</v>
      </c>
      <c r="C1521" s="0" t="n">
        <f aca="false">MOD(A1521-1,Pemetaan!$B$3*Pemetaan!$B$4)</f>
        <v>619</v>
      </c>
      <c r="D1521" s="0" t="n">
        <f aca="false">INT(C1521/Pemetaan!$B$4)</f>
        <v>24</v>
      </c>
      <c r="E1521" s="0" t="n">
        <f aca="false">MOD(C1521,Pemetaan!$B$4)</f>
        <v>19</v>
      </c>
      <c r="F1521" s="0" t="n">
        <f aca="false">IF(B1521="PRODUKSI",Pemetaan!$B$5,Pemetaan!$B$6)</f>
        <v>46</v>
      </c>
      <c r="G1521" s="0" t="n">
        <f aca="false">F1521+2+D1521</f>
        <v>72</v>
      </c>
      <c r="H1521" s="0" t="n">
        <f aca="false">Pemetaan!$B$2+E1521</f>
        <v>24</v>
      </c>
      <c r="I1521" s="0" t="str">
        <f aca="false">INDEX(Laporan!$A$1:$AZ$300,G1521,1)</f>
        <v>Mixing</v>
      </c>
      <c r="J1521" s="0" t="str">
        <f aca="false">INDEX(Laporan!$A$1:$AZ$300,G1521,2)</f>
        <v>600 ml</v>
      </c>
      <c r="K1521" s="0" t="str">
        <f aca="false">INDEX(Laporan!$A$1:$AZ$300,G1521,3)</f>
        <v>Shift 1</v>
      </c>
      <c r="L1521" s="0" t="n">
        <f aca="false">INDEX(Laporan!$A$1:$AZ$300,G1521,4)</f>
        <v>1</v>
      </c>
      <c r="M1521" s="1" t="n">
        <f aca="false">DATE(Pemetaan!$B$1,VALUE(RIGHT(INDEX(Laporan!$A$1:$AZ$300,F1521+1,H1521),2)),VALUE(LEFT(INDEX(Laporan!$A$1:$AZ$300,F1521+1,H1521),2)))</f>
        <v>46108</v>
      </c>
      <c r="N1521" s="0" t="n">
        <f aca="false">INDEX(Laporan!$A$1:$AZ$300,G1521,H1521)</f>
        <v>16</v>
      </c>
      <c r="O1521" s="0" t="n">
        <f aca="false">IF(N1521="","",IFERROR(VALUE(SUBSTITUTE(SUBSTITUTE(N1521," btl",""),".","")),""))</f>
        <v>16</v>
      </c>
      <c r="P1521" s="0" t="str">
        <f aca="false">IF(B1521="PRODUKSI","produced","reject")</f>
        <v>reject</v>
      </c>
    </row>
    <row r="1522" customFormat="false" ht="15" hidden="false" customHeight="false" outlineLevel="0" collapsed="false">
      <c r="A1522" s="0" t="n">
        <v>1521</v>
      </c>
      <c r="B1522" s="0" t="str">
        <f aca="false">IF(A1522&lt;=36*25,"PRODUKSI","REJECT")</f>
        <v>REJECT</v>
      </c>
      <c r="C1522" s="0" t="n">
        <f aca="false">MOD(A1522-1,Pemetaan!$B$3*Pemetaan!$B$4)</f>
        <v>620</v>
      </c>
      <c r="D1522" s="0" t="n">
        <f aca="false">INT(C1522/Pemetaan!$B$4)</f>
        <v>24</v>
      </c>
      <c r="E1522" s="0" t="n">
        <f aca="false">MOD(C1522,Pemetaan!$B$4)</f>
        <v>20</v>
      </c>
      <c r="F1522" s="0" t="n">
        <f aca="false">IF(B1522="PRODUKSI",Pemetaan!$B$5,Pemetaan!$B$6)</f>
        <v>46</v>
      </c>
      <c r="G1522" s="0" t="n">
        <f aca="false">F1522+2+D1522</f>
        <v>72</v>
      </c>
      <c r="H1522" s="0" t="n">
        <f aca="false">Pemetaan!$B$2+E1522</f>
        <v>25</v>
      </c>
      <c r="I1522" s="0" t="str">
        <f aca="false">INDEX(Laporan!$A$1:$AZ$300,G1522,1)</f>
        <v>Mixing</v>
      </c>
      <c r="J1522" s="0" t="str">
        <f aca="false">INDEX(Laporan!$A$1:$AZ$300,G1522,2)</f>
        <v>600 ml</v>
      </c>
      <c r="K1522" s="0" t="str">
        <f aca="false">INDEX(Laporan!$A$1:$AZ$300,G1522,3)</f>
        <v>Shift 1</v>
      </c>
      <c r="L1522" s="0" t="n">
        <f aca="false">INDEX(Laporan!$A$1:$AZ$300,G1522,4)</f>
        <v>1</v>
      </c>
      <c r="M1522" s="1" t="n">
        <f aca="false">DATE(Pemetaan!$B$1,VALUE(RIGHT(INDEX(Laporan!$A$1:$AZ$300,F1522+1,H1522),2)),VALUE(LEFT(INDEX(Laporan!$A$1:$AZ$300,F1522+1,H1522),2)))</f>
        <v>46111</v>
      </c>
      <c r="N1522" s="0" t="n">
        <f aca="false">INDEX(Laporan!$A$1:$AZ$300,G1522,H1522)</f>
        <v>17</v>
      </c>
      <c r="O1522" s="0" t="n">
        <f aca="false">IF(N1522="","",IFERROR(VALUE(SUBSTITUTE(SUBSTITUTE(N1522," btl",""),".","")),""))</f>
        <v>17</v>
      </c>
      <c r="P1522" s="0" t="str">
        <f aca="false">IF(B1522="PRODUKSI","produced","reject")</f>
        <v>reject</v>
      </c>
    </row>
    <row r="1523" customFormat="false" ht="15" hidden="false" customHeight="false" outlineLevel="0" collapsed="false">
      <c r="A1523" s="0" t="n">
        <v>1522</v>
      </c>
      <c r="B1523" s="0" t="str">
        <f aca="false">IF(A1523&lt;=36*25,"PRODUKSI","REJECT")</f>
        <v>REJECT</v>
      </c>
      <c r="C1523" s="0" t="n">
        <f aca="false">MOD(A1523-1,Pemetaan!$B$3*Pemetaan!$B$4)</f>
        <v>621</v>
      </c>
      <c r="D1523" s="0" t="n">
        <f aca="false">INT(C1523/Pemetaan!$B$4)</f>
        <v>24</v>
      </c>
      <c r="E1523" s="0" t="n">
        <f aca="false">MOD(C1523,Pemetaan!$B$4)</f>
        <v>21</v>
      </c>
      <c r="F1523" s="0" t="n">
        <f aca="false">IF(B1523="PRODUKSI",Pemetaan!$B$5,Pemetaan!$B$6)</f>
        <v>46</v>
      </c>
      <c r="G1523" s="0" t="n">
        <f aca="false">F1523+2+D1523</f>
        <v>72</v>
      </c>
      <c r="H1523" s="0" t="n">
        <f aca="false">Pemetaan!$B$2+E1523</f>
        <v>26</v>
      </c>
      <c r="I1523" s="0" t="str">
        <f aca="false">INDEX(Laporan!$A$1:$AZ$300,G1523,1)</f>
        <v>Mixing</v>
      </c>
      <c r="J1523" s="0" t="str">
        <f aca="false">INDEX(Laporan!$A$1:$AZ$300,G1523,2)</f>
        <v>600 ml</v>
      </c>
      <c r="K1523" s="0" t="str">
        <f aca="false">INDEX(Laporan!$A$1:$AZ$300,G1523,3)</f>
        <v>Shift 1</v>
      </c>
      <c r="L1523" s="0" t="n">
        <f aca="false">INDEX(Laporan!$A$1:$AZ$300,G1523,4)</f>
        <v>1</v>
      </c>
      <c r="M1523" s="1" t="n">
        <f aca="false">DATE(Pemetaan!$B$1,VALUE(RIGHT(INDEX(Laporan!$A$1:$AZ$300,F1523+1,H1523),2)),VALUE(LEFT(INDEX(Laporan!$A$1:$AZ$300,F1523+1,H1523),2)))</f>
        <v>46112</v>
      </c>
      <c r="N1523" s="0" t="str">
        <f aca="false">INDEX(Laporan!$A$1:$AZ$300,G1523,H1523)</f>
        <v>17 btl</v>
      </c>
      <c r="O1523" s="0" t="n">
        <f aca="false">IF(N1523="","",IFERROR(VALUE(SUBSTITUTE(SUBSTITUTE(N1523," btl",""),".","")),""))</f>
        <v>17</v>
      </c>
      <c r="P1523" s="0" t="str">
        <f aca="false">IF(B1523="PRODUKSI","produced","reject")</f>
        <v>reject</v>
      </c>
    </row>
    <row r="1524" customFormat="false" ht="15" hidden="false" customHeight="false" outlineLevel="0" collapsed="false">
      <c r="A1524" s="0" t="n">
        <v>1523</v>
      </c>
      <c r="B1524" s="0" t="str">
        <f aca="false">IF(A1524&lt;=36*25,"PRODUKSI","REJECT")</f>
        <v>REJECT</v>
      </c>
      <c r="C1524" s="0" t="n">
        <f aca="false">MOD(A1524-1,Pemetaan!$B$3*Pemetaan!$B$4)</f>
        <v>622</v>
      </c>
      <c r="D1524" s="0" t="n">
        <f aca="false">INT(C1524/Pemetaan!$B$4)</f>
        <v>24</v>
      </c>
      <c r="E1524" s="0" t="n">
        <f aca="false">MOD(C1524,Pemetaan!$B$4)</f>
        <v>22</v>
      </c>
      <c r="F1524" s="0" t="n">
        <f aca="false">IF(B1524="PRODUKSI",Pemetaan!$B$5,Pemetaan!$B$6)</f>
        <v>46</v>
      </c>
      <c r="G1524" s="0" t="n">
        <f aca="false">F1524+2+D1524</f>
        <v>72</v>
      </c>
      <c r="H1524" s="0" t="n">
        <f aca="false">Pemetaan!$B$2+E1524</f>
        <v>27</v>
      </c>
      <c r="I1524" s="0" t="str">
        <f aca="false">INDEX(Laporan!$A$1:$AZ$300,G1524,1)</f>
        <v>Mixing</v>
      </c>
      <c r="J1524" s="0" t="str">
        <f aca="false">INDEX(Laporan!$A$1:$AZ$300,G1524,2)</f>
        <v>600 ml</v>
      </c>
      <c r="K1524" s="0" t="str">
        <f aca="false">INDEX(Laporan!$A$1:$AZ$300,G1524,3)</f>
        <v>Shift 1</v>
      </c>
      <c r="L1524" s="0" t="n">
        <f aca="false">INDEX(Laporan!$A$1:$AZ$300,G1524,4)</f>
        <v>1</v>
      </c>
      <c r="M1524" s="1" t="n">
        <f aca="false">DATE(Pemetaan!$B$1,VALUE(RIGHT(INDEX(Laporan!$A$1:$AZ$300,F1524+1,H1524),2)),VALUE(LEFT(INDEX(Laporan!$A$1:$AZ$300,F1524+1,H1524),2)))</f>
        <v>46113</v>
      </c>
      <c r="N1524" s="0" t="n">
        <f aca="false">INDEX(Laporan!$A$1:$AZ$300,G1524,H1524)</f>
        <v>18</v>
      </c>
      <c r="O1524" s="0" t="n">
        <f aca="false">IF(N1524="","",IFERROR(VALUE(SUBSTITUTE(SUBSTITUTE(N1524," btl",""),".","")),""))</f>
        <v>18</v>
      </c>
      <c r="P1524" s="0" t="str">
        <f aca="false">IF(B1524="PRODUKSI","produced","reject")</f>
        <v>reject</v>
      </c>
    </row>
    <row r="1525" customFormat="false" ht="15" hidden="false" customHeight="false" outlineLevel="0" collapsed="false">
      <c r="A1525" s="0" t="n">
        <v>1524</v>
      </c>
      <c r="B1525" s="0" t="str">
        <f aca="false">IF(A1525&lt;=36*25,"PRODUKSI","REJECT")</f>
        <v>REJECT</v>
      </c>
      <c r="C1525" s="0" t="n">
        <f aca="false">MOD(A1525-1,Pemetaan!$B$3*Pemetaan!$B$4)</f>
        <v>623</v>
      </c>
      <c r="D1525" s="0" t="n">
        <f aca="false">INT(C1525/Pemetaan!$B$4)</f>
        <v>24</v>
      </c>
      <c r="E1525" s="0" t="n">
        <f aca="false">MOD(C1525,Pemetaan!$B$4)</f>
        <v>23</v>
      </c>
      <c r="F1525" s="0" t="n">
        <f aca="false">IF(B1525="PRODUKSI",Pemetaan!$B$5,Pemetaan!$B$6)</f>
        <v>46</v>
      </c>
      <c r="G1525" s="0" t="n">
        <f aca="false">F1525+2+D1525</f>
        <v>72</v>
      </c>
      <c r="H1525" s="0" t="n">
        <f aca="false">Pemetaan!$B$2+E1525</f>
        <v>28</v>
      </c>
      <c r="I1525" s="0" t="str">
        <f aca="false">INDEX(Laporan!$A$1:$AZ$300,G1525,1)</f>
        <v>Mixing</v>
      </c>
      <c r="J1525" s="0" t="str">
        <f aca="false">INDEX(Laporan!$A$1:$AZ$300,G1525,2)</f>
        <v>600 ml</v>
      </c>
      <c r="K1525" s="0" t="str">
        <f aca="false">INDEX(Laporan!$A$1:$AZ$300,G1525,3)</f>
        <v>Shift 1</v>
      </c>
      <c r="L1525" s="0" t="n">
        <f aca="false">INDEX(Laporan!$A$1:$AZ$300,G1525,4)</f>
        <v>1</v>
      </c>
      <c r="M1525" s="1" t="n">
        <f aca="false">DATE(Pemetaan!$B$1,VALUE(RIGHT(INDEX(Laporan!$A$1:$AZ$300,F1525+1,H1525),2)),VALUE(LEFT(INDEX(Laporan!$A$1:$AZ$300,F1525+1,H1525),2)))</f>
        <v>46114</v>
      </c>
      <c r="N1525" s="0" t="n">
        <f aca="false">INDEX(Laporan!$A$1:$AZ$300,G1525,H1525)</f>
        <v>15</v>
      </c>
      <c r="O1525" s="0" t="n">
        <f aca="false">IF(N1525="","",IFERROR(VALUE(SUBSTITUTE(SUBSTITUTE(N1525," btl",""),".","")),""))</f>
        <v>15</v>
      </c>
      <c r="P1525" s="0" t="str">
        <f aca="false">IF(B1525="PRODUKSI","produced","reject")</f>
        <v>reject</v>
      </c>
    </row>
    <row r="1526" customFormat="false" ht="15" hidden="false" customHeight="false" outlineLevel="0" collapsed="false">
      <c r="A1526" s="0" t="n">
        <v>1525</v>
      </c>
      <c r="B1526" s="0" t="str">
        <f aca="false">IF(A1526&lt;=36*25,"PRODUKSI","REJECT")</f>
        <v>REJECT</v>
      </c>
      <c r="C1526" s="0" t="n">
        <f aca="false">MOD(A1526-1,Pemetaan!$B$3*Pemetaan!$B$4)</f>
        <v>624</v>
      </c>
      <c r="D1526" s="0" t="n">
        <f aca="false">INT(C1526/Pemetaan!$B$4)</f>
        <v>24</v>
      </c>
      <c r="E1526" s="0" t="n">
        <f aca="false">MOD(C1526,Pemetaan!$B$4)</f>
        <v>24</v>
      </c>
      <c r="F1526" s="0" t="n">
        <f aca="false">IF(B1526="PRODUKSI",Pemetaan!$B$5,Pemetaan!$B$6)</f>
        <v>46</v>
      </c>
      <c r="G1526" s="0" t="n">
        <f aca="false">F1526+2+D1526</f>
        <v>72</v>
      </c>
      <c r="H1526" s="0" t="n">
        <f aca="false">Pemetaan!$B$2+E1526</f>
        <v>29</v>
      </c>
      <c r="I1526" s="0" t="str">
        <f aca="false">INDEX(Laporan!$A$1:$AZ$300,G1526,1)</f>
        <v>Mixing</v>
      </c>
      <c r="J1526" s="0" t="str">
        <f aca="false">INDEX(Laporan!$A$1:$AZ$300,G1526,2)</f>
        <v>600 ml</v>
      </c>
      <c r="K1526" s="0" t="str">
        <f aca="false">INDEX(Laporan!$A$1:$AZ$300,G1526,3)</f>
        <v>Shift 1</v>
      </c>
      <c r="L1526" s="0" t="n">
        <f aca="false">INDEX(Laporan!$A$1:$AZ$300,G1526,4)</f>
        <v>1</v>
      </c>
      <c r="M1526" s="1" t="n">
        <f aca="false">DATE(Pemetaan!$B$1,VALUE(RIGHT(INDEX(Laporan!$A$1:$AZ$300,F1526+1,H1526),2)),VALUE(LEFT(INDEX(Laporan!$A$1:$AZ$300,F1526+1,H1526),2)))</f>
        <v>46115</v>
      </c>
      <c r="N1526" s="0" t="n">
        <f aca="false">INDEX(Laporan!$A$1:$AZ$300,G1526,H1526)</f>
        <v>90</v>
      </c>
      <c r="O1526" s="0" t="n">
        <f aca="false">IF(N1526="","",IFERROR(VALUE(SUBSTITUTE(SUBSTITUTE(N1526," btl",""),".","")),""))</f>
        <v>90</v>
      </c>
      <c r="P1526" s="0" t="str">
        <f aca="false">IF(B1526="PRODUKSI","produced","reject")</f>
        <v>reject</v>
      </c>
    </row>
    <row r="1527" customFormat="false" ht="15" hidden="false" customHeight="false" outlineLevel="0" collapsed="false">
      <c r="A1527" s="0" t="n">
        <v>1526</v>
      </c>
      <c r="B1527" s="0" t="str">
        <f aca="false">IF(A1527&lt;=36*25,"PRODUKSI","REJECT")</f>
        <v>REJECT</v>
      </c>
      <c r="C1527" s="0" t="n">
        <f aca="false">MOD(A1527-1,Pemetaan!$B$3*Pemetaan!$B$4)</f>
        <v>625</v>
      </c>
      <c r="D1527" s="0" t="n">
        <f aca="false">INT(C1527/Pemetaan!$B$4)</f>
        <v>25</v>
      </c>
      <c r="E1527" s="0" t="n">
        <f aca="false">MOD(C1527,Pemetaan!$B$4)</f>
        <v>0</v>
      </c>
      <c r="F1527" s="0" t="n">
        <f aca="false">IF(B1527="PRODUKSI",Pemetaan!$B$5,Pemetaan!$B$6)</f>
        <v>46</v>
      </c>
      <c r="G1527" s="0" t="n">
        <f aca="false">F1527+2+D1527</f>
        <v>73</v>
      </c>
      <c r="H1527" s="0" t="n">
        <f aca="false">Pemetaan!$B$2+E1527</f>
        <v>5</v>
      </c>
      <c r="I1527" s="0" t="str">
        <f aca="false">INDEX(Laporan!$A$1:$AZ$300,G1527,1)</f>
        <v>Mixing</v>
      </c>
      <c r="J1527" s="0" t="str">
        <f aca="false">INDEX(Laporan!$A$1:$AZ$300,G1527,2)</f>
        <v>600 ml</v>
      </c>
      <c r="K1527" s="0" t="str">
        <f aca="false">INDEX(Laporan!$A$1:$AZ$300,G1527,3)</f>
        <v>Shift 1</v>
      </c>
      <c r="L1527" s="0" t="n">
        <f aca="false">INDEX(Laporan!$A$1:$AZ$300,G1527,4)</f>
        <v>2</v>
      </c>
      <c r="M1527" s="1" t="n">
        <f aca="false">DATE(Pemetaan!$B$1,VALUE(RIGHT(INDEX(Laporan!$A$1:$AZ$300,F1527+1,H1527),2)),VALUE(LEFT(INDEX(Laporan!$A$1:$AZ$300,F1527+1,H1527),2)))</f>
        <v>46083</v>
      </c>
      <c r="N1527" s="0" t="n">
        <f aca="false">INDEX(Laporan!$A$1:$AZ$300,G1527,H1527)</f>
        <v>11</v>
      </c>
      <c r="O1527" s="0" t="n">
        <f aca="false">IF(N1527="","",IFERROR(VALUE(SUBSTITUTE(SUBSTITUTE(N1527," btl",""),".","")),""))</f>
        <v>11</v>
      </c>
      <c r="P1527" s="0" t="str">
        <f aca="false">IF(B1527="PRODUKSI","produced","reject")</f>
        <v>reject</v>
      </c>
    </row>
    <row r="1528" customFormat="false" ht="15" hidden="false" customHeight="false" outlineLevel="0" collapsed="false">
      <c r="A1528" s="0" t="n">
        <v>1527</v>
      </c>
      <c r="B1528" s="0" t="str">
        <f aca="false">IF(A1528&lt;=36*25,"PRODUKSI","REJECT")</f>
        <v>REJECT</v>
      </c>
      <c r="C1528" s="0" t="n">
        <f aca="false">MOD(A1528-1,Pemetaan!$B$3*Pemetaan!$B$4)</f>
        <v>626</v>
      </c>
      <c r="D1528" s="0" t="n">
        <f aca="false">INT(C1528/Pemetaan!$B$4)</f>
        <v>25</v>
      </c>
      <c r="E1528" s="0" t="n">
        <f aca="false">MOD(C1528,Pemetaan!$B$4)</f>
        <v>1</v>
      </c>
      <c r="F1528" s="0" t="n">
        <f aca="false">IF(B1528="PRODUKSI",Pemetaan!$B$5,Pemetaan!$B$6)</f>
        <v>46</v>
      </c>
      <c r="G1528" s="0" t="n">
        <f aca="false">F1528+2+D1528</f>
        <v>73</v>
      </c>
      <c r="H1528" s="0" t="n">
        <f aca="false">Pemetaan!$B$2+E1528</f>
        <v>6</v>
      </c>
      <c r="I1528" s="0" t="str">
        <f aca="false">INDEX(Laporan!$A$1:$AZ$300,G1528,1)</f>
        <v>Mixing</v>
      </c>
      <c r="J1528" s="0" t="str">
        <f aca="false">INDEX(Laporan!$A$1:$AZ$300,G1528,2)</f>
        <v>600 ml</v>
      </c>
      <c r="K1528" s="0" t="str">
        <f aca="false">INDEX(Laporan!$A$1:$AZ$300,G1528,3)</f>
        <v>Shift 1</v>
      </c>
      <c r="L1528" s="0" t="n">
        <f aca="false">INDEX(Laporan!$A$1:$AZ$300,G1528,4)</f>
        <v>2</v>
      </c>
      <c r="M1528" s="1" t="n">
        <f aca="false">DATE(Pemetaan!$B$1,VALUE(RIGHT(INDEX(Laporan!$A$1:$AZ$300,F1528+1,H1528),2)),VALUE(LEFT(INDEX(Laporan!$A$1:$AZ$300,F1528+1,H1528),2)))</f>
        <v>46084</v>
      </c>
      <c r="N1528" s="0" t="n">
        <f aca="false">INDEX(Laporan!$A$1:$AZ$300,G1528,H1528)</f>
        <v>11</v>
      </c>
      <c r="O1528" s="0" t="n">
        <f aca="false">IF(N1528="","",IFERROR(VALUE(SUBSTITUTE(SUBSTITUTE(N1528," btl",""),".","")),""))</f>
        <v>11</v>
      </c>
      <c r="P1528" s="0" t="str">
        <f aca="false">IF(B1528="PRODUKSI","produced","reject")</f>
        <v>reject</v>
      </c>
    </row>
    <row r="1529" customFormat="false" ht="15" hidden="false" customHeight="false" outlineLevel="0" collapsed="false">
      <c r="A1529" s="0" t="n">
        <v>1528</v>
      </c>
      <c r="B1529" s="0" t="str">
        <f aca="false">IF(A1529&lt;=36*25,"PRODUKSI","REJECT")</f>
        <v>REJECT</v>
      </c>
      <c r="C1529" s="0" t="n">
        <f aca="false">MOD(A1529-1,Pemetaan!$B$3*Pemetaan!$B$4)</f>
        <v>627</v>
      </c>
      <c r="D1529" s="0" t="n">
        <f aca="false">INT(C1529/Pemetaan!$B$4)</f>
        <v>25</v>
      </c>
      <c r="E1529" s="0" t="n">
        <f aca="false">MOD(C1529,Pemetaan!$B$4)</f>
        <v>2</v>
      </c>
      <c r="F1529" s="0" t="n">
        <f aca="false">IF(B1529="PRODUKSI",Pemetaan!$B$5,Pemetaan!$B$6)</f>
        <v>46</v>
      </c>
      <c r="G1529" s="0" t="n">
        <f aca="false">F1529+2+D1529</f>
        <v>73</v>
      </c>
      <c r="H1529" s="0" t="n">
        <f aca="false">Pemetaan!$B$2+E1529</f>
        <v>7</v>
      </c>
      <c r="I1529" s="0" t="str">
        <f aca="false">INDEX(Laporan!$A$1:$AZ$300,G1529,1)</f>
        <v>Mixing</v>
      </c>
      <c r="J1529" s="0" t="str">
        <f aca="false">INDEX(Laporan!$A$1:$AZ$300,G1529,2)</f>
        <v>600 ml</v>
      </c>
      <c r="K1529" s="0" t="str">
        <f aca="false">INDEX(Laporan!$A$1:$AZ$300,G1529,3)</f>
        <v>Shift 1</v>
      </c>
      <c r="L1529" s="0" t="n">
        <f aca="false">INDEX(Laporan!$A$1:$AZ$300,G1529,4)</f>
        <v>2</v>
      </c>
      <c r="M1529" s="1" t="n">
        <f aca="false">DATE(Pemetaan!$B$1,VALUE(RIGHT(INDEX(Laporan!$A$1:$AZ$300,F1529+1,H1529),2)),VALUE(LEFT(INDEX(Laporan!$A$1:$AZ$300,F1529+1,H1529),2)))</f>
        <v>46085</v>
      </c>
      <c r="N1529" s="0" t="n">
        <f aca="false">INDEX(Laporan!$A$1:$AZ$300,G1529,H1529)</f>
        <v>21</v>
      </c>
      <c r="O1529" s="0" t="n">
        <f aca="false">IF(N1529="","",IFERROR(VALUE(SUBSTITUTE(SUBSTITUTE(N1529," btl",""),".","")),""))</f>
        <v>21</v>
      </c>
      <c r="P1529" s="0" t="str">
        <f aca="false">IF(B1529="PRODUKSI","produced","reject")</f>
        <v>reject</v>
      </c>
    </row>
    <row r="1530" customFormat="false" ht="15" hidden="false" customHeight="false" outlineLevel="0" collapsed="false">
      <c r="A1530" s="0" t="n">
        <v>1529</v>
      </c>
      <c r="B1530" s="0" t="str">
        <f aca="false">IF(A1530&lt;=36*25,"PRODUKSI","REJECT")</f>
        <v>REJECT</v>
      </c>
      <c r="C1530" s="0" t="n">
        <f aca="false">MOD(A1530-1,Pemetaan!$B$3*Pemetaan!$B$4)</f>
        <v>628</v>
      </c>
      <c r="D1530" s="0" t="n">
        <f aca="false">INT(C1530/Pemetaan!$B$4)</f>
        <v>25</v>
      </c>
      <c r="E1530" s="0" t="n">
        <f aca="false">MOD(C1530,Pemetaan!$B$4)</f>
        <v>3</v>
      </c>
      <c r="F1530" s="0" t="n">
        <f aca="false">IF(B1530="PRODUKSI",Pemetaan!$B$5,Pemetaan!$B$6)</f>
        <v>46</v>
      </c>
      <c r="G1530" s="0" t="n">
        <f aca="false">F1530+2+D1530</f>
        <v>73</v>
      </c>
      <c r="H1530" s="0" t="n">
        <f aca="false">Pemetaan!$B$2+E1530</f>
        <v>8</v>
      </c>
      <c r="I1530" s="0" t="str">
        <f aca="false">INDEX(Laporan!$A$1:$AZ$300,G1530,1)</f>
        <v>Mixing</v>
      </c>
      <c r="J1530" s="0" t="str">
        <f aca="false">INDEX(Laporan!$A$1:$AZ$300,G1530,2)</f>
        <v>600 ml</v>
      </c>
      <c r="K1530" s="0" t="str">
        <f aca="false">INDEX(Laporan!$A$1:$AZ$300,G1530,3)</f>
        <v>Shift 1</v>
      </c>
      <c r="L1530" s="0" t="n">
        <f aca="false">INDEX(Laporan!$A$1:$AZ$300,G1530,4)</f>
        <v>2</v>
      </c>
      <c r="M1530" s="1" t="n">
        <f aca="false">DATE(Pemetaan!$B$1,VALUE(RIGHT(INDEX(Laporan!$A$1:$AZ$300,F1530+1,H1530),2)),VALUE(LEFT(INDEX(Laporan!$A$1:$AZ$300,F1530+1,H1530),2)))</f>
        <v>46086</v>
      </c>
      <c r="N1530" s="0" t="n">
        <f aca="false">INDEX(Laporan!$A$1:$AZ$300,G1530,H1530)</f>
        <v>10</v>
      </c>
      <c r="O1530" s="0" t="n">
        <f aca="false">IF(N1530="","",IFERROR(VALUE(SUBSTITUTE(SUBSTITUTE(N1530," btl",""),".","")),""))</f>
        <v>10</v>
      </c>
      <c r="P1530" s="0" t="str">
        <f aca="false">IF(B1530="PRODUKSI","produced","reject")</f>
        <v>reject</v>
      </c>
    </row>
    <row r="1531" customFormat="false" ht="15" hidden="false" customHeight="false" outlineLevel="0" collapsed="false">
      <c r="A1531" s="0" t="n">
        <v>1530</v>
      </c>
      <c r="B1531" s="0" t="str">
        <f aca="false">IF(A1531&lt;=36*25,"PRODUKSI","REJECT")</f>
        <v>REJECT</v>
      </c>
      <c r="C1531" s="0" t="n">
        <f aca="false">MOD(A1531-1,Pemetaan!$B$3*Pemetaan!$B$4)</f>
        <v>629</v>
      </c>
      <c r="D1531" s="0" t="n">
        <f aca="false">INT(C1531/Pemetaan!$B$4)</f>
        <v>25</v>
      </c>
      <c r="E1531" s="0" t="n">
        <f aca="false">MOD(C1531,Pemetaan!$B$4)</f>
        <v>4</v>
      </c>
      <c r="F1531" s="0" t="n">
        <f aca="false">IF(B1531="PRODUKSI",Pemetaan!$B$5,Pemetaan!$B$6)</f>
        <v>46</v>
      </c>
      <c r="G1531" s="0" t="n">
        <f aca="false">F1531+2+D1531</f>
        <v>73</v>
      </c>
      <c r="H1531" s="0" t="n">
        <f aca="false">Pemetaan!$B$2+E1531</f>
        <v>9</v>
      </c>
      <c r="I1531" s="0" t="str">
        <f aca="false">INDEX(Laporan!$A$1:$AZ$300,G1531,1)</f>
        <v>Mixing</v>
      </c>
      <c r="J1531" s="0" t="str">
        <f aca="false">INDEX(Laporan!$A$1:$AZ$300,G1531,2)</f>
        <v>600 ml</v>
      </c>
      <c r="K1531" s="0" t="str">
        <f aca="false">INDEX(Laporan!$A$1:$AZ$300,G1531,3)</f>
        <v>Shift 1</v>
      </c>
      <c r="L1531" s="0" t="n">
        <f aca="false">INDEX(Laporan!$A$1:$AZ$300,G1531,4)</f>
        <v>2</v>
      </c>
      <c r="M1531" s="1" t="n">
        <f aca="false">DATE(Pemetaan!$B$1,VALUE(RIGHT(INDEX(Laporan!$A$1:$AZ$300,F1531+1,H1531),2)),VALUE(LEFT(INDEX(Laporan!$A$1:$AZ$300,F1531+1,H1531),2)))</f>
        <v>46087</v>
      </c>
      <c r="N1531" s="0" t="n">
        <f aca="false">INDEX(Laporan!$A$1:$AZ$300,G1531,H1531)</f>
        <v>17</v>
      </c>
      <c r="O1531" s="0" t="n">
        <f aca="false">IF(N1531="","",IFERROR(VALUE(SUBSTITUTE(SUBSTITUTE(N1531," btl",""),".","")),""))</f>
        <v>17</v>
      </c>
      <c r="P1531" s="0" t="str">
        <f aca="false">IF(B1531="PRODUKSI","produced","reject")</f>
        <v>reject</v>
      </c>
    </row>
    <row r="1532" customFormat="false" ht="15" hidden="false" customHeight="false" outlineLevel="0" collapsed="false">
      <c r="A1532" s="0" t="n">
        <v>1531</v>
      </c>
      <c r="B1532" s="0" t="str">
        <f aca="false">IF(A1532&lt;=36*25,"PRODUKSI","REJECT")</f>
        <v>REJECT</v>
      </c>
      <c r="C1532" s="0" t="n">
        <f aca="false">MOD(A1532-1,Pemetaan!$B$3*Pemetaan!$B$4)</f>
        <v>630</v>
      </c>
      <c r="D1532" s="0" t="n">
        <f aca="false">INT(C1532/Pemetaan!$B$4)</f>
        <v>25</v>
      </c>
      <c r="E1532" s="0" t="n">
        <f aca="false">MOD(C1532,Pemetaan!$B$4)</f>
        <v>5</v>
      </c>
      <c r="F1532" s="0" t="n">
        <f aca="false">IF(B1532="PRODUKSI",Pemetaan!$B$5,Pemetaan!$B$6)</f>
        <v>46</v>
      </c>
      <c r="G1532" s="0" t="n">
        <f aca="false">F1532+2+D1532</f>
        <v>73</v>
      </c>
      <c r="H1532" s="0" t="n">
        <f aca="false">Pemetaan!$B$2+E1532</f>
        <v>10</v>
      </c>
      <c r="I1532" s="0" t="str">
        <f aca="false">INDEX(Laporan!$A$1:$AZ$300,G1532,1)</f>
        <v>Mixing</v>
      </c>
      <c r="J1532" s="0" t="str">
        <f aca="false">INDEX(Laporan!$A$1:$AZ$300,G1532,2)</f>
        <v>600 ml</v>
      </c>
      <c r="K1532" s="0" t="str">
        <f aca="false">INDEX(Laporan!$A$1:$AZ$300,G1532,3)</f>
        <v>Shift 1</v>
      </c>
      <c r="L1532" s="0" t="n">
        <f aca="false">INDEX(Laporan!$A$1:$AZ$300,G1532,4)</f>
        <v>2</v>
      </c>
      <c r="M1532" s="1" t="n">
        <f aca="false">DATE(Pemetaan!$B$1,VALUE(RIGHT(INDEX(Laporan!$A$1:$AZ$300,F1532+1,H1532),2)),VALUE(LEFT(INDEX(Laporan!$A$1:$AZ$300,F1532+1,H1532),2)))</f>
        <v>46090</v>
      </c>
      <c r="N1532" s="0" t="n">
        <f aca="false">INDEX(Laporan!$A$1:$AZ$300,G1532,H1532)</f>
        <v>24</v>
      </c>
      <c r="O1532" s="0" t="n">
        <f aca="false">IF(N1532="","",IFERROR(VALUE(SUBSTITUTE(SUBSTITUTE(N1532," btl",""),".","")),""))</f>
        <v>24</v>
      </c>
      <c r="P1532" s="0" t="str">
        <f aca="false">IF(B1532="PRODUKSI","produced","reject")</f>
        <v>reject</v>
      </c>
    </row>
    <row r="1533" customFormat="false" ht="15" hidden="false" customHeight="false" outlineLevel="0" collapsed="false">
      <c r="A1533" s="0" t="n">
        <v>1532</v>
      </c>
      <c r="B1533" s="0" t="str">
        <f aca="false">IF(A1533&lt;=36*25,"PRODUKSI","REJECT")</f>
        <v>REJECT</v>
      </c>
      <c r="C1533" s="0" t="n">
        <f aca="false">MOD(A1533-1,Pemetaan!$B$3*Pemetaan!$B$4)</f>
        <v>631</v>
      </c>
      <c r="D1533" s="0" t="n">
        <f aca="false">INT(C1533/Pemetaan!$B$4)</f>
        <v>25</v>
      </c>
      <c r="E1533" s="0" t="n">
        <f aca="false">MOD(C1533,Pemetaan!$B$4)</f>
        <v>6</v>
      </c>
      <c r="F1533" s="0" t="n">
        <f aca="false">IF(B1533="PRODUKSI",Pemetaan!$B$5,Pemetaan!$B$6)</f>
        <v>46</v>
      </c>
      <c r="G1533" s="0" t="n">
        <f aca="false">F1533+2+D1533</f>
        <v>73</v>
      </c>
      <c r="H1533" s="0" t="n">
        <f aca="false">Pemetaan!$B$2+E1533</f>
        <v>11</v>
      </c>
      <c r="I1533" s="0" t="str">
        <f aca="false">INDEX(Laporan!$A$1:$AZ$300,G1533,1)</f>
        <v>Mixing</v>
      </c>
      <c r="J1533" s="0" t="str">
        <f aca="false">INDEX(Laporan!$A$1:$AZ$300,G1533,2)</f>
        <v>600 ml</v>
      </c>
      <c r="K1533" s="0" t="str">
        <f aca="false">INDEX(Laporan!$A$1:$AZ$300,G1533,3)</f>
        <v>Shift 1</v>
      </c>
      <c r="L1533" s="0" t="n">
        <f aca="false">INDEX(Laporan!$A$1:$AZ$300,G1533,4)</f>
        <v>2</v>
      </c>
      <c r="M1533" s="1" t="n">
        <f aca="false">DATE(Pemetaan!$B$1,VALUE(RIGHT(INDEX(Laporan!$A$1:$AZ$300,F1533+1,H1533),2)),VALUE(LEFT(INDEX(Laporan!$A$1:$AZ$300,F1533+1,H1533),2)))</f>
        <v>46091</v>
      </c>
      <c r="N1533" s="0" t="n">
        <f aca="false">INDEX(Laporan!$A$1:$AZ$300,G1533,H1533)</f>
        <v>13</v>
      </c>
      <c r="O1533" s="0" t="n">
        <f aca="false">IF(N1533="","",IFERROR(VALUE(SUBSTITUTE(SUBSTITUTE(N1533," btl",""),".","")),""))</f>
        <v>13</v>
      </c>
      <c r="P1533" s="0" t="str">
        <f aca="false">IF(B1533="PRODUKSI","produced","reject")</f>
        <v>reject</v>
      </c>
    </row>
    <row r="1534" customFormat="false" ht="15" hidden="false" customHeight="false" outlineLevel="0" collapsed="false">
      <c r="A1534" s="0" t="n">
        <v>1533</v>
      </c>
      <c r="B1534" s="0" t="str">
        <f aca="false">IF(A1534&lt;=36*25,"PRODUKSI","REJECT")</f>
        <v>REJECT</v>
      </c>
      <c r="C1534" s="0" t="n">
        <f aca="false">MOD(A1534-1,Pemetaan!$B$3*Pemetaan!$B$4)</f>
        <v>632</v>
      </c>
      <c r="D1534" s="0" t="n">
        <f aca="false">INT(C1534/Pemetaan!$B$4)</f>
        <v>25</v>
      </c>
      <c r="E1534" s="0" t="n">
        <f aca="false">MOD(C1534,Pemetaan!$B$4)</f>
        <v>7</v>
      </c>
      <c r="F1534" s="0" t="n">
        <f aca="false">IF(B1534="PRODUKSI",Pemetaan!$B$5,Pemetaan!$B$6)</f>
        <v>46</v>
      </c>
      <c r="G1534" s="0" t="n">
        <f aca="false">F1534+2+D1534</f>
        <v>73</v>
      </c>
      <c r="H1534" s="0" t="n">
        <f aca="false">Pemetaan!$B$2+E1534</f>
        <v>12</v>
      </c>
      <c r="I1534" s="0" t="str">
        <f aca="false">INDEX(Laporan!$A$1:$AZ$300,G1534,1)</f>
        <v>Mixing</v>
      </c>
      <c r="J1534" s="0" t="str">
        <f aca="false">INDEX(Laporan!$A$1:$AZ$300,G1534,2)</f>
        <v>600 ml</v>
      </c>
      <c r="K1534" s="0" t="str">
        <f aca="false">INDEX(Laporan!$A$1:$AZ$300,G1534,3)</f>
        <v>Shift 1</v>
      </c>
      <c r="L1534" s="0" t="n">
        <f aca="false">INDEX(Laporan!$A$1:$AZ$300,G1534,4)</f>
        <v>2</v>
      </c>
      <c r="M1534" s="1" t="n">
        <f aca="false">DATE(Pemetaan!$B$1,VALUE(RIGHT(INDEX(Laporan!$A$1:$AZ$300,F1534+1,H1534),2)),VALUE(LEFT(INDEX(Laporan!$A$1:$AZ$300,F1534+1,H1534),2)))</f>
        <v>46092</v>
      </c>
      <c r="N1534" s="0" t="n">
        <f aca="false">INDEX(Laporan!$A$1:$AZ$300,G1534,H1534)</f>
        <v>10</v>
      </c>
      <c r="O1534" s="0" t="n">
        <f aca="false">IF(N1534="","",IFERROR(VALUE(SUBSTITUTE(SUBSTITUTE(N1534," btl",""),".","")),""))</f>
        <v>10</v>
      </c>
      <c r="P1534" s="0" t="str">
        <f aca="false">IF(B1534="PRODUKSI","produced","reject")</f>
        <v>reject</v>
      </c>
    </row>
    <row r="1535" customFormat="false" ht="15" hidden="false" customHeight="false" outlineLevel="0" collapsed="false">
      <c r="A1535" s="0" t="n">
        <v>1534</v>
      </c>
      <c r="B1535" s="0" t="str">
        <f aca="false">IF(A1535&lt;=36*25,"PRODUKSI","REJECT")</f>
        <v>REJECT</v>
      </c>
      <c r="C1535" s="0" t="n">
        <f aca="false">MOD(A1535-1,Pemetaan!$B$3*Pemetaan!$B$4)</f>
        <v>633</v>
      </c>
      <c r="D1535" s="0" t="n">
        <f aca="false">INT(C1535/Pemetaan!$B$4)</f>
        <v>25</v>
      </c>
      <c r="E1535" s="0" t="n">
        <f aca="false">MOD(C1535,Pemetaan!$B$4)</f>
        <v>8</v>
      </c>
      <c r="F1535" s="0" t="n">
        <f aca="false">IF(B1535="PRODUKSI",Pemetaan!$B$5,Pemetaan!$B$6)</f>
        <v>46</v>
      </c>
      <c r="G1535" s="0" t="n">
        <f aca="false">F1535+2+D1535</f>
        <v>73</v>
      </c>
      <c r="H1535" s="0" t="n">
        <f aca="false">Pemetaan!$B$2+E1535</f>
        <v>13</v>
      </c>
      <c r="I1535" s="0" t="str">
        <f aca="false">INDEX(Laporan!$A$1:$AZ$300,G1535,1)</f>
        <v>Mixing</v>
      </c>
      <c r="J1535" s="0" t="str">
        <f aca="false">INDEX(Laporan!$A$1:$AZ$300,G1535,2)</f>
        <v>600 ml</v>
      </c>
      <c r="K1535" s="0" t="str">
        <f aca="false">INDEX(Laporan!$A$1:$AZ$300,G1535,3)</f>
        <v>Shift 1</v>
      </c>
      <c r="L1535" s="0" t="n">
        <f aca="false">INDEX(Laporan!$A$1:$AZ$300,G1535,4)</f>
        <v>2</v>
      </c>
      <c r="M1535" s="1" t="n">
        <f aca="false">DATE(Pemetaan!$B$1,VALUE(RIGHT(INDEX(Laporan!$A$1:$AZ$300,F1535+1,H1535),2)),VALUE(LEFT(INDEX(Laporan!$A$1:$AZ$300,F1535+1,H1535),2)))</f>
        <v>46093</v>
      </c>
      <c r="N1535" s="0" t="n">
        <f aca="false">INDEX(Laporan!$A$1:$AZ$300,G1535,H1535)</f>
        <v>9</v>
      </c>
      <c r="O1535" s="0" t="n">
        <f aca="false">IF(N1535="","",IFERROR(VALUE(SUBSTITUTE(SUBSTITUTE(N1535," btl",""),".","")),""))</f>
        <v>9</v>
      </c>
      <c r="P1535" s="0" t="str">
        <f aca="false">IF(B1535="PRODUKSI","produced","reject")</f>
        <v>reject</v>
      </c>
    </row>
    <row r="1536" customFormat="false" ht="15" hidden="false" customHeight="false" outlineLevel="0" collapsed="false">
      <c r="A1536" s="0" t="n">
        <v>1535</v>
      </c>
      <c r="B1536" s="0" t="str">
        <f aca="false">IF(A1536&lt;=36*25,"PRODUKSI","REJECT")</f>
        <v>REJECT</v>
      </c>
      <c r="C1536" s="0" t="n">
        <f aca="false">MOD(A1536-1,Pemetaan!$B$3*Pemetaan!$B$4)</f>
        <v>634</v>
      </c>
      <c r="D1536" s="0" t="n">
        <f aca="false">INT(C1536/Pemetaan!$B$4)</f>
        <v>25</v>
      </c>
      <c r="E1536" s="0" t="n">
        <f aca="false">MOD(C1536,Pemetaan!$B$4)</f>
        <v>9</v>
      </c>
      <c r="F1536" s="0" t="n">
        <f aca="false">IF(B1536="PRODUKSI",Pemetaan!$B$5,Pemetaan!$B$6)</f>
        <v>46</v>
      </c>
      <c r="G1536" s="0" t="n">
        <f aca="false">F1536+2+D1536</f>
        <v>73</v>
      </c>
      <c r="H1536" s="0" t="n">
        <f aca="false">Pemetaan!$B$2+E1536</f>
        <v>14</v>
      </c>
      <c r="I1536" s="0" t="str">
        <f aca="false">INDEX(Laporan!$A$1:$AZ$300,G1536,1)</f>
        <v>Mixing</v>
      </c>
      <c r="J1536" s="0" t="str">
        <f aca="false">INDEX(Laporan!$A$1:$AZ$300,G1536,2)</f>
        <v>600 ml</v>
      </c>
      <c r="K1536" s="0" t="str">
        <f aca="false">INDEX(Laporan!$A$1:$AZ$300,G1536,3)</f>
        <v>Shift 1</v>
      </c>
      <c r="L1536" s="0" t="n">
        <f aca="false">INDEX(Laporan!$A$1:$AZ$300,G1536,4)</f>
        <v>2</v>
      </c>
      <c r="M1536" s="1" t="n">
        <f aca="false">DATE(Pemetaan!$B$1,VALUE(RIGHT(INDEX(Laporan!$A$1:$AZ$300,F1536+1,H1536),2)),VALUE(LEFT(INDEX(Laporan!$A$1:$AZ$300,F1536+1,H1536),2)))</f>
        <v>46094</v>
      </c>
      <c r="N1536" s="0" t="n">
        <f aca="false">INDEX(Laporan!$A$1:$AZ$300,G1536,H1536)</f>
        <v>20</v>
      </c>
      <c r="O1536" s="0" t="n">
        <f aca="false">IF(N1536="","",IFERROR(VALUE(SUBSTITUTE(SUBSTITUTE(N1536," btl",""),".","")),""))</f>
        <v>20</v>
      </c>
      <c r="P1536" s="0" t="str">
        <f aca="false">IF(B1536="PRODUKSI","produced","reject")</f>
        <v>reject</v>
      </c>
    </row>
    <row r="1537" customFormat="false" ht="15" hidden="false" customHeight="false" outlineLevel="0" collapsed="false">
      <c r="A1537" s="0" t="n">
        <v>1536</v>
      </c>
      <c r="B1537" s="0" t="str">
        <f aca="false">IF(A1537&lt;=36*25,"PRODUKSI","REJECT")</f>
        <v>REJECT</v>
      </c>
      <c r="C1537" s="0" t="n">
        <f aca="false">MOD(A1537-1,Pemetaan!$B$3*Pemetaan!$B$4)</f>
        <v>635</v>
      </c>
      <c r="D1537" s="0" t="n">
        <f aca="false">INT(C1537/Pemetaan!$B$4)</f>
        <v>25</v>
      </c>
      <c r="E1537" s="0" t="n">
        <f aca="false">MOD(C1537,Pemetaan!$B$4)</f>
        <v>10</v>
      </c>
      <c r="F1537" s="0" t="n">
        <f aca="false">IF(B1537="PRODUKSI",Pemetaan!$B$5,Pemetaan!$B$6)</f>
        <v>46</v>
      </c>
      <c r="G1537" s="0" t="n">
        <f aca="false">F1537+2+D1537</f>
        <v>73</v>
      </c>
      <c r="H1537" s="0" t="n">
        <f aca="false">Pemetaan!$B$2+E1537</f>
        <v>15</v>
      </c>
      <c r="I1537" s="0" t="str">
        <f aca="false">INDEX(Laporan!$A$1:$AZ$300,G1537,1)</f>
        <v>Mixing</v>
      </c>
      <c r="J1537" s="0" t="str">
        <f aca="false">INDEX(Laporan!$A$1:$AZ$300,G1537,2)</f>
        <v>600 ml</v>
      </c>
      <c r="K1537" s="0" t="str">
        <f aca="false">INDEX(Laporan!$A$1:$AZ$300,G1537,3)</f>
        <v>Shift 1</v>
      </c>
      <c r="L1537" s="0" t="n">
        <f aca="false">INDEX(Laporan!$A$1:$AZ$300,G1537,4)</f>
        <v>2</v>
      </c>
      <c r="M1537" s="1" t="n">
        <f aca="false">DATE(Pemetaan!$B$1,VALUE(RIGHT(INDEX(Laporan!$A$1:$AZ$300,F1537+1,H1537),2)),VALUE(LEFT(INDEX(Laporan!$A$1:$AZ$300,F1537+1,H1537),2)))</f>
        <v>46097</v>
      </c>
      <c r="N1537" s="0" t="n">
        <f aca="false">INDEX(Laporan!$A$1:$AZ$300,G1537,H1537)</f>
        <v>16</v>
      </c>
      <c r="O1537" s="0" t="n">
        <f aca="false">IF(N1537="","",IFERROR(VALUE(SUBSTITUTE(SUBSTITUTE(N1537," btl",""),".","")),""))</f>
        <v>16</v>
      </c>
      <c r="P1537" s="0" t="str">
        <f aca="false">IF(B1537="PRODUKSI","produced","reject")</f>
        <v>reject</v>
      </c>
    </row>
    <row r="1538" customFormat="false" ht="15" hidden="false" customHeight="false" outlineLevel="0" collapsed="false">
      <c r="A1538" s="0" t="n">
        <v>1537</v>
      </c>
      <c r="B1538" s="0" t="str">
        <f aca="false">IF(A1538&lt;=36*25,"PRODUKSI","REJECT")</f>
        <v>REJECT</v>
      </c>
      <c r="C1538" s="0" t="n">
        <f aca="false">MOD(A1538-1,Pemetaan!$B$3*Pemetaan!$B$4)</f>
        <v>636</v>
      </c>
      <c r="D1538" s="0" t="n">
        <f aca="false">INT(C1538/Pemetaan!$B$4)</f>
        <v>25</v>
      </c>
      <c r="E1538" s="0" t="n">
        <f aca="false">MOD(C1538,Pemetaan!$B$4)</f>
        <v>11</v>
      </c>
      <c r="F1538" s="0" t="n">
        <f aca="false">IF(B1538="PRODUKSI",Pemetaan!$B$5,Pemetaan!$B$6)</f>
        <v>46</v>
      </c>
      <c r="G1538" s="0" t="n">
        <f aca="false">F1538+2+D1538</f>
        <v>73</v>
      </c>
      <c r="H1538" s="0" t="n">
        <f aca="false">Pemetaan!$B$2+E1538</f>
        <v>16</v>
      </c>
      <c r="I1538" s="0" t="str">
        <f aca="false">INDEX(Laporan!$A$1:$AZ$300,G1538,1)</f>
        <v>Mixing</v>
      </c>
      <c r="J1538" s="0" t="str">
        <f aca="false">INDEX(Laporan!$A$1:$AZ$300,G1538,2)</f>
        <v>600 ml</v>
      </c>
      <c r="K1538" s="0" t="str">
        <f aca="false">INDEX(Laporan!$A$1:$AZ$300,G1538,3)</f>
        <v>Shift 1</v>
      </c>
      <c r="L1538" s="0" t="n">
        <f aca="false">INDEX(Laporan!$A$1:$AZ$300,G1538,4)</f>
        <v>2</v>
      </c>
      <c r="M1538" s="1" t="n">
        <f aca="false">DATE(Pemetaan!$B$1,VALUE(RIGHT(INDEX(Laporan!$A$1:$AZ$300,F1538+1,H1538),2)),VALUE(LEFT(INDEX(Laporan!$A$1:$AZ$300,F1538+1,H1538),2)))</f>
        <v>46098</v>
      </c>
      <c r="N1538" s="0" t="n">
        <f aca="false">INDEX(Laporan!$A$1:$AZ$300,G1538,H1538)</f>
        <v>12</v>
      </c>
      <c r="O1538" s="0" t="n">
        <f aca="false">IF(N1538="","",IFERROR(VALUE(SUBSTITUTE(SUBSTITUTE(N1538," btl",""),".","")),""))</f>
        <v>12</v>
      </c>
      <c r="P1538" s="0" t="str">
        <f aca="false">IF(B1538="PRODUKSI","produced","reject")</f>
        <v>reject</v>
      </c>
    </row>
    <row r="1539" customFormat="false" ht="15" hidden="false" customHeight="false" outlineLevel="0" collapsed="false">
      <c r="A1539" s="0" t="n">
        <v>1538</v>
      </c>
      <c r="B1539" s="0" t="str">
        <f aca="false">IF(A1539&lt;=36*25,"PRODUKSI","REJECT")</f>
        <v>REJECT</v>
      </c>
      <c r="C1539" s="0" t="n">
        <f aca="false">MOD(A1539-1,Pemetaan!$B$3*Pemetaan!$B$4)</f>
        <v>637</v>
      </c>
      <c r="D1539" s="0" t="n">
        <f aca="false">INT(C1539/Pemetaan!$B$4)</f>
        <v>25</v>
      </c>
      <c r="E1539" s="0" t="n">
        <f aca="false">MOD(C1539,Pemetaan!$B$4)</f>
        <v>12</v>
      </c>
      <c r="F1539" s="0" t="n">
        <f aca="false">IF(B1539="PRODUKSI",Pemetaan!$B$5,Pemetaan!$B$6)</f>
        <v>46</v>
      </c>
      <c r="G1539" s="0" t="n">
        <f aca="false">F1539+2+D1539</f>
        <v>73</v>
      </c>
      <c r="H1539" s="0" t="n">
        <f aca="false">Pemetaan!$B$2+E1539</f>
        <v>17</v>
      </c>
      <c r="I1539" s="0" t="str">
        <f aca="false">INDEX(Laporan!$A$1:$AZ$300,G1539,1)</f>
        <v>Mixing</v>
      </c>
      <c r="J1539" s="0" t="str">
        <f aca="false">INDEX(Laporan!$A$1:$AZ$300,G1539,2)</f>
        <v>600 ml</v>
      </c>
      <c r="K1539" s="0" t="str">
        <f aca="false">INDEX(Laporan!$A$1:$AZ$300,G1539,3)</f>
        <v>Shift 1</v>
      </c>
      <c r="L1539" s="0" t="n">
        <f aca="false">INDEX(Laporan!$A$1:$AZ$300,G1539,4)</f>
        <v>2</v>
      </c>
      <c r="M1539" s="1" t="n">
        <f aca="false">DATE(Pemetaan!$B$1,VALUE(RIGHT(INDEX(Laporan!$A$1:$AZ$300,F1539+1,H1539),2)),VALUE(LEFT(INDEX(Laporan!$A$1:$AZ$300,F1539+1,H1539),2)))</f>
        <v>46099</v>
      </c>
      <c r="N1539" s="0" t="n">
        <f aca="false">INDEX(Laporan!$A$1:$AZ$300,G1539,H1539)</f>
        <v>18</v>
      </c>
      <c r="O1539" s="0" t="n">
        <f aca="false">IF(N1539="","",IFERROR(VALUE(SUBSTITUTE(SUBSTITUTE(N1539," btl",""),".","")),""))</f>
        <v>18</v>
      </c>
      <c r="P1539" s="0" t="str">
        <f aca="false">IF(B1539="PRODUKSI","produced","reject")</f>
        <v>reject</v>
      </c>
    </row>
    <row r="1540" customFormat="false" ht="15" hidden="false" customHeight="false" outlineLevel="0" collapsed="false">
      <c r="A1540" s="0" t="n">
        <v>1539</v>
      </c>
      <c r="B1540" s="0" t="str">
        <f aca="false">IF(A1540&lt;=36*25,"PRODUKSI","REJECT")</f>
        <v>REJECT</v>
      </c>
      <c r="C1540" s="0" t="n">
        <f aca="false">MOD(A1540-1,Pemetaan!$B$3*Pemetaan!$B$4)</f>
        <v>638</v>
      </c>
      <c r="D1540" s="0" t="n">
        <f aca="false">INT(C1540/Pemetaan!$B$4)</f>
        <v>25</v>
      </c>
      <c r="E1540" s="0" t="n">
        <f aca="false">MOD(C1540,Pemetaan!$B$4)</f>
        <v>13</v>
      </c>
      <c r="F1540" s="0" t="n">
        <f aca="false">IF(B1540="PRODUKSI",Pemetaan!$B$5,Pemetaan!$B$6)</f>
        <v>46</v>
      </c>
      <c r="G1540" s="0" t="n">
        <f aca="false">F1540+2+D1540</f>
        <v>73</v>
      </c>
      <c r="H1540" s="0" t="n">
        <f aca="false">Pemetaan!$B$2+E1540</f>
        <v>18</v>
      </c>
      <c r="I1540" s="0" t="str">
        <f aca="false">INDEX(Laporan!$A$1:$AZ$300,G1540,1)</f>
        <v>Mixing</v>
      </c>
      <c r="J1540" s="0" t="str">
        <f aca="false">INDEX(Laporan!$A$1:$AZ$300,G1540,2)</f>
        <v>600 ml</v>
      </c>
      <c r="K1540" s="0" t="str">
        <f aca="false">INDEX(Laporan!$A$1:$AZ$300,G1540,3)</f>
        <v>Shift 1</v>
      </c>
      <c r="L1540" s="0" t="n">
        <f aca="false">INDEX(Laporan!$A$1:$AZ$300,G1540,4)</f>
        <v>2</v>
      </c>
      <c r="M1540" s="1" t="n">
        <f aca="false">DATE(Pemetaan!$B$1,VALUE(RIGHT(INDEX(Laporan!$A$1:$AZ$300,F1540+1,H1540),2)),VALUE(LEFT(INDEX(Laporan!$A$1:$AZ$300,F1540+1,H1540),2)))</f>
        <v>46100</v>
      </c>
      <c r="N1540" s="0" t="n">
        <f aca="false">INDEX(Laporan!$A$1:$AZ$300,G1540,H1540)</f>
        <v>13</v>
      </c>
      <c r="O1540" s="0" t="n">
        <f aca="false">IF(N1540="","",IFERROR(VALUE(SUBSTITUTE(SUBSTITUTE(N1540," btl",""),".","")),""))</f>
        <v>13</v>
      </c>
      <c r="P1540" s="0" t="str">
        <f aca="false">IF(B1540="PRODUKSI","produced","reject")</f>
        <v>reject</v>
      </c>
    </row>
    <row r="1541" customFormat="false" ht="15" hidden="false" customHeight="false" outlineLevel="0" collapsed="false">
      <c r="A1541" s="0" t="n">
        <v>1540</v>
      </c>
      <c r="B1541" s="0" t="str">
        <f aca="false">IF(A1541&lt;=36*25,"PRODUKSI","REJECT")</f>
        <v>REJECT</v>
      </c>
      <c r="C1541" s="0" t="n">
        <f aca="false">MOD(A1541-1,Pemetaan!$B$3*Pemetaan!$B$4)</f>
        <v>639</v>
      </c>
      <c r="D1541" s="0" t="n">
        <f aca="false">INT(C1541/Pemetaan!$B$4)</f>
        <v>25</v>
      </c>
      <c r="E1541" s="0" t="n">
        <f aca="false">MOD(C1541,Pemetaan!$B$4)</f>
        <v>14</v>
      </c>
      <c r="F1541" s="0" t="n">
        <f aca="false">IF(B1541="PRODUKSI",Pemetaan!$B$5,Pemetaan!$B$6)</f>
        <v>46</v>
      </c>
      <c r="G1541" s="0" t="n">
        <f aca="false">F1541+2+D1541</f>
        <v>73</v>
      </c>
      <c r="H1541" s="0" t="n">
        <f aca="false">Pemetaan!$B$2+E1541</f>
        <v>19</v>
      </c>
      <c r="I1541" s="0" t="str">
        <f aca="false">INDEX(Laporan!$A$1:$AZ$300,G1541,1)</f>
        <v>Mixing</v>
      </c>
      <c r="J1541" s="0" t="str">
        <f aca="false">INDEX(Laporan!$A$1:$AZ$300,G1541,2)</f>
        <v>600 ml</v>
      </c>
      <c r="K1541" s="0" t="str">
        <f aca="false">INDEX(Laporan!$A$1:$AZ$300,G1541,3)</f>
        <v>Shift 1</v>
      </c>
      <c r="L1541" s="0" t="n">
        <f aca="false">INDEX(Laporan!$A$1:$AZ$300,G1541,4)</f>
        <v>2</v>
      </c>
      <c r="M1541" s="1" t="n">
        <f aca="false">DATE(Pemetaan!$B$1,VALUE(RIGHT(INDEX(Laporan!$A$1:$AZ$300,F1541+1,H1541),2)),VALUE(LEFT(INDEX(Laporan!$A$1:$AZ$300,F1541+1,H1541),2)))</f>
        <v>46101</v>
      </c>
      <c r="N1541" s="0" t="n">
        <f aca="false">INDEX(Laporan!$A$1:$AZ$300,G1541,H1541)</f>
        <v>18</v>
      </c>
      <c r="O1541" s="0" t="n">
        <f aca="false">IF(N1541="","",IFERROR(VALUE(SUBSTITUTE(SUBSTITUTE(N1541," btl",""),".","")),""))</f>
        <v>18</v>
      </c>
      <c r="P1541" s="0" t="str">
        <f aca="false">IF(B1541="PRODUKSI","produced","reject")</f>
        <v>reject</v>
      </c>
    </row>
    <row r="1542" customFormat="false" ht="15" hidden="false" customHeight="false" outlineLevel="0" collapsed="false">
      <c r="A1542" s="0" t="n">
        <v>1541</v>
      </c>
      <c r="B1542" s="0" t="str">
        <f aca="false">IF(A1542&lt;=36*25,"PRODUKSI","REJECT")</f>
        <v>REJECT</v>
      </c>
      <c r="C1542" s="0" t="n">
        <f aca="false">MOD(A1542-1,Pemetaan!$B$3*Pemetaan!$B$4)</f>
        <v>640</v>
      </c>
      <c r="D1542" s="0" t="n">
        <f aca="false">INT(C1542/Pemetaan!$B$4)</f>
        <v>25</v>
      </c>
      <c r="E1542" s="0" t="n">
        <f aca="false">MOD(C1542,Pemetaan!$B$4)</f>
        <v>15</v>
      </c>
      <c r="F1542" s="0" t="n">
        <f aca="false">IF(B1542="PRODUKSI",Pemetaan!$B$5,Pemetaan!$B$6)</f>
        <v>46</v>
      </c>
      <c r="G1542" s="0" t="n">
        <f aca="false">F1542+2+D1542</f>
        <v>73</v>
      </c>
      <c r="H1542" s="0" t="n">
        <f aca="false">Pemetaan!$B$2+E1542</f>
        <v>20</v>
      </c>
      <c r="I1542" s="0" t="str">
        <f aca="false">INDEX(Laporan!$A$1:$AZ$300,G1542,1)</f>
        <v>Mixing</v>
      </c>
      <c r="J1542" s="0" t="str">
        <f aca="false">INDEX(Laporan!$A$1:$AZ$300,G1542,2)</f>
        <v>600 ml</v>
      </c>
      <c r="K1542" s="0" t="str">
        <f aca="false">INDEX(Laporan!$A$1:$AZ$300,G1542,3)</f>
        <v>Shift 1</v>
      </c>
      <c r="L1542" s="0" t="n">
        <f aca="false">INDEX(Laporan!$A$1:$AZ$300,G1542,4)</f>
        <v>2</v>
      </c>
      <c r="M1542" s="1" t="n">
        <f aca="false">DATE(Pemetaan!$B$1,VALUE(RIGHT(INDEX(Laporan!$A$1:$AZ$300,F1542+1,H1542),2)),VALUE(LEFT(INDEX(Laporan!$A$1:$AZ$300,F1542+1,H1542),2)))</f>
        <v>46104</v>
      </c>
      <c r="N1542" s="0" t="n">
        <f aca="false">INDEX(Laporan!$A$1:$AZ$300,G1542,H1542)</f>
        <v>13</v>
      </c>
      <c r="O1542" s="0" t="n">
        <f aca="false">IF(N1542="","",IFERROR(VALUE(SUBSTITUTE(SUBSTITUTE(N1542," btl",""),".","")),""))</f>
        <v>13</v>
      </c>
      <c r="P1542" s="0" t="str">
        <f aca="false">IF(B1542="PRODUKSI","produced","reject")</f>
        <v>reject</v>
      </c>
    </row>
    <row r="1543" customFormat="false" ht="15" hidden="false" customHeight="false" outlineLevel="0" collapsed="false">
      <c r="A1543" s="0" t="n">
        <v>1542</v>
      </c>
      <c r="B1543" s="0" t="str">
        <f aca="false">IF(A1543&lt;=36*25,"PRODUKSI","REJECT")</f>
        <v>REJECT</v>
      </c>
      <c r="C1543" s="0" t="n">
        <f aca="false">MOD(A1543-1,Pemetaan!$B$3*Pemetaan!$B$4)</f>
        <v>641</v>
      </c>
      <c r="D1543" s="0" t="n">
        <f aca="false">INT(C1543/Pemetaan!$B$4)</f>
        <v>25</v>
      </c>
      <c r="E1543" s="0" t="n">
        <f aca="false">MOD(C1543,Pemetaan!$B$4)</f>
        <v>16</v>
      </c>
      <c r="F1543" s="0" t="n">
        <f aca="false">IF(B1543="PRODUKSI",Pemetaan!$B$5,Pemetaan!$B$6)</f>
        <v>46</v>
      </c>
      <c r="G1543" s="0" t="n">
        <f aca="false">F1543+2+D1543</f>
        <v>73</v>
      </c>
      <c r="H1543" s="0" t="n">
        <f aca="false">Pemetaan!$B$2+E1543</f>
        <v>21</v>
      </c>
      <c r="I1543" s="0" t="str">
        <f aca="false">INDEX(Laporan!$A$1:$AZ$300,G1543,1)</f>
        <v>Mixing</v>
      </c>
      <c r="J1543" s="0" t="str">
        <f aca="false">INDEX(Laporan!$A$1:$AZ$300,G1543,2)</f>
        <v>600 ml</v>
      </c>
      <c r="K1543" s="0" t="str">
        <f aca="false">INDEX(Laporan!$A$1:$AZ$300,G1543,3)</f>
        <v>Shift 1</v>
      </c>
      <c r="L1543" s="0" t="n">
        <f aca="false">INDEX(Laporan!$A$1:$AZ$300,G1543,4)</f>
        <v>2</v>
      </c>
      <c r="M1543" s="1" t="n">
        <f aca="false">DATE(Pemetaan!$B$1,VALUE(RIGHT(INDEX(Laporan!$A$1:$AZ$300,F1543+1,H1543),2)),VALUE(LEFT(INDEX(Laporan!$A$1:$AZ$300,F1543+1,H1543),2)))</f>
        <v>46105</v>
      </c>
      <c r="N1543" s="0" t="n">
        <f aca="false">INDEX(Laporan!$A$1:$AZ$300,G1543,H1543)</f>
        <v>16</v>
      </c>
      <c r="O1543" s="0" t="n">
        <f aca="false">IF(N1543="","",IFERROR(VALUE(SUBSTITUTE(SUBSTITUTE(N1543," btl",""),".","")),""))</f>
        <v>16</v>
      </c>
      <c r="P1543" s="0" t="str">
        <f aca="false">IF(B1543="PRODUKSI","produced","reject")</f>
        <v>reject</v>
      </c>
    </row>
    <row r="1544" customFormat="false" ht="15" hidden="false" customHeight="false" outlineLevel="0" collapsed="false">
      <c r="A1544" s="0" t="n">
        <v>1543</v>
      </c>
      <c r="B1544" s="0" t="str">
        <f aca="false">IF(A1544&lt;=36*25,"PRODUKSI","REJECT")</f>
        <v>REJECT</v>
      </c>
      <c r="C1544" s="0" t="n">
        <f aca="false">MOD(A1544-1,Pemetaan!$B$3*Pemetaan!$B$4)</f>
        <v>642</v>
      </c>
      <c r="D1544" s="0" t="n">
        <f aca="false">INT(C1544/Pemetaan!$B$4)</f>
        <v>25</v>
      </c>
      <c r="E1544" s="0" t="n">
        <f aca="false">MOD(C1544,Pemetaan!$B$4)</f>
        <v>17</v>
      </c>
      <c r="F1544" s="0" t="n">
        <f aca="false">IF(B1544="PRODUKSI",Pemetaan!$B$5,Pemetaan!$B$6)</f>
        <v>46</v>
      </c>
      <c r="G1544" s="0" t="n">
        <f aca="false">F1544+2+D1544</f>
        <v>73</v>
      </c>
      <c r="H1544" s="0" t="n">
        <f aca="false">Pemetaan!$B$2+E1544</f>
        <v>22</v>
      </c>
      <c r="I1544" s="0" t="str">
        <f aca="false">INDEX(Laporan!$A$1:$AZ$300,G1544,1)</f>
        <v>Mixing</v>
      </c>
      <c r="J1544" s="0" t="str">
        <f aca="false">INDEX(Laporan!$A$1:$AZ$300,G1544,2)</f>
        <v>600 ml</v>
      </c>
      <c r="K1544" s="0" t="str">
        <f aca="false">INDEX(Laporan!$A$1:$AZ$300,G1544,3)</f>
        <v>Shift 1</v>
      </c>
      <c r="L1544" s="0" t="n">
        <f aca="false">INDEX(Laporan!$A$1:$AZ$300,G1544,4)</f>
        <v>2</v>
      </c>
      <c r="M1544" s="1" t="n">
        <f aca="false">DATE(Pemetaan!$B$1,VALUE(RIGHT(INDEX(Laporan!$A$1:$AZ$300,F1544+1,H1544),2)),VALUE(LEFT(INDEX(Laporan!$A$1:$AZ$300,F1544+1,H1544),2)))</f>
        <v>46106</v>
      </c>
      <c r="N1544" s="0" t="n">
        <f aca="false">INDEX(Laporan!$A$1:$AZ$300,G1544,H1544)</f>
        <v>18</v>
      </c>
      <c r="O1544" s="0" t="n">
        <f aca="false">IF(N1544="","",IFERROR(VALUE(SUBSTITUTE(SUBSTITUTE(N1544," btl",""),".","")),""))</f>
        <v>18</v>
      </c>
      <c r="P1544" s="0" t="str">
        <f aca="false">IF(B1544="PRODUKSI","produced","reject")</f>
        <v>reject</v>
      </c>
    </row>
    <row r="1545" customFormat="false" ht="15" hidden="false" customHeight="false" outlineLevel="0" collapsed="false">
      <c r="A1545" s="0" t="n">
        <v>1544</v>
      </c>
      <c r="B1545" s="0" t="str">
        <f aca="false">IF(A1545&lt;=36*25,"PRODUKSI","REJECT")</f>
        <v>REJECT</v>
      </c>
      <c r="C1545" s="0" t="n">
        <f aca="false">MOD(A1545-1,Pemetaan!$B$3*Pemetaan!$B$4)</f>
        <v>643</v>
      </c>
      <c r="D1545" s="0" t="n">
        <f aca="false">INT(C1545/Pemetaan!$B$4)</f>
        <v>25</v>
      </c>
      <c r="E1545" s="0" t="n">
        <f aca="false">MOD(C1545,Pemetaan!$B$4)</f>
        <v>18</v>
      </c>
      <c r="F1545" s="0" t="n">
        <f aca="false">IF(B1545="PRODUKSI",Pemetaan!$B$5,Pemetaan!$B$6)</f>
        <v>46</v>
      </c>
      <c r="G1545" s="0" t="n">
        <f aca="false">F1545+2+D1545</f>
        <v>73</v>
      </c>
      <c r="H1545" s="0" t="n">
        <f aca="false">Pemetaan!$B$2+E1545</f>
        <v>23</v>
      </c>
      <c r="I1545" s="0" t="str">
        <f aca="false">INDEX(Laporan!$A$1:$AZ$300,G1545,1)</f>
        <v>Mixing</v>
      </c>
      <c r="J1545" s="0" t="str">
        <f aca="false">INDEX(Laporan!$A$1:$AZ$300,G1545,2)</f>
        <v>600 ml</v>
      </c>
      <c r="K1545" s="0" t="str">
        <f aca="false">INDEX(Laporan!$A$1:$AZ$300,G1545,3)</f>
        <v>Shift 1</v>
      </c>
      <c r="L1545" s="0" t="n">
        <f aca="false">INDEX(Laporan!$A$1:$AZ$300,G1545,4)</f>
        <v>2</v>
      </c>
      <c r="M1545" s="1" t="n">
        <f aca="false">DATE(Pemetaan!$B$1,VALUE(RIGHT(INDEX(Laporan!$A$1:$AZ$300,F1545+1,H1545),2)),VALUE(LEFT(INDEX(Laporan!$A$1:$AZ$300,F1545+1,H1545),2)))</f>
        <v>46107</v>
      </c>
      <c r="N1545" s="0" t="n">
        <f aca="false">INDEX(Laporan!$A$1:$AZ$300,G1545,H1545)</f>
        <v>20</v>
      </c>
      <c r="O1545" s="0" t="n">
        <f aca="false">IF(N1545="","",IFERROR(VALUE(SUBSTITUTE(SUBSTITUTE(N1545," btl",""),".","")),""))</f>
        <v>20</v>
      </c>
      <c r="P1545" s="0" t="str">
        <f aca="false">IF(B1545="PRODUKSI","produced","reject")</f>
        <v>reject</v>
      </c>
    </row>
    <row r="1546" customFormat="false" ht="15" hidden="false" customHeight="false" outlineLevel="0" collapsed="false">
      <c r="A1546" s="0" t="n">
        <v>1545</v>
      </c>
      <c r="B1546" s="0" t="str">
        <f aca="false">IF(A1546&lt;=36*25,"PRODUKSI","REJECT")</f>
        <v>REJECT</v>
      </c>
      <c r="C1546" s="0" t="n">
        <f aca="false">MOD(A1546-1,Pemetaan!$B$3*Pemetaan!$B$4)</f>
        <v>644</v>
      </c>
      <c r="D1546" s="0" t="n">
        <f aca="false">INT(C1546/Pemetaan!$B$4)</f>
        <v>25</v>
      </c>
      <c r="E1546" s="0" t="n">
        <f aca="false">MOD(C1546,Pemetaan!$B$4)</f>
        <v>19</v>
      </c>
      <c r="F1546" s="0" t="n">
        <f aca="false">IF(B1546="PRODUKSI",Pemetaan!$B$5,Pemetaan!$B$6)</f>
        <v>46</v>
      </c>
      <c r="G1546" s="0" t="n">
        <f aca="false">F1546+2+D1546</f>
        <v>73</v>
      </c>
      <c r="H1546" s="0" t="n">
        <f aca="false">Pemetaan!$B$2+E1546</f>
        <v>24</v>
      </c>
      <c r="I1546" s="0" t="str">
        <f aca="false">INDEX(Laporan!$A$1:$AZ$300,G1546,1)</f>
        <v>Mixing</v>
      </c>
      <c r="J1546" s="0" t="str">
        <f aca="false">INDEX(Laporan!$A$1:$AZ$300,G1546,2)</f>
        <v>600 ml</v>
      </c>
      <c r="K1546" s="0" t="str">
        <f aca="false">INDEX(Laporan!$A$1:$AZ$300,G1546,3)</f>
        <v>Shift 1</v>
      </c>
      <c r="L1546" s="0" t="n">
        <f aca="false">INDEX(Laporan!$A$1:$AZ$300,G1546,4)</f>
        <v>2</v>
      </c>
      <c r="M1546" s="1" t="n">
        <f aca="false">DATE(Pemetaan!$B$1,VALUE(RIGHT(INDEX(Laporan!$A$1:$AZ$300,F1546+1,H1546),2)),VALUE(LEFT(INDEX(Laporan!$A$1:$AZ$300,F1546+1,H1546),2)))</f>
        <v>46108</v>
      </c>
      <c r="N1546" s="0" t="n">
        <f aca="false">INDEX(Laporan!$A$1:$AZ$300,G1546,H1546)</f>
        <v>11</v>
      </c>
      <c r="O1546" s="0" t="n">
        <f aca="false">IF(N1546="","",IFERROR(VALUE(SUBSTITUTE(SUBSTITUTE(N1546," btl",""),".","")),""))</f>
        <v>11</v>
      </c>
      <c r="P1546" s="0" t="str">
        <f aca="false">IF(B1546="PRODUKSI","produced","reject")</f>
        <v>reject</v>
      </c>
    </row>
    <row r="1547" customFormat="false" ht="15" hidden="false" customHeight="false" outlineLevel="0" collapsed="false">
      <c r="A1547" s="0" t="n">
        <v>1546</v>
      </c>
      <c r="B1547" s="0" t="str">
        <f aca="false">IF(A1547&lt;=36*25,"PRODUKSI","REJECT")</f>
        <v>REJECT</v>
      </c>
      <c r="C1547" s="0" t="n">
        <f aca="false">MOD(A1547-1,Pemetaan!$B$3*Pemetaan!$B$4)</f>
        <v>645</v>
      </c>
      <c r="D1547" s="0" t="n">
        <f aca="false">INT(C1547/Pemetaan!$B$4)</f>
        <v>25</v>
      </c>
      <c r="E1547" s="0" t="n">
        <f aca="false">MOD(C1547,Pemetaan!$B$4)</f>
        <v>20</v>
      </c>
      <c r="F1547" s="0" t="n">
        <f aca="false">IF(B1547="PRODUKSI",Pemetaan!$B$5,Pemetaan!$B$6)</f>
        <v>46</v>
      </c>
      <c r="G1547" s="0" t="n">
        <f aca="false">F1547+2+D1547</f>
        <v>73</v>
      </c>
      <c r="H1547" s="0" t="n">
        <f aca="false">Pemetaan!$B$2+E1547</f>
        <v>25</v>
      </c>
      <c r="I1547" s="0" t="str">
        <f aca="false">INDEX(Laporan!$A$1:$AZ$300,G1547,1)</f>
        <v>Mixing</v>
      </c>
      <c r="J1547" s="0" t="str">
        <f aca="false">INDEX(Laporan!$A$1:$AZ$300,G1547,2)</f>
        <v>600 ml</v>
      </c>
      <c r="K1547" s="0" t="str">
        <f aca="false">INDEX(Laporan!$A$1:$AZ$300,G1547,3)</f>
        <v>Shift 1</v>
      </c>
      <c r="L1547" s="0" t="n">
        <f aca="false">INDEX(Laporan!$A$1:$AZ$300,G1547,4)</f>
        <v>2</v>
      </c>
      <c r="M1547" s="1" t="n">
        <f aca="false">DATE(Pemetaan!$B$1,VALUE(RIGHT(INDEX(Laporan!$A$1:$AZ$300,F1547+1,H1547),2)),VALUE(LEFT(INDEX(Laporan!$A$1:$AZ$300,F1547+1,H1547),2)))</f>
        <v>46111</v>
      </c>
      <c r="N1547" s="0" t="n">
        <f aca="false">INDEX(Laporan!$A$1:$AZ$300,G1547,H1547)</f>
        <v>21</v>
      </c>
      <c r="O1547" s="0" t="n">
        <f aca="false">IF(N1547="","",IFERROR(VALUE(SUBSTITUTE(SUBSTITUTE(N1547," btl",""),".","")),""))</f>
        <v>21</v>
      </c>
      <c r="P1547" s="0" t="str">
        <f aca="false">IF(B1547="PRODUKSI","produced","reject")</f>
        <v>reject</v>
      </c>
    </row>
    <row r="1548" customFormat="false" ht="15" hidden="false" customHeight="false" outlineLevel="0" collapsed="false">
      <c r="A1548" s="0" t="n">
        <v>1547</v>
      </c>
      <c r="B1548" s="0" t="str">
        <f aca="false">IF(A1548&lt;=36*25,"PRODUKSI","REJECT")</f>
        <v>REJECT</v>
      </c>
      <c r="C1548" s="0" t="n">
        <f aca="false">MOD(A1548-1,Pemetaan!$B$3*Pemetaan!$B$4)</f>
        <v>646</v>
      </c>
      <c r="D1548" s="0" t="n">
        <f aca="false">INT(C1548/Pemetaan!$B$4)</f>
        <v>25</v>
      </c>
      <c r="E1548" s="0" t="n">
        <f aca="false">MOD(C1548,Pemetaan!$B$4)</f>
        <v>21</v>
      </c>
      <c r="F1548" s="0" t="n">
        <f aca="false">IF(B1548="PRODUKSI",Pemetaan!$B$5,Pemetaan!$B$6)</f>
        <v>46</v>
      </c>
      <c r="G1548" s="0" t="n">
        <f aca="false">F1548+2+D1548</f>
        <v>73</v>
      </c>
      <c r="H1548" s="0" t="n">
        <f aca="false">Pemetaan!$B$2+E1548</f>
        <v>26</v>
      </c>
      <c r="I1548" s="0" t="str">
        <f aca="false">INDEX(Laporan!$A$1:$AZ$300,G1548,1)</f>
        <v>Mixing</v>
      </c>
      <c r="J1548" s="0" t="str">
        <f aca="false">INDEX(Laporan!$A$1:$AZ$300,G1548,2)</f>
        <v>600 ml</v>
      </c>
      <c r="K1548" s="0" t="str">
        <f aca="false">INDEX(Laporan!$A$1:$AZ$300,G1548,3)</f>
        <v>Shift 1</v>
      </c>
      <c r="L1548" s="0" t="n">
        <f aca="false">INDEX(Laporan!$A$1:$AZ$300,G1548,4)</f>
        <v>2</v>
      </c>
      <c r="M1548" s="1" t="n">
        <f aca="false">DATE(Pemetaan!$B$1,VALUE(RIGHT(INDEX(Laporan!$A$1:$AZ$300,F1548+1,H1548),2)),VALUE(LEFT(INDEX(Laporan!$A$1:$AZ$300,F1548+1,H1548),2)))</f>
        <v>46112</v>
      </c>
      <c r="N1548" s="0" t="n">
        <f aca="false">INDEX(Laporan!$A$1:$AZ$300,G1548,H1548)</f>
        <v>19</v>
      </c>
      <c r="O1548" s="0" t="n">
        <f aca="false">IF(N1548="","",IFERROR(VALUE(SUBSTITUTE(SUBSTITUTE(N1548," btl",""),".","")),""))</f>
        <v>19</v>
      </c>
      <c r="P1548" s="0" t="str">
        <f aca="false">IF(B1548="PRODUKSI","produced","reject")</f>
        <v>reject</v>
      </c>
    </row>
    <row r="1549" customFormat="false" ht="15" hidden="false" customHeight="false" outlineLevel="0" collapsed="false">
      <c r="A1549" s="0" t="n">
        <v>1548</v>
      </c>
      <c r="B1549" s="0" t="str">
        <f aca="false">IF(A1549&lt;=36*25,"PRODUKSI","REJECT")</f>
        <v>REJECT</v>
      </c>
      <c r="C1549" s="0" t="n">
        <f aca="false">MOD(A1549-1,Pemetaan!$B$3*Pemetaan!$B$4)</f>
        <v>647</v>
      </c>
      <c r="D1549" s="0" t="n">
        <f aca="false">INT(C1549/Pemetaan!$B$4)</f>
        <v>25</v>
      </c>
      <c r="E1549" s="0" t="n">
        <f aca="false">MOD(C1549,Pemetaan!$B$4)</f>
        <v>22</v>
      </c>
      <c r="F1549" s="0" t="n">
        <f aca="false">IF(B1549="PRODUKSI",Pemetaan!$B$5,Pemetaan!$B$6)</f>
        <v>46</v>
      </c>
      <c r="G1549" s="0" t="n">
        <f aca="false">F1549+2+D1549</f>
        <v>73</v>
      </c>
      <c r="H1549" s="0" t="n">
        <f aca="false">Pemetaan!$B$2+E1549</f>
        <v>27</v>
      </c>
      <c r="I1549" s="0" t="str">
        <f aca="false">INDEX(Laporan!$A$1:$AZ$300,G1549,1)</f>
        <v>Mixing</v>
      </c>
      <c r="J1549" s="0" t="str">
        <f aca="false">INDEX(Laporan!$A$1:$AZ$300,G1549,2)</f>
        <v>600 ml</v>
      </c>
      <c r="K1549" s="0" t="str">
        <f aca="false">INDEX(Laporan!$A$1:$AZ$300,G1549,3)</f>
        <v>Shift 1</v>
      </c>
      <c r="L1549" s="0" t="n">
        <f aca="false">INDEX(Laporan!$A$1:$AZ$300,G1549,4)</f>
        <v>2</v>
      </c>
      <c r="M1549" s="1" t="n">
        <f aca="false">DATE(Pemetaan!$B$1,VALUE(RIGHT(INDEX(Laporan!$A$1:$AZ$300,F1549+1,H1549),2)),VALUE(LEFT(INDEX(Laporan!$A$1:$AZ$300,F1549+1,H1549),2)))</f>
        <v>46113</v>
      </c>
      <c r="N1549" s="0" t="n">
        <f aca="false">INDEX(Laporan!$A$1:$AZ$300,G1549,H1549)</f>
        <v>17</v>
      </c>
      <c r="O1549" s="0" t="n">
        <f aca="false">IF(N1549="","",IFERROR(VALUE(SUBSTITUTE(SUBSTITUTE(N1549," btl",""),".","")),""))</f>
        <v>17</v>
      </c>
      <c r="P1549" s="0" t="str">
        <f aca="false">IF(B1549="PRODUKSI","produced","reject")</f>
        <v>reject</v>
      </c>
    </row>
    <row r="1550" customFormat="false" ht="15" hidden="false" customHeight="false" outlineLevel="0" collapsed="false">
      <c r="A1550" s="0" t="n">
        <v>1549</v>
      </c>
      <c r="B1550" s="0" t="str">
        <f aca="false">IF(A1550&lt;=36*25,"PRODUKSI","REJECT")</f>
        <v>REJECT</v>
      </c>
      <c r="C1550" s="0" t="n">
        <f aca="false">MOD(A1550-1,Pemetaan!$B$3*Pemetaan!$B$4)</f>
        <v>648</v>
      </c>
      <c r="D1550" s="0" t="n">
        <f aca="false">INT(C1550/Pemetaan!$B$4)</f>
        <v>25</v>
      </c>
      <c r="E1550" s="0" t="n">
        <f aca="false">MOD(C1550,Pemetaan!$B$4)</f>
        <v>23</v>
      </c>
      <c r="F1550" s="0" t="n">
        <f aca="false">IF(B1550="PRODUKSI",Pemetaan!$B$5,Pemetaan!$B$6)</f>
        <v>46</v>
      </c>
      <c r="G1550" s="0" t="n">
        <f aca="false">F1550+2+D1550</f>
        <v>73</v>
      </c>
      <c r="H1550" s="0" t="n">
        <f aca="false">Pemetaan!$B$2+E1550</f>
        <v>28</v>
      </c>
      <c r="I1550" s="0" t="str">
        <f aca="false">INDEX(Laporan!$A$1:$AZ$300,G1550,1)</f>
        <v>Mixing</v>
      </c>
      <c r="J1550" s="0" t="str">
        <f aca="false">INDEX(Laporan!$A$1:$AZ$300,G1550,2)</f>
        <v>600 ml</v>
      </c>
      <c r="K1550" s="0" t="str">
        <f aca="false">INDEX(Laporan!$A$1:$AZ$300,G1550,3)</f>
        <v>Shift 1</v>
      </c>
      <c r="L1550" s="0" t="n">
        <f aca="false">INDEX(Laporan!$A$1:$AZ$300,G1550,4)</f>
        <v>2</v>
      </c>
      <c r="M1550" s="1" t="n">
        <f aca="false">DATE(Pemetaan!$B$1,VALUE(RIGHT(INDEX(Laporan!$A$1:$AZ$300,F1550+1,H1550),2)),VALUE(LEFT(INDEX(Laporan!$A$1:$AZ$300,F1550+1,H1550),2)))</f>
        <v>46114</v>
      </c>
      <c r="N1550" s="0" t="n">
        <f aca="false">INDEX(Laporan!$A$1:$AZ$300,G1550,H1550)</f>
        <v>11</v>
      </c>
      <c r="O1550" s="0" t="n">
        <f aca="false">IF(N1550="","",IFERROR(VALUE(SUBSTITUTE(SUBSTITUTE(N1550," btl",""),".","")),""))</f>
        <v>11</v>
      </c>
      <c r="P1550" s="0" t="str">
        <f aca="false">IF(B1550="PRODUKSI","produced","reject")</f>
        <v>reject</v>
      </c>
    </row>
    <row r="1551" customFormat="false" ht="15" hidden="false" customHeight="false" outlineLevel="0" collapsed="false">
      <c r="A1551" s="0" t="n">
        <v>1550</v>
      </c>
      <c r="B1551" s="0" t="str">
        <f aca="false">IF(A1551&lt;=36*25,"PRODUKSI","REJECT")</f>
        <v>REJECT</v>
      </c>
      <c r="C1551" s="0" t="n">
        <f aca="false">MOD(A1551-1,Pemetaan!$B$3*Pemetaan!$B$4)</f>
        <v>649</v>
      </c>
      <c r="D1551" s="0" t="n">
        <f aca="false">INT(C1551/Pemetaan!$B$4)</f>
        <v>25</v>
      </c>
      <c r="E1551" s="0" t="n">
        <f aca="false">MOD(C1551,Pemetaan!$B$4)</f>
        <v>24</v>
      </c>
      <c r="F1551" s="0" t="n">
        <f aca="false">IF(B1551="PRODUKSI",Pemetaan!$B$5,Pemetaan!$B$6)</f>
        <v>46</v>
      </c>
      <c r="G1551" s="0" t="n">
        <f aca="false">F1551+2+D1551</f>
        <v>73</v>
      </c>
      <c r="H1551" s="0" t="n">
        <f aca="false">Pemetaan!$B$2+E1551</f>
        <v>29</v>
      </c>
      <c r="I1551" s="0" t="str">
        <f aca="false">INDEX(Laporan!$A$1:$AZ$300,G1551,1)</f>
        <v>Mixing</v>
      </c>
      <c r="J1551" s="0" t="str">
        <f aca="false">INDEX(Laporan!$A$1:$AZ$300,G1551,2)</f>
        <v>600 ml</v>
      </c>
      <c r="K1551" s="0" t="str">
        <f aca="false">INDEX(Laporan!$A$1:$AZ$300,G1551,3)</f>
        <v>Shift 1</v>
      </c>
      <c r="L1551" s="0" t="n">
        <f aca="false">INDEX(Laporan!$A$1:$AZ$300,G1551,4)</f>
        <v>2</v>
      </c>
      <c r="M1551" s="1" t="n">
        <f aca="false">DATE(Pemetaan!$B$1,VALUE(RIGHT(INDEX(Laporan!$A$1:$AZ$300,F1551+1,H1551),2)),VALUE(LEFT(INDEX(Laporan!$A$1:$AZ$300,F1551+1,H1551),2)))</f>
        <v>46115</v>
      </c>
      <c r="N1551" s="0" t="n">
        <f aca="false">INDEX(Laporan!$A$1:$AZ$300,G1551,H1551)</f>
        <v>16</v>
      </c>
      <c r="O1551" s="0" t="n">
        <f aca="false">IF(N1551="","",IFERROR(VALUE(SUBSTITUTE(SUBSTITUTE(N1551," btl",""),".","")),""))</f>
        <v>16</v>
      </c>
      <c r="P1551" s="0" t="str">
        <f aca="false">IF(B1551="PRODUKSI","produced","reject")</f>
        <v>reject</v>
      </c>
    </row>
    <row r="1552" customFormat="false" ht="15" hidden="false" customHeight="false" outlineLevel="0" collapsed="false">
      <c r="A1552" s="0" t="n">
        <v>1551</v>
      </c>
      <c r="B1552" s="0" t="str">
        <f aca="false">IF(A1552&lt;=36*25,"PRODUKSI","REJECT")</f>
        <v>REJECT</v>
      </c>
      <c r="C1552" s="0" t="n">
        <f aca="false">MOD(A1552-1,Pemetaan!$B$3*Pemetaan!$B$4)</f>
        <v>650</v>
      </c>
      <c r="D1552" s="0" t="n">
        <f aca="false">INT(C1552/Pemetaan!$B$4)</f>
        <v>26</v>
      </c>
      <c r="E1552" s="0" t="n">
        <f aca="false">MOD(C1552,Pemetaan!$B$4)</f>
        <v>0</v>
      </c>
      <c r="F1552" s="0" t="n">
        <f aca="false">IF(B1552="PRODUKSI",Pemetaan!$B$5,Pemetaan!$B$6)</f>
        <v>46</v>
      </c>
      <c r="G1552" s="0" t="n">
        <f aca="false">F1552+2+D1552</f>
        <v>74</v>
      </c>
      <c r="H1552" s="0" t="n">
        <f aca="false">Pemetaan!$B$2+E1552</f>
        <v>5</v>
      </c>
      <c r="I1552" s="0" t="str">
        <f aca="false">INDEX(Laporan!$A$1:$AZ$300,G1552,1)</f>
        <v>Mixing</v>
      </c>
      <c r="J1552" s="0" t="str">
        <f aca="false">INDEX(Laporan!$A$1:$AZ$300,G1552,2)</f>
        <v>600 ml</v>
      </c>
      <c r="K1552" s="0" t="str">
        <f aca="false">INDEX(Laporan!$A$1:$AZ$300,G1552,3)</f>
        <v>Shift 1</v>
      </c>
      <c r="L1552" s="0" t="n">
        <f aca="false">INDEX(Laporan!$A$1:$AZ$300,G1552,4)</f>
        <v>3</v>
      </c>
      <c r="M1552" s="1" t="n">
        <f aca="false">DATE(Pemetaan!$B$1,VALUE(RIGHT(INDEX(Laporan!$A$1:$AZ$300,F1552+1,H1552),2)),VALUE(LEFT(INDEX(Laporan!$A$1:$AZ$300,F1552+1,H1552),2)))</f>
        <v>46083</v>
      </c>
      <c r="N1552" s="0" t="n">
        <f aca="false">INDEX(Laporan!$A$1:$AZ$300,G1552,H1552)</f>
        <v>24</v>
      </c>
      <c r="O1552" s="0" t="n">
        <f aca="false">IF(N1552="","",IFERROR(VALUE(SUBSTITUTE(SUBSTITUTE(N1552," btl",""),".","")),""))</f>
        <v>24</v>
      </c>
      <c r="P1552" s="0" t="str">
        <f aca="false">IF(B1552="PRODUKSI","produced","reject")</f>
        <v>reject</v>
      </c>
    </row>
    <row r="1553" customFormat="false" ht="15" hidden="false" customHeight="false" outlineLevel="0" collapsed="false">
      <c r="A1553" s="0" t="n">
        <v>1552</v>
      </c>
      <c r="B1553" s="0" t="str">
        <f aca="false">IF(A1553&lt;=36*25,"PRODUKSI","REJECT")</f>
        <v>REJECT</v>
      </c>
      <c r="C1553" s="0" t="n">
        <f aca="false">MOD(A1553-1,Pemetaan!$B$3*Pemetaan!$B$4)</f>
        <v>651</v>
      </c>
      <c r="D1553" s="0" t="n">
        <f aca="false">INT(C1553/Pemetaan!$B$4)</f>
        <v>26</v>
      </c>
      <c r="E1553" s="0" t="n">
        <f aca="false">MOD(C1553,Pemetaan!$B$4)</f>
        <v>1</v>
      </c>
      <c r="F1553" s="0" t="n">
        <f aca="false">IF(B1553="PRODUKSI",Pemetaan!$B$5,Pemetaan!$B$6)</f>
        <v>46</v>
      </c>
      <c r="G1553" s="0" t="n">
        <f aca="false">F1553+2+D1553</f>
        <v>74</v>
      </c>
      <c r="H1553" s="0" t="n">
        <f aca="false">Pemetaan!$B$2+E1553</f>
        <v>6</v>
      </c>
      <c r="I1553" s="0" t="str">
        <f aca="false">INDEX(Laporan!$A$1:$AZ$300,G1553,1)</f>
        <v>Mixing</v>
      </c>
      <c r="J1553" s="0" t="str">
        <f aca="false">INDEX(Laporan!$A$1:$AZ$300,G1553,2)</f>
        <v>600 ml</v>
      </c>
      <c r="K1553" s="0" t="str">
        <f aca="false">INDEX(Laporan!$A$1:$AZ$300,G1553,3)</f>
        <v>Shift 1</v>
      </c>
      <c r="L1553" s="0" t="n">
        <f aca="false">INDEX(Laporan!$A$1:$AZ$300,G1553,4)</f>
        <v>3</v>
      </c>
      <c r="M1553" s="1" t="n">
        <f aca="false">DATE(Pemetaan!$B$1,VALUE(RIGHT(INDEX(Laporan!$A$1:$AZ$300,F1553+1,H1553),2)),VALUE(LEFT(INDEX(Laporan!$A$1:$AZ$300,F1553+1,H1553),2)))</f>
        <v>46084</v>
      </c>
      <c r="N1553" s="0" t="n">
        <f aca="false">INDEX(Laporan!$A$1:$AZ$300,G1553,H1553)</f>
        <v>21</v>
      </c>
      <c r="O1553" s="0" t="n">
        <f aca="false">IF(N1553="","",IFERROR(VALUE(SUBSTITUTE(SUBSTITUTE(N1553," btl",""),".","")),""))</f>
        <v>21</v>
      </c>
      <c r="P1553" s="0" t="str">
        <f aca="false">IF(B1553="PRODUKSI","produced","reject")</f>
        <v>reject</v>
      </c>
    </row>
    <row r="1554" customFormat="false" ht="15" hidden="false" customHeight="false" outlineLevel="0" collapsed="false">
      <c r="A1554" s="0" t="n">
        <v>1553</v>
      </c>
      <c r="B1554" s="0" t="str">
        <f aca="false">IF(A1554&lt;=36*25,"PRODUKSI","REJECT")</f>
        <v>REJECT</v>
      </c>
      <c r="C1554" s="0" t="n">
        <f aca="false">MOD(A1554-1,Pemetaan!$B$3*Pemetaan!$B$4)</f>
        <v>652</v>
      </c>
      <c r="D1554" s="0" t="n">
        <f aca="false">INT(C1554/Pemetaan!$B$4)</f>
        <v>26</v>
      </c>
      <c r="E1554" s="0" t="n">
        <f aca="false">MOD(C1554,Pemetaan!$B$4)</f>
        <v>2</v>
      </c>
      <c r="F1554" s="0" t="n">
        <f aca="false">IF(B1554="PRODUKSI",Pemetaan!$B$5,Pemetaan!$B$6)</f>
        <v>46</v>
      </c>
      <c r="G1554" s="0" t="n">
        <f aca="false">F1554+2+D1554</f>
        <v>74</v>
      </c>
      <c r="H1554" s="0" t="n">
        <f aca="false">Pemetaan!$B$2+E1554</f>
        <v>7</v>
      </c>
      <c r="I1554" s="0" t="str">
        <f aca="false">INDEX(Laporan!$A$1:$AZ$300,G1554,1)</f>
        <v>Mixing</v>
      </c>
      <c r="J1554" s="0" t="str">
        <f aca="false">INDEX(Laporan!$A$1:$AZ$300,G1554,2)</f>
        <v>600 ml</v>
      </c>
      <c r="K1554" s="0" t="str">
        <f aca="false">INDEX(Laporan!$A$1:$AZ$300,G1554,3)</f>
        <v>Shift 1</v>
      </c>
      <c r="L1554" s="0" t="n">
        <f aca="false">INDEX(Laporan!$A$1:$AZ$300,G1554,4)</f>
        <v>3</v>
      </c>
      <c r="M1554" s="1" t="n">
        <f aca="false">DATE(Pemetaan!$B$1,VALUE(RIGHT(INDEX(Laporan!$A$1:$AZ$300,F1554+1,H1554),2)),VALUE(LEFT(INDEX(Laporan!$A$1:$AZ$300,F1554+1,H1554),2)))</f>
        <v>46085</v>
      </c>
      <c r="N1554" s="0" t="n">
        <f aca="false">INDEX(Laporan!$A$1:$AZ$300,G1554,H1554)</f>
        <v>18</v>
      </c>
      <c r="O1554" s="0" t="n">
        <f aca="false">IF(N1554="","",IFERROR(VALUE(SUBSTITUTE(SUBSTITUTE(N1554," btl",""),".","")),""))</f>
        <v>18</v>
      </c>
      <c r="P1554" s="0" t="str">
        <f aca="false">IF(B1554="PRODUKSI","produced","reject")</f>
        <v>reject</v>
      </c>
    </row>
    <row r="1555" customFormat="false" ht="15" hidden="false" customHeight="false" outlineLevel="0" collapsed="false">
      <c r="A1555" s="0" t="n">
        <v>1554</v>
      </c>
      <c r="B1555" s="0" t="str">
        <f aca="false">IF(A1555&lt;=36*25,"PRODUKSI","REJECT")</f>
        <v>REJECT</v>
      </c>
      <c r="C1555" s="0" t="n">
        <f aca="false">MOD(A1555-1,Pemetaan!$B$3*Pemetaan!$B$4)</f>
        <v>653</v>
      </c>
      <c r="D1555" s="0" t="n">
        <f aca="false">INT(C1555/Pemetaan!$B$4)</f>
        <v>26</v>
      </c>
      <c r="E1555" s="0" t="n">
        <f aca="false">MOD(C1555,Pemetaan!$B$4)</f>
        <v>3</v>
      </c>
      <c r="F1555" s="0" t="n">
        <f aca="false">IF(B1555="PRODUKSI",Pemetaan!$B$5,Pemetaan!$B$6)</f>
        <v>46</v>
      </c>
      <c r="G1555" s="0" t="n">
        <f aca="false">F1555+2+D1555</f>
        <v>74</v>
      </c>
      <c r="H1555" s="0" t="n">
        <f aca="false">Pemetaan!$B$2+E1555</f>
        <v>8</v>
      </c>
      <c r="I1555" s="0" t="str">
        <f aca="false">INDEX(Laporan!$A$1:$AZ$300,G1555,1)</f>
        <v>Mixing</v>
      </c>
      <c r="J1555" s="0" t="str">
        <f aca="false">INDEX(Laporan!$A$1:$AZ$300,G1555,2)</f>
        <v>600 ml</v>
      </c>
      <c r="K1555" s="0" t="str">
        <f aca="false">INDEX(Laporan!$A$1:$AZ$300,G1555,3)</f>
        <v>Shift 1</v>
      </c>
      <c r="L1555" s="0" t="n">
        <f aca="false">INDEX(Laporan!$A$1:$AZ$300,G1555,4)</f>
        <v>3</v>
      </c>
      <c r="M1555" s="1" t="n">
        <f aca="false">DATE(Pemetaan!$B$1,VALUE(RIGHT(INDEX(Laporan!$A$1:$AZ$300,F1555+1,H1555),2)),VALUE(LEFT(INDEX(Laporan!$A$1:$AZ$300,F1555+1,H1555),2)))</f>
        <v>46086</v>
      </c>
      <c r="N1555" s="0" t="n">
        <f aca="false">INDEX(Laporan!$A$1:$AZ$300,G1555,H1555)</f>
        <v>15</v>
      </c>
      <c r="O1555" s="0" t="n">
        <f aca="false">IF(N1555="","",IFERROR(VALUE(SUBSTITUTE(SUBSTITUTE(N1555," btl",""),".","")),""))</f>
        <v>15</v>
      </c>
      <c r="P1555" s="0" t="str">
        <f aca="false">IF(B1555="PRODUKSI","produced","reject")</f>
        <v>reject</v>
      </c>
    </row>
    <row r="1556" customFormat="false" ht="15" hidden="false" customHeight="false" outlineLevel="0" collapsed="false">
      <c r="A1556" s="0" t="n">
        <v>1555</v>
      </c>
      <c r="B1556" s="0" t="str">
        <f aca="false">IF(A1556&lt;=36*25,"PRODUKSI","REJECT")</f>
        <v>REJECT</v>
      </c>
      <c r="C1556" s="0" t="n">
        <f aca="false">MOD(A1556-1,Pemetaan!$B$3*Pemetaan!$B$4)</f>
        <v>654</v>
      </c>
      <c r="D1556" s="0" t="n">
        <f aca="false">INT(C1556/Pemetaan!$B$4)</f>
        <v>26</v>
      </c>
      <c r="E1556" s="0" t="n">
        <f aca="false">MOD(C1556,Pemetaan!$B$4)</f>
        <v>4</v>
      </c>
      <c r="F1556" s="0" t="n">
        <f aca="false">IF(B1556="PRODUKSI",Pemetaan!$B$5,Pemetaan!$B$6)</f>
        <v>46</v>
      </c>
      <c r="G1556" s="0" t="n">
        <f aca="false">F1556+2+D1556</f>
        <v>74</v>
      </c>
      <c r="H1556" s="0" t="n">
        <f aca="false">Pemetaan!$B$2+E1556</f>
        <v>9</v>
      </c>
      <c r="I1556" s="0" t="str">
        <f aca="false">INDEX(Laporan!$A$1:$AZ$300,G1556,1)</f>
        <v>Mixing</v>
      </c>
      <c r="J1556" s="0" t="str">
        <f aca="false">INDEX(Laporan!$A$1:$AZ$300,G1556,2)</f>
        <v>600 ml</v>
      </c>
      <c r="K1556" s="0" t="str">
        <f aca="false">INDEX(Laporan!$A$1:$AZ$300,G1556,3)</f>
        <v>Shift 1</v>
      </c>
      <c r="L1556" s="0" t="n">
        <f aca="false">INDEX(Laporan!$A$1:$AZ$300,G1556,4)</f>
        <v>3</v>
      </c>
      <c r="M1556" s="1" t="n">
        <f aca="false">DATE(Pemetaan!$B$1,VALUE(RIGHT(INDEX(Laporan!$A$1:$AZ$300,F1556+1,H1556),2)),VALUE(LEFT(INDEX(Laporan!$A$1:$AZ$300,F1556+1,H1556),2)))</f>
        <v>46087</v>
      </c>
      <c r="N1556" s="0" t="n">
        <f aca="false">INDEX(Laporan!$A$1:$AZ$300,G1556,H1556)</f>
        <v>16</v>
      </c>
      <c r="O1556" s="0" t="n">
        <f aca="false">IF(N1556="","",IFERROR(VALUE(SUBSTITUTE(SUBSTITUTE(N1556," btl",""),".","")),""))</f>
        <v>16</v>
      </c>
      <c r="P1556" s="0" t="str">
        <f aca="false">IF(B1556="PRODUKSI","produced","reject")</f>
        <v>reject</v>
      </c>
    </row>
    <row r="1557" customFormat="false" ht="15" hidden="false" customHeight="false" outlineLevel="0" collapsed="false">
      <c r="A1557" s="0" t="n">
        <v>1556</v>
      </c>
      <c r="B1557" s="0" t="str">
        <f aca="false">IF(A1557&lt;=36*25,"PRODUKSI","REJECT")</f>
        <v>REJECT</v>
      </c>
      <c r="C1557" s="0" t="n">
        <f aca="false">MOD(A1557-1,Pemetaan!$B$3*Pemetaan!$B$4)</f>
        <v>655</v>
      </c>
      <c r="D1557" s="0" t="n">
        <f aca="false">INT(C1557/Pemetaan!$B$4)</f>
        <v>26</v>
      </c>
      <c r="E1557" s="0" t="n">
        <f aca="false">MOD(C1557,Pemetaan!$B$4)</f>
        <v>5</v>
      </c>
      <c r="F1557" s="0" t="n">
        <f aca="false">IF(B1557="PRODUKSI",Pemetaan!$B$5,Pemetaan!$B$6)</f>
        <v>46</v>
      </c>
      <c r="G1557" s="0" t="n">
        <f aca="false">F1557+2+D1557</f>
        <v>74</v>
      </c>
      <c r="H1557" s="0" t="n">
        <f aca="false">Pemetaan!$B$2+E1557</f>
        <v>10</v>
      </c>
      <c r="I1557" s="0" t="str">
        <f aca="false">INDEX(Laporan!$A$1:$AZ$300,G1557,1)</f>
        <v>Mixing</v>
      </c>
      <c r="J1557" s="0" t="str">
        <f aca="false">INDEX(Laporan!$A$1:$AZ$300,G1557,2)</f>
        <v>600 ml</v>
      </c>
      <c r="K1557" s="0" t="str">
        <f aca="false">INDEX(Laporan!$A$1:$AZ$300,G1557,3)</f>
        <v>Shift 1</v>
      </c>
      <c r="L1557" s="0" t="n">
        <f aca="false">INDEX(Laporan!$A$1:$AZ$300,G1557,4)</f>
        <v>3</v>
      </c>
      <c r="M1557" s="1" t="n">
        <f aca="false">DATE(Pemetaan!$B$1,VALUE(RIGHT(INDEX(Laporan!$A$1:$AZ$300,F1557+1,H1557),2)),VALUE(LEFT(INDEX(Laporan!$A$1:$AZ$300,F1557+1,H1557),2)))</f>
        <v>46090</v>
      </c>
      <c r="N1557" s="0" t="n">
        <f aca="false">INDEX(Laporan!$A$1:$AZ$300,G1557,H1557)</f>
        <v>26</v>
      </c>
      <c r="O1557" s="0" t="n">
        <f aca="false">IF(N1557="","",IFERROR(VALUE(SUBSTITUTE(SUBSTITUTE(N1557," btl",""),".","")),""))</f>
        <v>26</v>
      </c>
      <c r="P1557" s="0" t="str">
        <f aca="false">IF(B1557="PRODUKSI","produced","reject")</f>
        <v>reject</v>
      </c>
    </row>
    <row r="1558" customFormat="false" ht="15" hidden="false" customHeight="false" outlineLevel="0" collapsed="false">
      <c r="A1558" s="0" t="n">
        <v>1557</v>
      </c>
      <c r="B1558" s="0" t="str">
        <f aca="false">IF(A1558&lt;=36*25,"PRODUKSI","REJECT")</f>
        <v>REJECT</v>
      </c>
      <c r="C1558" s="0" t="n">
        <f aca="false">MOD(A1558-1,Pemetaan!$B$3*Pemetaan!$B$4)</f>
        <v>656</v>
      </c>
      <c r="D1558" s="0" t="n">
        <f aca="false">INT(C1558/Pemetaan!$B$4)</f>
        <v>26</v>
      </c>
      <c r="E1558" s="0" t="n">
        <f aca="false">MOD(C1558,Pemetaan!$B$4)</f>
        <v>6</v>
      </c>
      <c r="F1558" s="0" t="n">
        <f aca="false">IF(B1558="PRODUKSI",Pemetaan!$B$5,Pemetaan!$B$6)</f>
        <v>46</v>
      </c>
      <c r="G1558" s="0" t="n">
        <f aca="false">F1558+2+D1558</f>
        <v>74</v>
      </c>
      <c r="H1558" s="0" t="n">
        <f aca="false">Pemetaan!$B$2+E1558</f>
        <v>11</v>
      </c>
      <c r="I1558" s="0" t="str">
        <f aca="false">INDEX(Laporan!$A$1:$AZ$300,G1558,1)</f>
        <v>Mixing</v>
      </c>
      <c r="J1558" s="0" t="str">
        <f aca="false">INDEX(Laporan!$A$1:$AZ$300,G1558,2)</f>
        <v>600 ml</v>
      </c>
      <c r="K1558" s="0" t="str">
        <f aca="false">INDEX(Laporan!$A$1:$AZ$300,G1558,3)</f>
        <v>Shift 1</v>
      </c>
      <c r="L1558" s="0" t="n">
        <f aca="false">INDEX(Laporan!$A$1:$AZ$300,G1558,4)</f>
        <v>3</v>
      </c>
      <c r="M1558" s="1" t="n">
        <f aca="false">DATE(Pemetaan!$B$1,VALUE(RIGHT(INDEX(Laporan!$A$1:$AZ$300,F1558+1,H1558),2)),VALUE(LEFT(INDEX(Laporan!$A$1:$AZ$300,F1558+1,H1558),2)))</f>
        <v>46091</v>
      </c>
      <c r="N1558" s="0" t="n">
        <f aca="false">INDEX(Laporan!$A$1:$AZ$300,G1558,H1558)</f>
        <v>21</v>
      </c>
      <c r="O1558" s="0" t="n">
        <f aca="false">IF(N1558="","",IFERROR(VALUE(SUBSTITUTE(SUBSTITUTE(N1558," btl",""),".","")),""))</f>
        <v>21</v>
      </c>
      <c r="P1558" s="0" t="str">
        <f aca="false">IF(B1558="PRODUKSI","produced","reject")</f>
        <v>reject</v>
      </c>
    </row>
    <row r="1559" customFormat="false" ht="15" hidden="false" customHeight="false" outlineLevel="0" collapsed="false">
      <c r="A1559" s="0" t="n">
        <v>1558</v>
      </c>
      <c r="B1559" s="0" t="str">
        <f aca="false">IF(A1559&lt;=36*25,"PRODUKSI","REJECT")</f>
        <v>REJECT</v>
      </c>
      <c r="C1559" s="0" t="n">
        <f aca="false">MOD(A1559-1,Pemetaan!$B$3*Pemetaan!$B$4)</f>
        <v>657</v>
      </c>
      <c r="D1559" s="0" t="n">
        <f aca="false">INT(C1559/Pemetaan!$B$4)</f>
        <v>26</v>
      </c>
      <c r="E1559" s="0" t="n">
        <f aca="false">MOD(C1559,Pemetaan!$B$4)</f>
        <v>7</v>
      </c>
      <c r="F1559" s="0" t="n">
        <f aca="false">IF(B1559="PRODUKSI",Pemetaan!$B$5,Pemetaan!$B$6)</f>
        <v>46</v>
      </c>
      <c r="G1559" s="0" t="n">
        <f aca="false">F1559+2+D1559</f>
        <v>74</v>
      </c>
      <c r="H1559" s="0" t="n">
        <f aca="false">Pemetaan!$B$2+E1559</f>
        <v>12</v>
      </c>
      <c r="I1559" s="0" t="str">
        <f aca="false">INDEX(Laporan!$A$1:$AZ$300,G1559,1)</f>
        <v>Mixing</v>
      </c>
      <c r="J1559" s="0" t="str">
        <f aca="false">INDEX(Laporan!$A$1:$AZ$300,G1559,2)</f>
        <v>600 ml</v>
      </c>
      <c r="K1559" s="0" t="str">
        <f aca="false">INDEX(Laporan!$A$1:$AZ$300,G1559,3)</f>
        <v>Shift 1</v>
      </c>
      <c r="L1559" s="0" t="n">
        <f aca="false">INDEX(Laporan!$A$1:$AZ$300,G1559,4)</f>
        <v>3</v>
      </c>
      <c r="M1559" s="1" t="n">
        <f aca="false">DATE(Pemetaan!$B$1,VALUE(RIGHT(INDEX(Laporan!$A$1:$AZ$300,F1559+1,H1559),2)),VALUE(LEFT(INDEX(Laporan!$A$1:$AZ$300,F1559+1,H1559),2)))</f>
        <v>46092</v>
      </c>
      <c r="N1559" s="0" t="n">
        <f aca="false">INDEX(Laporan!$A$1:$AZ$300,G1559,H1559)</f>
        <v>19</v>
      </c>
      <c r="O1559" s="0" t="n">
        <f aca="false">IF(N1559="","",IFERROR(VALUE(SUBSTITUTE(SUBSTITUTE(N1559," btl",""),".","")),""))</f>
        <v>19</v>
      </c>
      <c r="P1559" s="0" t="str">
        <f aca="false">IF(B1559="PRODUKSI","produced","reject")</f>
        <v>reject</v>
      </c>
    </row>
    <row r="1560" customFormat="false" ht="15" hidden="false" customHeight="false" outlineLevel="0" collapsed="false">
      <c r="A1560" s="0" t="n">
        <v>1559</v>
      </c>
      <c r="B1560" s="0" t="str">
        <f aca="false">IF(A1560&lt;=36*25,"PRODUKSI","REJECT")</f>
        <v>REJECT</v>
      </c>
      <c r="C1560" s="0" t="n">
        <f aca="false">MOD(A1560-1,Pemetaan!$B$3*Pemetaan!$B$4)</f>
        <v>658</v>
      </c>
      <c r="D1560" s="0" t="n">
        <f aca="false">INT(C1560/Pemetaan!$B$4)</f>
        <v>26</v>
      </c>
      <c r="E1560" s="0" t="n">
        <f aca="false">MOD(C1560,Pemetaan!$B$4)</f>
        <v>8</v>
      </c>
      <c r="F1560" s="0" t="n">
        <f aca="false">IF(B1560="PRODUKSI",Pemetaan!$B$5,Pemetaan!$B$6)</f>
        <v>46</v>
      </c>
      <c r="G1560" s="0" t="n">
        <f aca="false">F1560+2+D1560</f>
        <v>74</v>
      </c>
      <c r="H1560" s="0" t="n">
        <f aca="false">Pemetaan!$B$2+E1560</f>
        <v>13</v>
      </c>
      <c r="I1560" s="0" t="str">
        <f aca="false">INDEX(Laporan!$A$1:$AZ$300,G1560,1)</f>
        <v>Mixing</v>
      </c>
      <c r="J1560" s="0" t="str">
        <f aca="false">INDEX(Laporan!$A$1:$AZ$300,G1560,2)</f>
        <v>600 ml</v>
      </c>
      <c r="K1560" s="0" t="str">
        <f aca="false">INDEX(Laporan!$A$1:$AZ$300,G1560,3)</f>
        <v>Shift 1</v>
      </c>
      <c r="L1560" s="0" t="n">
        <f aca="false">INDEX(Laporan!$A$1:$AZ$300,G1560,4)</f>
        <v>3</v>
      </c>
      <c r="M1560" s="1" t="n">
        <f aca="false">DATE(Pemetaan!$B$1,VALUE(RIGHT(INDEX(Laporan!$A$1:$AZ$300,F1560+1,H1560),2)),VALUE(LEFT(INDEX(Laporan!$A$1:$AZ$300,F1560+1,H1560),2)))</f>
        <v>46093</v>
      </c>
      <c r="N1560" s="0" t="n">
        <f aca="false">INDEX(Laporan!$A$1:$AZ$300,G1560,H1560)</f>
        <v>14</v>
      </c>
      <c r="O1560" s="0" t="n">
        <f aca="false">IF(N1560="","",IFERROR(VALUE(SUBSTITUTE(SUBSTITUTE(N1560," btl",""),".","")),""))</f>
        <v>14</v>
      </c>
      <c r="P1560" s="0" t="str">
        <f aca="false">IF(B1560="PRODUKSI","produced","reject")</f>
        <v>reject</v>
      </c>
    </row>
    <row r="1561" customFormat="false" ht="15" hidden="false" customHeight="false" outlineLevel="0" collapsed="false">
      <c r="A1561" s="0" t="n">
        <v>1560</v>
      </c>
      <c r="B1561" s="0" t="str">
        <f aca="false">IF(A1561&lt;=36*25,"PRODUKSI","REJECT")</f>
        <v>REJECT</v>
      </c>
      <c r="C1561" s="0" t="n">
        <f aca="false">MOD(A1561-1,Pemetaan!$B$3*Pemetaan!$B$4)</f>
        <v>659</v>
      </c>
      <c r="D1561" s="0" t="n">
        <f aca="false">INT(C1561/Pemetaan!$B$4)</f>
        <v>26</v>
      </c>
      <c r="E1561" s="0" t="n">
        <f aca="false">MOD(C1561,Pemetaan!$B$4)</f>
        <v>9</v>
      </c>
      <c r="F1561" s="0" t="n">
        <f aca="false">IF(B1561="PRODUKSI",Pemetaan!$B$5,Pemetaan!$B$6)</f>
        <v>46</v>
      </c>
      <c r="G1561" s="0" t="n">
        <f aca="false">F1561+2+D1561</f>
        <v>74</v>
      </c>
      <c r="H1561" s="0" t="n">
        <f aca="false">Pemetaan!$B$2+E1561</f>
        <v>14</v>
      </c>
      <c r="I1561" s="0" t="str">
        <f aca="false">INDEX(Laporan!$A$1:$AZ$300,G1561,1)</f>
        <v>Mixing</v>
      </c>
      <c r="J1561" s="0" t="str">
        <f aca="false">INDEX(Laporan!$A$1:$AZ$300,G1561,2)</f>
        <v>600 ml</v>
      </c>
      <c r="K1561" s="0" t="str">
        <f aca="false">INDEX(Laporan!$A$1:$AZ$300,G1561,3)</f>
        <v>Shift 1</v>
      </c>
      <c r="L1561" s="0" t="n">
        <f aca="false">INDEX(Laporan!$A$1:$AZ$300,G1561,4)</f>
        <v>3</v>
      </c>
      <c r="M1561" s="1" t="n">
        <f aca="false">DATE(Pemetaan!$B$1,VALUE(RIGHT(INDEX(Laporan!$A$1:$AZ$300,F1561+1,H1561),2)),VALUE(LEFT(INDEX(Laporan!$A$1:$AZ$300,F1561+1,H1561),2)))</f>
        <v>46094</v>
      </c>
      <c r="N1561" s="0" t="n">
        <f aca="false">INDEX(Laporan!$A$1:$AZ$300,G1561,H1561)</f>
        <v>16</v>
      </c>
      <c r="O1561" s="0" t="n">
        <f aca="false">IF(N1561="","",IFERROR(VALUE(SUBSTITUTE(SUBSTITUTE(N1561," btl",""),".","")),""))</f>
        <v>16</v>
      </c>
      <c r="P1561" s="0" t="str">
        <f aca="false">IF(B1561="PRODUKSI","produced","reject")</f>
        <v>reject</v>
      </c>
    </row>
    <row r="1562" customFormat="false" ht="15" hidden="false" customHeight="false" outlineLevel="0" collapsed="false">
      <c r="A1562" s="0" t="n">
        <v>1561</v>
      </c>
      <c r="B1562" s="0" t="str">
        <f aca="false">IF(A1562&lt;=36*25,"PRODUKSI","REJECT")</f>
        <v>REJECT</v>
      </c>
      <c r="C1562" s="0" t="n">
        <f aca="false">MOD(A1562-1,Pemetaan!$B$3*Pemetaan!$B$4)</f>
        <v>660</v>
      </c>
      <c r="D1562" s="0" t="n">
        <f aca="false">INT(C1562/Pemetaan!$B$4)</f>
        <v>26</v>
      </c>
      <c r="E1562" s="0" t="n">
        <f aca="false">MOD(C1562,Pemetaan!$B$4)</f>
        <v>10</v>
      </c>
      <c r="F1562" s="0" t="n">
        <f aca="false">IF(B1562="PRODUKSI",Pemetaan!$B$5,Pemetaan!$B$6)</f>
        <v>46</v>
      </c>
      <c r="G1562" s="0" t="n">
        <f aca="false">F1562+2+D1562</f>
        <v>74</v>
      </c>
      <c r="H1562" s="0" t="n">
        <f aca="false">Pemetaan!$B$2+E1562</f>
        <v>15</v>
      </c>
      <c r="I1562" s="0" t="str">
        <f aca="false">INDEX(Laporan!$A$1:$AZ$300,G1562,1)</f>
        <v>Mixing</v>
      </c>
      <c r="J1562" s="0" t="str">
        <f aca="false">INDEX(Laporan!$A$1:$AZ$300,G1562,2)</f>
        <v>600 ml</v>
      </c>
      <c r="K1562" s="0" t="str">
        <f aca="false">INDEX(Laporan!$A$1:$AZ$300,G1562,3)</f>
        <v>Shift 1</v>
      </c>
      <c r="L1562" s="0" t="n">
        <f aca="false">INDEX(Laporan!$A$1:$AZ$300,G1562,4)</f>
        <v>3</v>
      </c>
      <c r="M1562" s="1" t="n">
        <f aca="false">DATE(Pemetaan!$B$1,VALUE(RIGHT(INDEX(Laporan!$A$1:$AZ$300,F1562+1,H1562),2)),VALUE(LEFT(INDEX(Laporan!$A$1:$AZ$300,F1562+1,H1562),2)))</f>
        <v>46097</v>
      </c>
      <c r="N1562" s="0" t="n">
        <f aca="false">INDEX(Laporan!$A$1:$AZ$300,G1562,H1562)</f>
        <v>20</v>
      </c>
      <c r="O1562" s="0" t="n">
        <f aca="false">IF(N1562="","",IFERROR(VALUE(SUBSTITUTE(SUBSTITUTE(N1562," btl",""),".","")),""))</f>
        <v>20</v>
      </c>
      <c r="P1562" s="0" t="str">
        <f aca="false">IF(B1562="PRODUKSI","produced","reject")</f>
        <v>reject</v>
      </c>
    </row>
    <row r="1563" customFormat="false" ht="15" hidden="false" customHeight="false" outlineLevel="0" collapsed="false">
      <c r="A1563" s="0" t="n">
        <v>1562</v>
      </c>
      <c r="B1563" s="0" t="str">
        <f aca="false">IF(A1563&lt;=36*25,"PRODUKSI","REJECT")</f>
        <v>REJECT</v>
      </c>
      <c r="C1563" s="0" t="n">
        <f aca="false">MOD(A1563-1,Pemetaan!$B$3*Pemetaan!$B$4)</f>
        <v>661</v>
      </c>
      <c r="D1563" s="0" t="n">
        <f aca="false">INT(C1563/Pemetaan!$B$4)</f>
        <v>26</v>
      </c>
      <c r="E1563" s="0" t="n">
        <f aca="false">MOD(C1563,Pemetaan!$B$4)</f>
        <v>11</v>
      </c>
      <c r="F1563" s="0" t="n">
        <f aca="false">IF(B1563="PRODUKSI",Pemetaan!$B$5,Pemetaan!$B$6)</f>
        <v>46</v>
      </c>
      <c r="G1563" s="0" t="n">
        <f aca="false">F1563+2+D1563</f>
        <v>74</v>
      </c>
      <c r="H1563" s="0" t="n">
        <f aca="false">Pemetaan!$B$2+E1563</f>
        <v>16</v>
      </c>
      <c r="I1563" s="0" t="str">
        <f aca="false">INDEX(Laporan!$A$1:$AZ$300,G1563,1)</f>
        <v>Mixing</v>
      </c>
      <c r="J1563" s="0" t="str">
        <f aca="false">INDEX(Laporan!$A$1:$AZ$300,G1563,2)</f>
        <v>600 ml</v>
      </c>
      <c r="K1563" s="0" t="str">
        <f aca="false">INDEX(Laporan!$A$1:$AZ$300,G1563,3)</f>
        <v>Shift 1</v>
      </c>
      <c r="L1563" s="0" t="n">
        <f aca="false">INDEX(Laporan!$A$1:$AZ$300,G1563,4)</f>
        <v>3</v>
      </c>
      <c r="M1563" s="1" t="n">
        <f aca="false">DATE(Pemetaan!$B$1,VALUE(RIGHT(INDEX(Laporan!$A$1:$AZ$300,F1563+1,H1563),2)),VALUE(LEFT(INDEX(Laporan!$A$1:$AZ$300,F1563+1,H1563),2)))</f>
        <v>46098</v>
      </c>
      <c r="N1563" s="0" t="n">
        <f aca="false">INDEX(Laporan!$A$1:$AZ$300,G1563,H1563)</f>
        <v>15</v>
      </c>
      <c r="O1563" s="0" t="n">
        <f aca="false">IF(N1563="","",IFERROR(VALUE(SUBSTITUTE(SUBSTITUTE(N1563," btl",""),".","")),""))</f>
        <v>15</v>
      </c>
      <c r="P1563" s="0" t="str">
        <f aca="false">IF(B1563="PRODUKSI","produced","reject")</f>
        <v>reject</v>
      </c>
    </row>
    <row r="1564" customFormat="false" ht="15" hidden="false" customHeight="false" outlineLevel="0" collapsed="false">
      <c r="A1564" s="0" t="n">
        <v>1563</v>
      </c>
      <c r="B1564" s="0" t="str">
        <f aca="false">IF(A1564&lt;=36*25,"PRODUKSI","REJECT")</f>
        <v>REJECT</v>
      </c>
      <c r="C1564" s="0" t="n">
        <f aca="false">MOD(A1564-1,Pemetaan!$B$3*Pemetaan!$B$4)</f>
        <v>662</v>
      </c>
      <c r="D1564" s="0" t="n">
        <f aca="false">INT(C1564/Pemetaan!$B$4)</f>
        <v>26</v>
      </c>
      <c r="E1564" s="0" t="n">
        <f aca="false">MOD(C1564,Pemetaan!$B$4)</f>
        <v>12</v>
      </c>
      <c r="F1564" s="0" t="n">
        <f aca="false">IF(B1564="PRODUKSI",Pemetaan!$B$5,Pemetaan!$B$6)</f>
        <v>46</v>
      </c>
      <c r="G1564" s="0" t="n">
        <f aca="false">F1564+2+D1564</f>
        <v>74</v>
      </c>
      <c r="H1564" s="0" t="n">
        <f aca="false">Pemetaan!$B$2+E1564</f>
        <v>17</v>
      </c>
      <c r="I1564" s="0" t="str">
        <f aca="false">INDEX(Laporan!$A$1:$AZ$300,G1564,1)</f>
        <v>Mixing</v>
      </c>
      <c r="J1564" s="0" t="str">
        <f aca="false">INDEX(Laporan!$A$1:$AZ$300,G1564,2)</f>
        <v>600 ml</v>
      </c>
      <c r="K1564" s="0" t="str">
        <f aca="false">INDEX(Laporan!$A$1:$AZ$300,G1564,3)</f>
        <v>Shift 1</v>
      </c>
      <c r="L1564" s="0" t="n">
        <f aca="false">INDEX(Laporan!$A$1:$AZ$300,G1564,4)</f>
        <v>3</v>
      </c>
      <c r="M1564" s="1" t="n">
        <f aca="false">DATE(Pemetaan!$B$1,VALUE(RIGHT(INDEX(Laporan!$A$1:$AZ$300,F1564+1,H1564),2)),VALUE(LEFT(INDEX(Laporan!$A$1:$AZ$300,F1564+1,H1564),2)))</f>
        <v>46099</v>
      </c>
      <c r="N1564" s="0" t="n">
        <f aca="false">INDEX(Laporan!$A$1:$AZ$300,G1564,H1564)</f>
        <v>23</v>
      </c>
      <c r="O1564" s="0" t="n">
        <f aca="false">IF(N1564="","",IFERROR(VALUE(SUBSTITUTE(SUBSTITUTE(N1564," btl",""),".","")),""))</f>
        <v>23</v>
      </c>
      <c r="P1564" s="0" t="str">
        <f aca="false">IF(B1564="PRODUKSI","produced","reject")</f>
        <v>reject</v>
      </c>
    </row>
    <row r="1565" customFormat="false" ht="15" hidden="false" customHeight="false" outlineLevel="0" collapsed="false">
      <c r="A1565" s="0" t="n">
        <v>1564</v>
      </c>
      <c r="B1565" s="0" t="str">
        <f aca="false">IF(A1565&lt;=36*25,"PRODUKSI","REJECT")</f>
        <v>REJECT</v>
      </c>
      <c r="C1565" s="0" t="n">
        <f aca="false">MOD(A1565-1,Pemetaan!$B$3*Pemetaan!$B$4)</f>
        <v>663</v>
      </c>
      <c r="D1565" s="0" t="n">
        <f aca="false">INT(C1565/Pemetaan!$B$4)</f>
        <v>26</v>
      </c>
      <c r="E1565" s="0" t="n">
        <f aca="false">MOD(C1565,Pemetaan!$B$4)</f>
        <v>13</v>
      </c>
      <c r="F1565" s="0" t="n">
        <f aca="false">IF(B1565="PRODUKSI",Pemetaan!$B$5,Pemetaan!$B$6)</f>
        <v>46</v>
      </c>
      <c r="G1565" s="0" t="n">
        <f aca="false">F1565+2+D1565</f>
        <v>74</v>
      </c>
      <c r="H1565" s="0" t="n">
        <f aca="false">Pemetaan!$B$2+E1565</f>
        <v>18</v>
      </c>
      <c r="I1565" s="0" t="str">
        <f aca="false">INDEX(Laporan!$A$1:$AZ$300,G1565,1)</f>
        <v>Mixing</v>
      </c>
      <c r="J1565" s="0" t="str">
        <f aca="false">INDEX(Laporan!$A$1:$AZ$300,G1565,2)</f>
        <v>600 ml</v>
      </c>
      <c r="K1565" s="0" t="str">
        <f aca="false">INDEX(Laporan!$A$1:$AZ$300,G1565,3)</f>
        <v>Shift 1</v>
      </c>
      <c r="L1565" s="0" t="n">
        <f aca="false">INDEX(Laporan!$A$1:$AZ$300,G1565,4)</f>
        <v>3</v>
      </c>
      <c r="M1565" s="1" t="n">
        <f aca="false">DATE(Pemetaan!$B$1,VALUE(RIGHT(INDEX(Laporan!$A$1:$AZ$300,F1565+1,H1565),2)),VALUE(LEFT(INDEX(Laporan!$A$1:$AZ$300,F1565+1,H1565),2)))</f>
        <v>46100</v>
      </c>
      <c r="N1565" s="0" t="n">
        <f aca="false">INDEX(Laporan!$A$1:$AZ$300,G1565,H1565)</f>
        <v>12</v>
      </c>
      <c r="O1565" s="0" t="n">
        <f aca="false">IF(N1565="","",IFERROR(VALUE(SUBSTITUTE(SUBSTITUTE(N1565," btl",""),".","")),""))</f>
        <v>12</v>
      </c>
      <c r="P1565" s="0" t="str">
        <f aca="false">IF(B1565="PRODUKSI","produced","reject")</f>
        <v>reject</v>
      </c>
    </row>
    <row r="1566" customFormat="false" ht="15" hidden="false" customHeight="false" outlineLevel="0" collapsed="false">
      <c r="A1566" s="0" t="n">
        <v>1565</v>
      </c>
      <c r="B1566" s="0" t="str">
        <f aca="false">IF(A1566&lt;=36*25,"PRODUKSI","REJECT")</f>
        <v>REJECT</v>
      </c>
      <c r="C1566" s="0" t="n">
        <f aca="false">MOD(A1566-1,Pemetaan!$B$3*Pemetaan!$B$4)</f>
        <v>664</v>
      </c>
      <c r="D1566" s="0" t="n">
        <f aca="false">INT(C1566/Pemetaan!$B$4)</f>
        <v>26</v>
      </c>
      <c r="E1566" s="0" t="n">
        <f aca="false">MOD(C1566,Pemetaan!$B$4)</f>
        <v>14</v>
      </c>
      <c r="F1566" s="0" t="n">
        <f aca="false">IF(B1566="PRODUKSI",Pemetaan!$B$5,Pemetaan!$B$6)</f>
        <v>46</v>
      </c>
      <c r="G1566" s="0" t="n">
        <f aca="false">F1566+2+D1566</f>
        <v>74</v>
      </c>
      <c r="H1566" s="0" t="n">
        <f aca="false">Pemetaan!$B$2+E1566</f>
        <v>19</v>
      </c>
      <c r="I1566" s="0" t="str">
        <f aca="false">INDEX(Laporan!$A$1:$AZ$300,G1566,1)</f>
        <v>Mixing</v>
      </c>
      <c r="J1566" s="0" t="str">
        <f aca="false">INDEX(Laporan!$A$1:$AZ$300,G1566,2)</f>
        <v>600 ml</v>
      </c>
      <c r="K1566" s="0" t="str">
        <f aca="false">INDEX(Laporan!$A$1:$AZ$300,G1566,3)</f>
        <v>Shift 1</v>
      </c>
      <c r="L1566" s="0" t="n">
        <f aca="false">INDEX(Laporan!$A$1:$AZ$300,G1566,4)</f>
        <v>3</v>
      </c>
      <c r="M1566" s="1" t="n">
        <f aca="false">DATE(Pemetaan!$B$1,VALUE(RIGHT(INDEX(Laporan!$A$1:$AZ$300,F1566+1,H1566),2)),VALUE(LEFT(INDEX(Laporan!$A$1:$AZ$300,F1566+1,H1566),2)))</f>
        <v>46101</v>
      </c>
      <c r="N1566" s="0" t="n">
        <f aca="false">INDEX(Laporan!$A$1:$AZ$300,G1566,H1566)</f>
        <v>14</v>
      </c>
      <c r="O1566" s="0" t="n">
        <f aca="false">IF(N1566="","",IFERROR(VALUE(SUBSTITUTE(SUBSTITUTE(N1566," btl",""),".","")),""))</f>
        <v>14</v>
      </c>
      <c r="P1566" s="0" t="str">
        <f aca="false">IF(B1566="PRODUKSI","produced","reject")</f>
        <v>reject</v>
      </c>
    </row>
    <row r="1567" customFormat="false" ht="15" hidden="false" customHeight="false" outlineLevel="0" collapsed="false">
      <c r="A1567" s="0" t="n">
        <v>1566</v>
      </c>
      <c r="B1567" s="0" t="str">
        <f aca="false">IF(A1567&lt;=36*25,"PRODUKSI","REJECT")</f>
        <v>REJECT</v>
      </c>
      <c r="C1567" s="0" t="n">
        <f aca="false">MOD(A1567-1,Pemetaan!$B$3*Pemetaan!$B$4)</f>
        <v>665</v>
      </c>
      <c r="D1567" s="0" t="n">
        <f aca="false">INT(C1567/Pemetaan!$B$4)</f>
        <v>26</v>
      </c>
      <c r="E1567" s="0" t="n">
        <f aca="false">MOD(C1567,Pemetaan!$B$4)</f>
        <v>15</v>
      </c>
      <c r="F1567" s="0" t="n">
        <f aca="false">IF(B1567="PRODUKSI",Pemetaan!$B$5,Pemetaan!$B$6)</f>
        <v>46</v>
      </c>
      <c r="G1567" s="0" t="n">
        <f aca="false">F1567+2+D1567</f>
        <v>74</v>
      </c>
      <c r="H1567" s="0" t="n">
        <f aca="false">Pemetaan!$B$2+E1567</f>
        <v>20</v>
      </c>
      <c r="I1567" s="0" t="str">
        <f aca="false">INDEX(Laporan!$A$1:$AZ$300,G1567,1)</f>
        <v>Mixing</v>
      </c>
      <c r="J1567" s="0" t="str">
        <f aca="false">INDEX(Laporan!$A$1:$AZ$300,G1567,2)</f>
        <v>600 ml</v>
      </c>
      <c r="K1567" s="0" t="str">
        <f aca="false">INDEX(Laporan!$A$1:$AZ$300,G1567,3)</f>
        <v>Shift 1</v>
      </c>
      <c r="L1567" s="0" t="n">
        <f aca="false">INDEX(Laporan!$A$1:$AZ$300,G1567,4)</f>
        <v>3</v>
      </c>
      <c r="M1567" s="1" t="n">
        <f aca="false">DATE(Pemetaan!$B$1,VALUE(RIGHT(INDEX(Laporan!$A$1:$AZ$300,F1567+1,H1567),2)),VALUE(LEFT(INDEX(Laporan!$A$1:$AZ$300,F1567+1,H1567),2)))</f>
        <v>46104</v>
      </c>
      <c r="N1567" s="0" t="n">
        <f aca="false">INDEX(Laporan!$A$1:$AZ$300,G1567,H1567)</f>
        <v>21</v>
      </c>
      <c r="O1567" s="0" t="n">
        <f aca="false">IF(N1567="","",IFERROR(VALUE(SUBSTITUTE(SUBSTITUTE(N1567," btl",""),".","")),""))</f>
        <v>21</v>
      </c>
      <c r="P1567" s="0" t="str">
        <f aca="false">IF(B1567="PRODUKSI","produced","reject")</f>
        <v>reject</v>
      </c>
    </row>
    <row r="1568" customFormat="false" ht="15" hidden="false" customHeight="false" outlineLevel="0" collapsed="false">
      <c r="A1568" s="0" t="n">
        <v>1567</v>
      </c>
      <c r="B1568" s="0" t="str">
        <f aca="false">IF(A1568&lt;=36*25,"PRODUKSI","REJECT")</f>
        <v>REJECT</v>
      </c>
      <c r="C1568" s="0" t="n">
        <f aca="false">MOD(A1568-1,Pemetaan!$B$3*Pemetaan!$B$4)</f>
        <v>666</v>
      </c>
      <c r="D1568" s="0" t="n">
        <f aca="false">INT(C1568/Pemetaan!$B$4)</f>
        <v>26</v>
      </c>
      <c r="E1568" s="0" t="n">
        <f aca="false">MOD(C1568,Pemetaan!$B$4)</f>
        <v>16</v>
      </c>
      <c r="F1568" s="0" t="n">
        <f aca="false">IF(B1568="PRODUKSI",Pemetaan!$B$5,Pemetaan!$B$6)</f>
        <v>46</v>
      </c>
      <c r="G1568" s="0" t="n">
        <f aca="false">F1568+2+D1568</f>
        <v>74</v>
      </c>
      <c r="H1568" s="0" t="n">
        <f aca="false">Pemetaan!$B$2+E1568</f>
        <v>21</v>
      </c>
      <c r="I1568" s="0" t="str">
        <f aca="false">INDEX(Laporan!$A$1:$AZ$300,G1568,1)</f>
        <v>Mixing</v>
      </c>
      <c r="J1568" s="0" t="str">
        <f aca="false">INDEX(Laporan!$A$1:$AZ$300,G1568,2)</f>
        <v>600 ml</v>
      </c>
      <c r="K1568" s="0" t="str">
        <f aca="false">INDEX(Laporan!$A$1:$AZ$300,G1568,3)</f>
        <v>Shift 1</v>
      </c>
      <c r="L1568" s="0" t="n">
        <f aca="false">INDEX(Laporan!$A$1:$AZ$300,G1568,4)</f>
        <v>3</v>
      </c>
      <c r="M1568" s="1" t="n">
        <f aca="false">DATE(Pemetaan!$B$1,VALUE(RIGHT(INDEX(Laporan!$A$1:$AZ$300,F1568+1,H1568),2)),VALUE(LEFT(INDEX(Laporan!$A$1:$AZ$300,F1568+1,H1568),2)))</f>
        <v>46105</v>
      </c>
      <c r="N1568" s="0" t="n">
        <f aca="false">INDEX(Laporan!$A$1:$AZ$300,G1568,H1568)</f>
        <v>18</v>
      </c>
      <c r="O1568" s="0" t="n">
        <f aca="false">IF(N1568="","",IFERROR(VALUE(SUBSTITUTE(SUBSTITUTE(N1568," btl",""),".","")),""))</f>
        <v>18</v>
      </c>
      <c r="P1568" s="0" t="str">
        <f aca="false">IF(B1568="PRODUKSI","produced","reject")</f>
        <v>reject</v>
      </c>
    </row>
    <row r="1569" customFormat="false" ht="15" hidden="false" customHeight="false" outlineLevel="0" collapsed="false">
      <c r="A1569" s="0" t="n">
        <v>1568</v>
      </c>
      <c r="B1569" s="0" t="str">
        <f aca="false">IF(A1569&lt;=36*25,"PRODUKSI","REJECT")</f>
        <v>REJECT</v>
      </c>
      <c r="C1569" s="0" t="n">
        <f aca="false">MOD(A1569-1,Pemetaan!$B$3*Pemetaan!$B$4)</f>
        <v>667</v>
      </c>
      <c r="D1569" s="0" t="n">
        <f aca="false">INT(C1569/Pemetaan!$B$4)</f>
        <v>26</v>
      </c>
      <c r="E1569" s="0" t="n">
        <f aca="false">MOD(C1569,Pemetaan!$B$4)</f>
        <v>17</v>
      </c>
      <c r="F1569" s="0" t="n">
        <f aca="false">IF(B1569="PRODUKSI",Pemetaan!$B$5,Pemetaan!$B$6)</f>
        <v>46</v>
      </c>
      <c r="G1569" s="0" t="n">
        <f aca="false">F1569+2+D1569</f>
        <v>74</v>
      </c>
      <c r="H1569" s="0" t="n">
        <f aca="false">Pemetaan!$B$2+E1569</f>
        <v>22</v>
      </c>
      <c r="I1569" s="0" t="str">
        <f aca="false">INDEX(Laporan!$A$1:$AZ$300,G1569,1)</f>
        <v>Mixing</v>
      </c>
      <c r="J1569" s="0" t="str">
        <f aca="false">INDEX(Laporan!$A$1:$AZ$300,G1569,2)</f>
        <v>600 ml</v>
      </c>
      <c r="K1569" s="0" t="str">
        <f aca="false">INDEX(Laporan!$A$1:$AZ$300,G1569,3)</f>
        <v>Shift 1</v>
      </c>
      <c r="L1569" s="0" t="n">
        <f aca="false">INDEX(Laporan!$A$1:$AZ$300,G1569,4)</f>
        <v>3</v>
      </c>
      <c r="M1569" s="1" t="n">
        <f aca="false">DATE(Pemetaan!$B$1,VALUE(RIGHT(INDEX(Laporan!$A$1:$AZ$300,F1569+1,H1569),2)),VALUE(LEFT(INDEX(Laporan!$A$1:$AZ$300,F1569+1,H1569),2)))</f>
        <v>46106</v>
      </c>
      <c r="N1569" s="0" t="n">
        <f aca="false">INDEX(Laporan!$A$1:$AZ$300,G1569,H1569)</f>
        <v>15</v>
      </c>
      <c r="O1569" s="0" t="n">
        <f aca="false">IF(N1569="","",IFERROR(VALUE(SUBSTITUTE(SUBSTITUTE(N1569," btl",""),".","")),""))</f>
        <v>15</v>
      </c>
      <c r="P1569" s="0" t="str">
        <f aca="false">IF(B1569="PRODUKSI","produced","reject")</f>
        <v>reject</v>
      </c>
    </row>
    <row r="1570" customFormat="false" ht="15" hidden="false" customHeight="false" outlineLevel="0" collapsed="false">
      <c r="A1570" s="0" t="n">
        <v>1569</v>
      </c>
      <c r="B1570" s="0" t="str">
        <f aca="false">IF(A1570&lt;=36*25,"PRODUKSI","REJECT")</f>
        <v>REJECT</v>
      </c>
      <c r="C1570" s="0" t="n">
        <f aca="false">MOD(A1570-1,Pemetaan!$B$3*Pemetaan!$B$4)</f>
        <v>668</v>
      </c>
      <c r="D1570" s="0" t="n">
        <f aca="false">INT(C1570/Pemetaan!$B$4)</f>
        <v>26</v>
      </c>
      <c r="E1570" s="0" t="n">
        <f aca="false">MOD(C1570,Pemetaan!$B$4)</f>
        <v>18</v>
      </c>
      <c r="F1570" s="0" t="n">
        <f aca="false">IF(B1570="PRODUKSI",Pemetaan!$B$5,Pemetaan!$B$6)</f>
        <v>46</v>
      </c>
      <c r="G1570" s="0" t="n">
        <f aca="false">F1570+2+D1570</f>
        <v>74</v>
      </c>
      <c r="H1570" s="0" t="n">
        <f aca="false">Pemetaan!$B$2+E1570</f>
        <v>23</v>
      </c>
      <c r="I1570" s="0" t="str">
        <f aca="false">INDEX(Laporan!$A$1:$AZ$300,G1570,1)</f>
        <v>Mixing</v>
      </c>
      <c r="J1570" s="0" t="str">
        <f aca="false">INDEX(Laporan!$A$1:$AZ$300,G1570,2)</f>
        <v>600 ml</v>
      </c>
      <c r="K1570" s="0" t="str">
        <f aca="false">INDEX(Laporan!$A$1:$AZ$300,G1570,3)</f>
        <v>Shift 1</v>
      </c>
      <c r="L1570" s="0" t="n">
        <f aca="false">INDEX(Laporan!$A$1:$AZ$300,G1570,4)</f>
        <v>3</v>
      </c>
      <c r="M1570" s="1" t="n">
        <f aca="false">DATE(Pemetaan!$B$1,VALUE(RIGHT(INDEX(Laporan!$A$1:$AZ$300,F1570+1,H1570),2)),VALUE(LEFT(INDEX(Laporan!$A$1:$AZ$300,F1570+1,H1570),2)))</f>
        <v>46107</v>
      </c>
      <c r="N1570" s="0" t="n">
        <f aca="false">INDEX(Laporan!$A$1:$AZ$300,G1570,H1570)</f>
        <v>13</v>
      </c>
      <c r="O1570" s="0" t="n">
        <f aca="false">IF(N1570="","",IFERROR(VALUE(SUBSTITUTE(SUBSTITUTE(N1570," btl",""),".","")),""))</f>
        <v>13</v>
      </c>
      <c r="P1570" s="0" t="str">
        <f aca="false">IF(B1570="PRODUKSI","produced","reject")</f>
        <v>reject</v>
      </c>
    </row>
    <row r="1571" customFormat="false" ht="15" hidden="false" customHeight="false" outlineLevel="0" collapsed="false">
      <c r="A1571" s="0" t="n">
        <v>1570</v>
      </c>
      <c r="B1571" s="0" t="str">
        <f aca="false">IF(A1571&lt;=36*25,"PRODUKSI","REJECT")</f>
        <v>REJECT</v>
      </c>
      <c r="C1571" s="0" t="n">
        <f aca="false">MOD(A1571-1,Pemetaan!$B$3*Pemetaan!$B$4)</f>
        <v>669</v>
      </c>
      <c r="D1571" s="0" t="n">
        <f aca="false">INT(C1571/Pemetaan!$B$4)</f>
        <v>26</v>
      </c>
      <c r="E1571" s="0" t="n">
        <f aca="false">MOD(C1571,Pemetaan!$B$4)</f>
        <v>19</v>
      </c>
      <c r="F1571" s="0" t="n">
        <f aca="false">IF(B1571="PRODUKSI",Pemetaan!$B$5,Pemetaan!$B$6)</f>
        <v>46</v>
      </c>
      <c r="G1571" s="0" t="n">
        <f aca="false">F1571+2+D1571</f>
        <v>74</v>
      </c>
      <c r="H1571" s="0" t="n">
        <f aca="false">Pemetaan!$B$2+E1571</f>
        <v>24</v>
      </c>
      <c r="I1571" s="0" t="str">
        <f aca="false">INDEX(Laporan!$A$1:$AZ$300,G1571,1)</f>
        <v>Mixing</v>
      </c>
      <c r="J1571" s="0" t="str">
        <f aca="false">INDEX(Laporan!$A$1:$AZ$300,G1571,2)</f>
        <v>600 ml</v>
      </c>
      <c r="K1571" s="0" t="str">
        <f aca="false">INDEX(Laporan!$A$1:$AZ$300,G1571,3)</f>
        <v>Shift 1</v>
      </c>
      <c r="L1571" s="0" t="n">
        <f aca="false">INDEX(Laporan!$A$1:$AZ$300,G1571,4)</f>
        <v>3</v>
      </c>
      <c r="M1571" s="1" t="n">
        <f aca="false">DATE(Pemetaan!$B$1,VALUE(RIGHT(INDEX(Laporan!$A$1:$AZ$300,F1571+1,H1571),2)),VALUE(LEFT(INDEX(Laporan!$A$1:$AZ$300,F1571+1,H1571),2)))</f>
        <v>46108</v>
      </c>
      <c r="N1571" s="0" t="n">
        <f aca="false">INDEX(Laporan!$A$1:$AZ$300,G1571,H1571)</f>
        <v>18</v>
      </c>
      <c r="O1571" s="0" t="n">
        <f aca="false">IF(N1571="","",IFERROR(VALUE(SUBSTITUTE(SUBSTITUTE(N1571," btl",""),".","")),""))</f>
        <v>18</v>
      </c>
      <c r="P1571" s="0" t="str">
        <f aca="false">IF(B1571="PRODUKSI","produced","reject")</f>
        <v>reject</v>
      </c>
    </row>
    <row r="1572" customFormat="false" ht="15" hidden="false" customHeight="false" outlineLevel="0" collapsed="false">
      <c r="A1572" s="0" t="n">
        <v>1571</v>
      </c>
      <c r="B1572" s="0" t="str">
        <f aca="false">IF(A1572&lt;=36*25,"PRODUKSI","REJECT")</f>
        <v>REJECT</v>
      </c>
      <c r="C1572" s="0" t="n">
        <f aca="false">MOD(A1572-1,Pemetaan!$B$3*Pemetaan!$B$4)</f>
        <v>670</v>
      </c>
      <c r="D1572" s="0" t="n">
        <f aca="false">INT(C1572/Pemetaan!$B$4)</f>
        <v>26</v>
      </c>
      <c r="E1572" s="0" t="n">
        <f aca="false">MOD(C1572,Pemetaan!$B$4)</f>
        <v>20</v>
      </c>
      <c r="F1572" s="0" t="n">
        <f aca="false">IF(B1572="PRODUKSI",Pemetaan!$B$5,Pemetaan!$B$6)</f>
        <v>46</v>
      </c>
      <c r="G1572" s="0" t="n">
        <f aca="false">F1572+2+D1572</f>
        <v>74</v>
      </c>
      <c r="H1572" s="0" t="n">
        <f aca="false">Pemetaan!$B$2+E1572</f>
        <v>25</v>
      </c>
      <c r="I1572" s="0" t="str">
        <f aca="false">INDEX(Laporan!$A$1:$AZ$300,G1572,1)</f>
        <v>Mixing</v>
      </c>
      <c r="J1572" s="0" t="str">
        <f aca="false">INDEX(Laporan!$A$1:$AZ$300,G1572,2)</f>
        <v>600 ml</v>
      </c>
      <c r="K1572" s="0" t="str">
        <f aca="false">INDEX(Laporan!$A$1:$AZ$300,G1572,3)</f>
        <v>Shift 1</v>
      </c>
      <c r="L1572" s="0" t="n">
        <f aca="false">INDEX(Laporan!$A$1:$AZ$300,G1572,4)</f>
        <v>3</v>
      </c>
      <c r="M1572" s="1" t="n">
        <f aca="false">DATE(Pemetaan!$B$1,VALUE(RIGHT(INDEX(Laporan!$A$1:$AZ$300,F1572+1,H1572),2)),VALUE(LEFT(INDEX(Laporan!$A$1:$AZ$300,F1572+1,H1572),2)))</f>
        <v>46111</v>
      </c>
      <c r="N1572" s="0" t="n">
        <f aca="false">INDEX(Laporan!$A$1:$AZ$300,G1572,H1572)</f>
        <v>12</v>
      </c>
      <c r="O1572" s="0" t="n">
        <f aca="false">IF(N1572="","",IFERROR(VALUE(SUBSTITUTE(SUBSTITUTE(N1572," btl",""),".","")),""))</f>
        <v>12</v>
      </c>
      <c r="P1572" s="0" t="str">
        <f aca="false">IF(B1572="PRODUKSI","produced","reject")</f>
        <v>reject</v>
      </c>
    </row>
    <row r="1573" customFormat="false" ht="15" hidden="false" customHeight="false" outlineLevel="0" collapsed="false">
      <c r="A1573" s="0" t="n">
        <v>1572</v>
      </c>
      <c r="B1573" s="0" t="str">
        <f aca="false">IF(A1573&lt;=36*25,"PRODUKSI","REJECT")</f>
        <v>REJECT</v>
      </c>
      <c r="C1573" s="0" t="n">
        <f aca="false">MOD(A1573-1,Pemetaan!$B$3*Pemetaan!$B$4)</f>
        <v>671</v>
      </c>
      <c r="D1573" s="0" t="n">
        <f aca="false">INT(C1573/Pemetaan!$B$4)</f>
        <v>26</v>
      </c>
      <c r="E1573" s="0" t="n">
        <f aca="false">MOD(C1573,Pemetaan!$B$4)</f>
        <v>21</v>
      </c>
      <c r="F1573" s="0" t="n">
        <f aca="false">IF(B1573="PRODUKSI",Pemetaan!$B$5,Pemetaan!$B$6)</f>
        <v>46</v>
      </c>
      <c r="G1573" s="0" t="n">
        <f aca="false">F1573+2+D1573</f>
        <v>74</v>
      </c>
      <c r="H1573" s="0" t="n">
        <f aca="false">Pemetaan!$B$2+E1573</f>
        <v>26</v>
      </c>
      <c r="I1573" s="0" t="str">
        <f aca="false">INDEX(Laporan!$A$1:$AZ$300,G1573,1)</f>
        <v>Mixing</v>
      </c>
      <c r="J1573" s="0" t="str">
        <f aca="false">INDEX(Laporan!$A$1:$AZ$300,G1573,2)</f>
        <v>600 ml</v>
      </c>
      <c r="K1573" s="0" t="str">
        <f aca="false">INDEX(Laporan!$A$1:$AZ$300,G1573,3)</f>
        <v>Shift 1</v>
      </c>
      <c r="L1573" s="0" t="n">
        <f aca="false">INDEX(Laporan!$A$1:$AZ$300,G1573,4)</f>
        <v>3</v>
      </c>
      <c r="M1573" s="1" t="n">
        <f aca="false">DATE(Pemetaan!$B$1,VALUE(RIGHT(INDEX(Laporan!$A$1:$AZ$300,F1573+1,H1573),2)),VALUE(LEFT(INDEX(Laporan!$A$1:$AZ$300,F1573+1,H1573),2)))</f>
        <v>46112</v>
      </c>
      <c r="N1573" s="0" t="n">
        <f aca="false">INDEX(Laporan!$A$1:$AZ$300,G1573,H1573)</f>
        <v>22</v>
      </c>
      <c r="O1573" s="0" t="n">
        <f aca="false">IF(N1573="","",IFERROR(VALUE(SUBSTITUTE(SUBSTITUTE(N1573," btl",""),".","")),""))</f>
        <v>22</v>
      </c>
      <c r="P1573" s="0" t="str">
        <f aca="false">IF(B1573="PRODUKSI","produced","reject")</f>
        <v>reject</v>
      </c>
    </row>
    <row r="1574" customFormat="false" ht="15" hidden="false" customHeight="false" outlineLevel="0" collapsed="false">
      <c r="A1574" s="0" t="n">
        <v>1573</v>
      </c>
      <c r="B1574" s="0" t="str">
        <f aca="false">IF(A1574&lt;=36*25,"PRODUKSI","REJECT")</f>
        <v>REJECT</v>
      </c>
      <c r="C1574" s="0" t="n">
        <f aca="false">MOD(A1574-1,Pemetaan!$B$3*Pemetaan!$B$4)</f>
        <v>672</v>
      </c>
      <c r="D1574" s="0" t="n">
        <f aca="false">INT(C1574/Pemetaan!$B$4)</f>
        <v>26</v>
      </c>
      <c r="E1574" s="0" t="n">
        <f aca="false">MOD(C1574,Pemetaan!$B$4)</f>
        <v>22</v>
      </c>
      <c r="F1574" s="0" t="n">
        <f aca="false">IF(B1574="PRODUKSI",Pemetaan!$B$5,Pemetaan!$B$6)</f>
        <v>46</v>
      </c>
      <c r="G1574" s="0" t="n">
        <f aca="false">F1574+2+D1574</f>
        <v>74</v>
      </c>
      <c r="H1574" s="0" t="n">
        <f aca="false">Pemetaan!$B$2+E1574</f>
        <v>27</v>
      </c>
      <c r="I1574" s="0" t="str">
        <f aca="false">INDEX(Laporan!$A$1:$AZ$300,G1574,1)</f>
        <v>Mixing</v>
      </c>
      <c r="J1574" s="0" t="str">
        <f aca="false">INDEX(Laporan!$A$1:$AZ$300,G1574,2)</f>
        <v>600 ml</v>
      </c>
      <c r="K1574" s="0" t="str">
        <f aca="false">INDEX(Laporan!$A$1:$AZ$300,G1574,3)</f>
        <v>Shift 1</v>
      </c>
      <c r="L1574" s="0" t="n">
        <f aca="false">INDEX(Laporan!$A$1:$AZ$300,G1574,4)</f>
        <v>3</v>
      </c>
      <c r="M1574" s="1" t="n">
        <f aca="false">DATE(Pemetaan!$B$1,VALUE(RIGHT(INDEX(Laporan!$A$1:$AZ$300,F1574+1,H1574),2)),VALUE(LEFT(INDEX(Laporan!$A$1:$AZ$300,F1574+1,H1574),2)))</f>
        <v>46113</v>
      </c>
      <c r="N1574" s="0" t="n">
        <f aca="false">INDEX(Laporan!$A$1:$AZ$300,G1574,H1574)</f>
        <v>9</v>
      </c>
      <c r="O1574" s="0" t="n">
        <f aca="false">IF(N1574="","",IFERROR(VALUE(SUBSTITUTE(SUBSTITUTE(N1574," btl",""),".","")),""))</f>
        <v>9</v>
      </c>
      <c r="P1574" s="0" t="str">
        <f aca="false">IF(B1574="PRODUKSI","produced","reject")</f>
        <v>reject</v>
      </c>
    </row>
    <row r="1575" customFormat="false" ht="15" hidden="false" customHeight="false" outlineLevel="0" collapsed="false">
      <c r="A1575" s="0" t="n">
        <v>1574</v>
      </c>
      <c r="B1575" s="0" t="str">
        <f aca="false">IF(A1575&lt;=36*25,"PRODUKSI","REJECT")</f>
        <v>REJECT</v>
      </c>
      <c r="C1575" s="0" t="n">
        <f aca="false">MOD(A1575-1,Pemetaan!$B$3*Pemetaan!$B$4)</f>
        <v>673</v>
      </c>
      <c r="D1575" s="0" t="n">
        <f aca="false">INT(C1575/Pemetaan!$B$4)</f>
        <v>26</v>
      </c>
      <c r="E1575" s="0" t="n">
        <f aca="false">MOD(C1575,Pemetaan!$B$4)</f>
        <v>23</v>
      </c>
      <c r="F1575" s="0" t="n">
        <f aca="false">IF(B1575="PRODUKSI",Pemetaan!$B$5,Pemetaan!$B$6)</f>
        <v>46</v>
      </c>
      <c r="G1575" s="0" t="n">
        <f aca="false">F1575+2+D1575</f>
        <v>74</v>
      </c>
      <c r="H1575" s="0" t="n">
        <f aca="false">Pemetaan!$B$2+E1575</f>
        <v>28</v>
      </c>
      <c r="I1575" s="0" t="str">
        <f aca="false">INDEX(Laporan!$A$1:$AZ$300,G1575,1)</f>
        <v>Mixing</v>
      </c>
      <c r="J1575" s="0" t="str">
        <f aca="false">INDEX(Laporan!$A$1:$AZ$300,G1575,2)</f>
        <v>600 ml</v>
      </c>
      <c r="K1575" s="0" t="str">
        <f aca="false">INDEX(Laporan!$A$1:$AZ$300,G1575,3)</f>
        <v>Shift 1</v>
      </c>
      <c r="L1575" s="0" t="n">
        <f aca="false">INDEX(Laporan!$A$1:$AZ$300,G1575,4)</f>
        <v>3</v>
      </c>
      <c r="M1575" s="1" t="n">
        <f aca="false">DATE(Pemetaan!$B$1,VALUE(RIGHT(INDEX(Laporan!$A$1:$AZ$300,F1575+1,H1575),2)),VALUE(LEFT(INDEX(Laporan!$A$1:$AZ$300,F1575+1,H1575),2)))</f>
        <v>46114</v>
      </c>
      <c r="N1575" s="0" t="n">
        <f aca="false">INDEX(Laporan!$A$1:$AZ$300,G1575,H1575)</f>
        <v>19</v>
      </c>
      <c r="O1575" s="0" t="n">
        <f aca="false">IF(N1575="","",IFERROR(VALUE(SUBSTITUTE(SUBSTITUTE(N1575," btl",""),".","")),""))</f>
        <v>19</v>
      </c>
      <c r="P1575" s="0" t="str">
        <f aca="false">IF(B1575="PRODUKSI","produced","reject")</f>
        <v>reject</v>
      </c>
    </row>
    <row r="1576" customFormat="false" ht="15" hidden="false" customHeight="false" outlineLevel="0" collapsed="false">
      <c r="A1576" s="0" t="n">
        <v>1575</v>
      </c>
      <c r="B1576" s="0" t="str">
        <f aca="false">IF(A1576&lt;=36*25,"PRODUKSI","REJECT")</f>
        <v>REJECT</v>
      </c>
      <c r="C1576" s="0" t="n">
        <f aca="false">MOD(A1576-1,Pemetaan!$B$3*Pemetaan!$B$4)</f>
        <v>674</v>
      </c>
      <c r="D1576" s="0" t="n">
        <f aca="false">INT(C1576/Pemetaan!$B$4)</f>
        <v>26</v>
      </c>
      <c r="E1576" s="0" t="n">
        <f aca="false">MOD(C1576,Pemetaan!$B$4)</f>
        <v>24</v>
      </c>
      <c r="F1576" s="0" t="n">
        <f aca="false">IF(B1576="PRODUKSI",Pemetaan!$B$5,Pemetaan!$B$6)</f>
        <v>46</v>
      </c>
      <c r="G1576" s="0" t="n">
        <f aca="false">F1576+2+D1576</f>
        <v>74</v>
      </c>
      <c r="H1576" s="0" t="n">
        <f aca="false">Pemetaan!$B$2+E1576</f>
        <v>29</v>
      </c>
      <c r="I1576" s="0" t="str">
        <f aca="false">INDEX(Laporan!$A$1:$AZ$300,G1576,1)</f>
        <v>Mixing</v>
      </c>
      <c r="J1576" s="0" t="str">
        <f aca="false">INDEX(Laporan!$A$1:$AZ$300,G1576,2)</f>
        <v>600 ml</v>
      </c>
      <c r="K1576" s="0" t="str">
        <f aca="false">INDEX(Laporan!$A$1:$AZ$300,G1576,3)</f>
        <v>Shift 1</v>
      </c>
      <c r="L1576" s="0" t="n">
        <f aca="false">INDEX(Laporan!$A$1:$AZ$300,G1576,4)</f>
        <v>3</v>
      </c>
      <c r="M1576" s="1" t="n">
        <f aca="false">DATE(Pemetaan!$B$1,VALUE(RIGHT(INDEX(Laporan!$A$1:$AZ$300,F1576+1,H1576),2)),VALUE(LEFT(INDEX(Laporan!$A$1:$AZ$300,F1576+1,H1576),2)))</f>
        <v>46115</v>
      </c>
      <c r="N1576" s="0" t="n">
        <f aca="false">INDEX(Laporan!$A$1:$AZ$300,G1576,H1576)</f>
        <v>11</v>
      </c>
      <c r="O1576" s="0" t="n">
        <f aca="false">IF(N1576="","",IFERROR(VALUE(SUBSTITUTE(SUBSTITUTE(N1576," btl",""),".","")),""))</f>
        <v>11</v>
      </c>
      <c r="P1576" s="0" t="str">
        <f aca="false">IF(B1576="PRODUKSI","produced","reject")</f>
        <v>reject</v>
      </c>
    </row>
    <row r="1577" customFormat="false" ht="15" hidden="false" customHeight="false" outlineLevel="0" collapsed="false">
      <c r="A1577" s="0" t="n">
        <v>1576</v>
      </c>
      <c r="B1577" s="0" t="str">
        <f aca="false">IF(A1577&lt;=36*25,"PRODUKSI","REJECT")</f>
        <v>REJECT</v>
      </c>
      <c r="C1577" s="0" t="n">
        <f aca="false">MOD(A1577-1,Pemetaan!$B$3*Pemetaan!$B$4)</f>
        <v>675</v>
      </c>
      <c r="D1577" s="0" t="n">
        <f aca="false">INT(C1577/Pemetaan!$B$4)</f>
        <v>27</v>
      </c>
      <c r="E1577" s="0" t="n">
        <f aca="false">MOD(C1577,Pemetaan!$B$4)</f>
        <v>0</v>
      </c>
      <c r="F1577" s="0" t="n">
        <f aca="false">IF(B1577="PRODUKSI",Pemetaan!$B$5,Pemetaan!$B$6)</f>
        <v>46</v>
      </c>
      <c r="G1577" s="0" t="n">
        <f aca="false">F1577+2+D1577</f>
        <v>75</v>
      </c>
      <c r="H1577" s="0" t="n">
        <f aca="false">Pemetaan!$B$2+E1577</f>
        <v>5</v>
      </c>
      <c r="I1577" s="0" t="str">
        <f aca="false">INDEX(Laporan!$A$1:$AZ$300,G1577,1)</f>
        <v>Mixing</v>
      </c>
      <c r="J1577" s="0" t="str">
        <f aca="false">INDEX(Laporan!$A$1:$AZ$300,G1577,2)</f>
        <v>600 ml</v>
      </c>
      <c r="K1577" s="0" t="str">
        <f aca="false">INDEX(Laporan!$A$1:$AZ$300,G1577,3)</f>
        <v>Shift 2</v>
      </c>
      <c r="L1577" s="0" t="n">
        <f aca="false">INDEX(Laporan!$A$1:$AZ$300,G1577,4)</f>
        <v>1</v>
      </c>
      <c r="M1577" s="1" t="n">
        <f aca="false">DATE(Pemetaan!$B$1,VALUE(RIGHT(INDEX(Laporan!$A$1:$AZ$300,F1577+1,H1577),2)),VALUE(LEFT(INDEX(Laporan!$A$1:$AZ$300,F1577+1,H1577),2)))</f>
        <v>46083</v>
      </c>
      <c r="N1577" s="0" t="n">
        <f aca="false">INDEX(Laporan!$A$1:$AZ$300,G1577,H1577)</f>
        <v>11</v>
      </c>
      <c r="O1577" s="0" t="n">
        <f aca="false">IF(N1577="","",IFERROR(VALUE(SUBSTITUTE(SUBSTITUTE(N1577," btl",""),".","")),""))</f>
        <v>11</v>
      </c>
      <c r="P1577" s="0" t="str">
        <f aca="false">IF(B1577="PRODUKSI","produced","reject")</f>
        <v>reject</v>
      </c>
    </row>
    <row r="1578" customFormat="false" ht="15" hidden="false" customHeight="false" outlineLevel="0" collapsed="false">
      <c r="A1578" s="0" t="n">
        <v>1577</v>
      </c>
      <c r="B1578" s="0" t="str">
        <f aca="false">IF(A1578&lt;=36*25,"PRODUKSI","REJECT")</f>
        <v>REJECT</v>
      </c>
      <c r="C1578" s="0" t="n">
        <f aca="false">MOD(A1578-1,Pemetaan!$B$3*Pemetaan!$B$4)</f>
        <v>676</v>
      </c>
      <c r="D1578" s="0" t="n">
        <f aca="false">INT(C1578/Pemetaan!$B$4)</f>
        <v>27</v>
      </c>
      <c r="E1578" s="0" t="n">
        <f aca="false">MOD(C1578,Pemetaan!$B$4)</f>
        <v>1</v>
      </c>
      <c r="F1578" s="0" t="n">
        <f aca="false">IF(B1578="PRODUKSI",Pemetaan!$B$5,Pemetaan!$B$6)</f>
        <v>46</v>
      </c>
      <c r="G1578" s="0" t="n">
        <f aca="false">F1578+2+D1578</f>
        <v>75</v>
      </c>
      <c r="H1578" s="0" t="n">
        <f aca="false">Pemetaan!$B$2+E1578</f>
        <v>6</v>
      </c>
      <c r="I1578" s="0" t="str">
        <f aca="false">INDEX(Laporan!$A$1:$AZ$300,G1578,1)</f>
        <v>Mixing</v>
      </c>
      <c r="J1578" s="0" t="str">
        <f aca="false">INDEX(Laporan!$A$1:$AZ$300,G1578,2)</f>
        <v>600 ml</v>
      </c>
      <c r="K1578" s="0" t="str">
        <f aca="false">INDEX(Laporan!$A$1:$AZ$300,G1578,3)</f>
        <v>Shift 2</v>
      </c>
      <c r="L1578" s="0" t="n">
        <f aca="false">INDEX(Laporan!$A$1:$AZ$300,G1578,4)</f>
        <v>1</v>
      </c>
      <c r="M1578" s="1" t="n">
        <f aca="false">DATE(Pemetaan!$B$1,VALUE(RIGHT(INDEX(Laporan!$A$1:$AZ$300,F1578+1,H1578),2)),VALUE(LEFT(INDEX(Laporan!$A$1:$AZ$300,F1578+1,H1578),2)))</f>
        <v>46084</v>
      </c>
      <c r="N1578" s="0" t="n">
        <f aca="false">INDEX(Laporan!$A$1:$AZ$300,G1578,H1578)</f>
        <v>11</v>
      </c>
      <c r="O1578" s="0" t="n">
        <f aca="false">IF(N1578="","",IFERROR(VALUE(SUBSTITUTE(SUBSTITUTE(N1578," btl",""),".","")),""))</f>
        <v>11</v>
      </c>
      <c r="P1578" s="0" t="str">
        <f aca="false">IF(B1578="PRODUKSI","produced","reject")</f>
        <v>reject</v>
      </c>
    </row>
    <row r="1579" customFormat="false" ht="15" hidden="false" customHeight="false" outlineLevel="0" collapsed="false">
      <c r="A1579" s="0" t="n">
        <v>1578</v>
      </c>
      <c r="B1579" s="0" t="str">
        <f aca="false">IF(A1579&lt;=36*25,"PRODUKSI","REJECT")</f>
        <v>REJECT</v>
      </c>
      <c r="C1579" s="0" t="n">
        <f aca="false">MOD(A1579-1,Pemetaan!$B$3*Pemetaan!$B$4)</f>
        <v>677</v>
      </c>
      <c r="D1579" s="0" t="n">
        <f aca="false">INT(C1579/Pemetaan!$B$4)</f>
        <v>27</v>
      </c>
      <c r="E1579" s="0" t="n">
        <f aca="false">MOD(C1579,Pemetaan!$B$4)</f>
        <v>2</v>
      </c>
      <c r="F1579" s="0" t="n">
        <f aca="false">IF(B1579="PRODUKSI",Pemetaan!$B$5,Pemetaan!$B$6)</f>
        <v>46</v>
      </c>
      <c r="G1579" s="0" t="n">
        <f aca="false">F1579+2+D1579</f>
        <v>75</v>
      </c>
      <c r="H1579" s="0" t="n">
        <f aca="false">Pemetaan!$B$2+E1579</f>
        <v>7</v>
      </c>
      <c r="I1579" s="0" t="str">
        <f aca="false">INDEX(Laporan!$A$1:$AZ$300,G1579,1)</f>
        <v>Mixing</v>
      </c>
      <c r="J1579" s="0" t="str">
        <f aca="false">INDEX(Laporan!$A$1:$AZ$300,G1579,2)</f>
        <v>600 ml</v>
      </c>
      <c r="K1579" s="0" t="str">
        <f aca="false">INDEX(Laporan!$A$1:$AZ$300,G1579,3)</f>
        <v>Shift 2</v>
      </c>
      <c r="L1579" s="0" t="n">
        <f aca="false">INDEX(Laporan!$A$1:$AZ$300,G1579,4)</f>
        <v>1</v>
      </c>
      <c r="M1579" s="1" t="n">
        <f aca="false">DATE(Pemetaan!$B$1,VALUE(RIGHT(INDEX(Laporan!$A$1:$AZ$300,F1579+1,H1579),2)),VALUE(LEFT(INDEX(Laporan!$A$1:$AZ$300,F1579+1,H1579),2)))</f>
        <v>46085</v>
      </c>
      <c r="N1579" s="0" t="n">
        <f aca="false">INDEX(Laporan!$A$1:$AZ$300,G1579,H1579)</f>
        <v>17</v>
      </c>
      <c r="O1579" s="0" t="n">
        <f aca="false">IF(N1579="","",IFERROR(VALUE(SUBSTITUTE(SUBSTITUTE(N1579," btl",""),".","")),""))</f>
        <v>17</v>
      </c>
      <c r="P1579" s="0" t="str">
        <f aca="false">IF(B1579="PRODUKSI","produced","reject")</f>
        <v>reject</v>
      </c>
    </row>
    <row r="1580" customFormat="false" ht="15" hidden="false" customHeight="false" outlineLevel="0" collapsed="false">
      <c r="A1580" s="0" t="n">
        <v>1579</v>
      </c>
      <c r="B1580" s="0" t="str">
        <f aca="false">IF(A1580&lt;=36*25,"PRODUKSI","REJECT")</f>
        <v>REJECT</v>
      </c>
      <c r="C1580" s="0" t="n">
        <f aca="false">MOD(A1580-1,Pemetaan!$B$3*Pemetaan!$B$4)</f>
        <v>678</v>
      </c>
      <c r="D1580" s="0" t="n">
        <f aca="false">INT(C1580/Pemetaan!$B$4)</f>
        <v>27</v>
      </c>
      <c r="E1580" s="0" t="n">
        <f aca="false">MOD(C1580,Pemetaan!$B$4)</f>
        <v>3</v>
      </c>
      <c r="F1580" s="0" t="n">
        <f aca="false">IF(B1580="PRODUKSI",Pemetaan!$B$5,Pemetaan!$B$6)</f>
        <v>46</v>
      </c>
      <c r="G1580" s="0" t="n">
        <f aca="false">F1580+2+D1580</f>
        <v>75</v>
      </c>
      <c r="H1580" s="0" t="n">
        <f aca="false">Pemetaan!$B$2+E1580</f>
        <v>8</v>
      </c>
      <c r="I1580" s="0" t="str">
        <f aca="false">INDEX(Laporan!$A$1:$AZ$300,G1580,1)</f>
        <v>Mixing</v>
      </c>
      <c r="J1580" s="0" t="str">
        <f aca="false">INDEX(Laporan!$A$1:$AZ$300,G1580,2)</f>
        <v>600 ml</v>
      </c>
      <c r="K1580" s="0" t="str">
        <f aca="false">INDEX(Laporan!$A$1:$AZ$300,G1580,3)</f>
        <v>Shift 2</v>
      </c>
      <c r="L1580" s="0" t="n">
        <f aca="false">INDEX(Laporan!$A$1:$AZ$300,G1580,4)</f>
        <v>1</v>
      </c>
      <c r="M1580" s="1" t="n">
        <f aca="false">DATE(Pemetaan!$B$1,VALUE(RIGHT(INDEX(Laporan!$A$1:$AZ$300,F1580+1,H1580),2)),VALUE(LEFT(INDEX(Laporan!$A$1:$AZ$300,F1580+1,H1580),2)))</f>
        <v>46086</v>
      </c>
      <c r="N1580" s="0" t="n">
        <f aca="false">INDEX(Laporan!$A$1:$AZ$300,G1580,H1580)</f>
        <v>23</v>
      </c>
      <c r="O1580" s="0" t="n">
        <f aca="false">IF(N1580="","",IFERROR(VALUE(SUBSTITUTE(SUBSTITUTE(N1580," btl",""),".","")),""))</f>
        <v>23</v>
      </c>
      <c r="P1580" s="0" t="str">
        <f aca="false">IF(B1580="PRODUKSI","produced","reject")</f>
        <v>reject</v>
      </c>
    </row>
    <row r="1581" customFormat="false" ht="15" hidden="false" customHeight="false" outlineLevel="0" collapsed="false">
      <c r="A1581" s="0" t="n">
        <v>1580</v>
      </c>
      <c r="B1581" s="0" t="str">
        <f aca="false">IF(A1581&lt;=36*25,"PRODUKSI","REJECT")</f>
        <v>REJECT</v>
      </c>
      <c r="C1581" s="0" t="n">
        <f aca="false">MOD(A1581-1,Pemetaan!$B$3*Pemetaan!$B$4)</f>
        <v>679</v>
      </c>
      <c r="D1581" s="0" t="n">
        <f aca="false">INT(C1581/Pemetaan!$B$4)</f>
        <v>27</v>
      </c>
      <c r="E1581" s="0" t="n">
        <f aca="false">MOD(C1581,Pemetaan!$B$4)</f>
        <v>4</v>
      </c>
      <c r="F1581" s="0" t="n">
        <f aca="false">IF(B1581="PRODUKSI",Pemetaan!$B$5,Pemetaan!$B$6)</f>
        <v>46</v>
      </c>
      <c r="G1581" s="0" t="n">
        <f aca="false">F1581+2+D1581</f>
        <v>75</v>
      </c>
      <c r="H1581" s="0" t="n">
        <f aca="false">Pemetaan!$B$2+E1581</f>
        <v>9</v>
      </c>
      <c r="I1581" s="0" t="str">
        <f aca="false">INDEX(Laporan!$A$1:$AZ$300,G1581,1)</f>
        <v>Mixing</v>
      </c>
      <c r="J1581" s="0" t="str">
        <f aca="false">INDEX(Laporan!$A$1:$AZ$300,G1581,2)</f>
        <v>600 ml</v>
      </c>
      <c r="K1581" s="0" t="str">
        <f aca="false">INDEX(Laporan!$A$1:$AZ$300,G1581,3)</f>
        <v>Shift 2</v>
      </c>
      <c r="L1581" s="0" t="n">
        <f aca="false">INDEX(Laporan!$A$1:$AZ$300,G1581,4)</f>
        <v>1</v>
      </c>
      <c r="M1581" s="1" t="n">
        <f aca="false">DATE(Pemetaan!$B$1,VALUE(RIGHT(INDEX(Laporan!$A$1:$AZ$300,F1581+1,H1581),2)),VALUE(LEFT(INDEX(Laporan!$A$1:$AZ$300,F1581+1,H1581),2)))</f>
        <v>46087</v>
      </c>
      <c r="N1581" s="0" t="n">
        <f aca="false">INDEX(Laporan!$A$1:$AZ$300,G1581,H1581)</f>
        <v>16</v>
      </c>
      <c r="O1581" s="0" t="n">
        <f aca="false">IF(N1581="","",IFERROR(VALUE(SUBSTITUTE(SUBSTITUTE(N1581," btl",""),".","")),""))</f>
        <v>16</v>
      </c>
      <c r="P1581" s="0" t="str">
        <f aca="false">IF(B1581="PRODUKSI","produced","reject")</f>
        <v>reject</v>
      </c>
    </row>
    <row r="1582" customFormat="false" ht="15" hidden="false" customHeight="false" outlineLevel="0" collapsed="false">
      <c r="A1582" s="0" t="n">
        <v>1581</v>
      </c>
      <c r="B1582" s="0" t="str">
        <f aca="false">IF(A1582&lt;=36*25,"PRODUKSI","REJECT")</f>
        <v>REJECT</v>
      </c>
      <c r="C1582" s="0" t="n">
        <f aca="false">MOD(A1582-1,Pemetaan!$B$3*Pemetaan!$B$4)</f>
        <v>680</v>
      </c>
      <c r="D1582" s="0" t="n">
        <f aca="false">INT(C1582/Pemetaan!$B$4)</f>
        <v>27</v>
      </c>
      <c r="E1582" s="0" t="n">
        <f aca="false">MOD(C1582,Pemetaan!$B$4)</f>
        <v>5</v>
      </c>
      <c r="F1582" s="0" t="n">
        <f aca="false">IF(B1582="PRODUKSI",Pemetaan!$B$5,Pemetaan!$B$6)</f>
        <v>46</v>
      </c>
      <c r="G1582" s="0" t="n">
        <f aca="false">F1582+2+D1582</f>
        <v>75</v>
      </c>
      <c r="H1582" s="0" t="n">
        <f aca="false">Pemetaan!$B$2+E1582</f>
        <v>10</v>
      </c>
      <c r="I1582" s="0" t="str">
        <f aca="false">INDEX(Laporan!$A$1:$AZ$300,G1582,1)</f>
        <v>Mixing</v>
      </c>
      <c r="J1582" s="0" t="str">
        <f aca="false">INDEX(Laporan!$A$1:$AZ$300,G1582,2)</f>
        <v>600 ml</v>
      </c>
      <c r="K1582" s="0" t="str">
        <f aca="false">INDEX(Laporan!$A$1:$AZ$300,G1582,3)</f>
        <v>Shift 2</v>
      </c>
      <c r="L1582" s="0" t="n">
        <f aca="false">INDEX(Laporan!$A$1:$AZ$300,G1582,4)</f>
        <v>1</v>
      </c>
      <c r="M1582" s="1" t="n">
        <f aca="false">DATE(Pemetaan!$B$1,VALUE(RIGHT(INDEX(Laporan!$A$1:$AZ$300,F1582+1,H1582),2)),VALUE(LEFT(INDEX(Laporan!$A$1:$AZ$300,F1582+1,H1582),2)))</f>
        <v>46090</v>
      </c>
      <c r="N1582" s="0" t="n">
        <f aca="false">INDEX(Laporan!$A$1:$AZ$300,G1582,H1582)</f>
        <v>18</v>
      </c>
      <c r="O1582" s="0" t="n">
        <f aca="false">IF(N1582="","",IFERROR(VALUE(SUBSTITUTE(SUBSTITUTE(N1582," btl",""),".","")),""))</f>
        <v>18</v>
      </c>
      <c r="P1582" s="0" t="str">
        <f aca="false">IF(B1582="PRODUKSI","produced","reject")</f>
        <v>reject</v>
      </c>
    </row>
    <row r="1583" customFormat="false" ht="15" hidden="false" customHeight="false" outlineLevel="0" collapsed="false">
      <c r="A1583" s="0" t="n">
        <v>1582</v>
      </c>
      <c r="B1583" s="0" t="str">
        <f aca="false">IF(A1583&lt;=36*25,"PRODUKSI","REJECT")</f>
        <v>REJECT</v>
      </c>
      <c r="C1583" s="0" t="n">
        <f aca="false">MOD(A1583-1,Pemetaan!$B$3*Pemetaan!$B$4)</f>
        <v>681</v>
      </c>
      <c r="D1583" s="0" t="n">
        <f aca="false">INT(C1583/Pemetaan!$B$4)</f>
        <v>27</v>
      </c>
      <c r="E1583" s="0" t="n">
        <f aca="false">MOD(C1583,Pemetaan!$B$4)</f>
        <v>6</v>
      </c>
      <c r="F1583" s="0" t="n">
        <f aca="false">IF(B1583="PRODUKSI",Pemetaan!$B$5,Pemetaan!$B$6)</f>
        <v>46</v>
      </c>
      <c r="G1583" s="0" t="n">
        <f aca="false">F1583+2+D1583</f>
        <v>75</v>
      </c>
      <c r="H1583" s="0" t="n">
        <f aca="false">Pemetaan!$B$2+E1583</f>
        <v>11</v>
      </c>
      <c r="I1583" s="0" t="str">
        <f aca="false">INDEX(Laporan!$A$1:$AZ$300,G1583,1)</f>
        <v>Mixing</v>
      </c>
      <c r="J1583" s="0" t="str">
        <f aca="false">INDEX(Laporan!$A$1:$AZ$300,G1583,2)</f>
        <v>600 ml</v>
      </c>
      <c r="K1583" s="0" t="str">
        <f aca="false">INDEX(Laporan!$A$1:$AZ$300,G1583,3)</f>
        <v>Shift 2</v>
      </c>
      <c r="L1583" s="0" t="n">
        <f aca="false">INDEX(Laporan!$A$1:$AZ$300,G1583,4)</f>
        <v>1</v>
      </c>
      <c r="M1583" s="1" t="n">
        <f aca="false">DATE(Pemetaan!$B$1,VALUE(RIGHT(INDEX(Laporan!$A$1:$AZ$300,F1583+1,H1583),2)),VALUE(LEFT(INDEX(Laporan!$A$1:$AZ$300,F1583+1,H1583),2)))</f>
        <v>46091</v>
      </c>
      <c r="N1583" s="0" t="n">
        <f aca="false">INDEX(Laporan!$A$1:$AZ$300,G1583,H1583)</f>
        <v>14</v>
      </c>
      <c r="O1583" s="0" t="n">
        <f aca="false">IF(N1583="","",IFERROR(VALUE(SUBSTITUTE(SUBSTITUTE(N1583," btl",""),".","")),""))</f>
        <v>14</v>
      </c>
      <c r="P1583" s="0" t="str">
        <f aca="false">IF(B1583="PRODUKSI","produced","reject")</f>
        <v>reject</v>
      </c>
    </row>
    <row r="1584" customFormat="false" ht="15" hidden="false" customHeight="false" outlineLevel="0" collapsed="false">
      <c r="A1584" s="0" t="n">
        <v>1583</v>
      </c>
      <c r="B1584" s="0" t="str">
        <f aca="false">IF(A1584&lt;=36*25,"PRODUKSI","REJECT")</f>
        <v>REJECT</v>
      </c>
      <c r="C1584" s="0" t="n">
        <f aca="false">MOD(A1584-1,Pemetaan!$B$3*Pemetaan!$B$4)</f>
        <v>682</v>
      </c>
      <c r="D1584" s="0" t="n">
        <f aca="false">INT(C1584/Pemetaan!$B$4)</f>
        <v>27</v>
      </c>
      <c r="E1584" s="0" t="n">
        <f aca="false">MOD(C1584,Pemetaan!$B$4)</f>
        <v>7</v>
      </c>
      <c r="F1584" s="0" t="n">
        <f aca="false">IF(B1584="PRODUKSI",Pemetaan!$B$5,Pemetaan!$B$6)</f>
        <v>46</v>
      </c>
      <c r="G1584" s="0" t="n">
        <f aca="false">F1584+2+D1584</f>
        <v>75</v>
      </c>
      <c r="H1584" s="0" t="n">
        <f aca="false">Pemetaan!$B$2+E1584</f>
        <v>12</v>
      </c>
      <c r="I1584" s="0" t="str">
        <f aca="false">INDEX(Laporan!$A$1:$AZ$300,G1584,1)</f>
        <v>Mixing</v>
      </c>
      <c r="J1584" s="0" t="str">
        <f aca="false">INDEX(Laporan!$A$1:$AZ$300,G1584,2)</f>
        <v>600 ml</v>
      </c>
      <c r="K1584" s="0" t="str">
        <f aca="false">INDEX(Laporan!$A$1:$AZ$300,G1584,3)</f>
        <v>Shift 2</v>
      </c>
      <c r="L1584" s="0" t="n">
        <f aca="false">INDEX(Laporan!$A$1:$AZ$300,G1584,4)</f>
        <v>1</v>
      </c>
      <c r="M1584" s="1" t="n">
        <f aca="false">DATE(Pemetaan!$B$1,VALUE(RIGHT(INDEX(Laporan!$A$1:$AZ$300,F1584+1,H1584),2)),VALUE(LEFT(INDEX(Laporan!$A$1:$AZ$300,F1584+1,H1584),2)))</f>
        <v>46092</v>
      </c>
      <c r="N1584" s="0" t="n">
        <f aca="false">INDEX(Laporan!$A$1:$AZ$300,G1584,H1584)</f>
        <v>18</v>
      </c>
      <c r="O1584" s="0" t="n">
        <f aca="false">IF(N1584="","",IFERROR(VALUE(SUBSTITUTE(SUBSTITUTE(N1584," btl",""),".","")),""))</f>
        <v>18</v>
      </c>
      <c r="P1584" s="0" t="str">
        <f aca="false">IF(B1584="PRODUKSI","produced","reject")</f>
        <v>reject</v>
      </c>
    </row>
    <row r="1585" customFormat="false" ht="15" hidden="false" customHeight="false" outlineLevel="0" collapsed="false">
      <c r="A1585" s="0" t="n">
        <v>1584</v>
      </c>
      <c r="B1585" s="0" t="str">
        <f aca="false">IF(A1585&lt;=36*25,"PRODUKSI","REJECT")</f>
        <v>REJECT</v>
      </c>
      <c r="C1585" s="0" t="n">
        <f aca="false">MOD(A1585-1,Pemetaan!$B$3*Pemetaan!$B$4)</f>
        <v>683</v>
      </c>
      <c r="D1585" s="0" t="n">
        <f aca="false">INT(C1585/Pemetaan!$B$4)</f>
        <v>27</v>
      </c>
      <c r="E1585" s="0" t="n">
        <f aca="false">MOD(C1585,Pemetaan!$B$4)</f>
        <v>8</v>
      </c>
      <c r="F1585" s="0" t="n">
        <f aca="false">IF(B1585="PRODUKSI",Pemetaan!$B$5,Pemetaan!$B$6)</f>
        <v>46</v>
      </c>
      <c r="G1585" s="0" t="n">
        <f aca="false">F1585+2+D1585</f>
        <v>75</v>
      </c>
      <c r="H1585" s="0" t="n">
        <f aca="false">Pemetaan!$B$2+E1585</f>
        <v>13</v>
      </c>
      <c r="I1585" s="0" t="str">
        <f aca="false">INDEX(Laporan!$A$1:$AZ$300,G1585,1)</f>
        <v>Mixing</v>
      </c>
      <c r="J1585" s="0" t="str">
        <f aca="false">INDEX(Laporan!$A$1:$AZ$300,G1585,2)</f>
        <v>600 ml</v>
      </c>
      <c r="K1585" s="0" t="str">
        <f aca="false">INDEX(Laporan!$A$1:$AZ$300,G1585,3)</f>
        <v>Shift 2</v>
      </c>
      <c r="L1585" s="0" t="n">
        <f aca="false">INDEX(Laporan!$A$1:$AZ$300,G1585,4)</f>
        <v>1</v>
      </c>
      <c r="M1585" s="1" t="n">
        <f aca="false">DATE(Pemetaan!$B$1,VALUE(RIGHT(INDEX(Laporan!$A$1:$AZ$300,F1585+1,H1585),2)),VALUE(LEFT(INDEX(Laporan!$A$1:$AZ$300,F1585+1,H1585),2)))</f>
        <v>46093</v>
      </c>
      <c r="N1585" s="0" t="n">
        <f aca="false">INDEX(Laporan!$A$1:$AZ$300,G1585,H1585)</f>
        <v>20</v>
      </c>
      <c r="O1585" s="0" t="n">
        <f aca="false">IF(N1585="","",IFERROR(VALUE(SUBSTITUTE(SUBSTITUTE(N1585," btl",""),".","")),""))</f>
        <v>20</v>
      </c>
      <c r="P1585" s="0" t="str">
        <f aca="false">IF(B1585="PRODUKSI","produced","reject")</f>
        <v>reject</v>
      </c>
    </row>
    <row r="1586" customFormat="false" ht="15" hidden="false" customHeight="false" outlineLevel="0" collapsed="false">
      <c r="A1586" s="0" t="n">
        <v>1585</v>
      </c>
      <c r="B1586" s="0" t="str">
        <f aca="false">IF(A1586&lt;=36*25,"PRODUKSI","REJECT")</f>
        <v>REJECT</v>
      </c>
      <c r="C1586" s="0" t="n">
        <f aca="false">MOD(A1586-1,Pemetaan!$B$3*Pemetaan!$B$4)</f>
        <v>684</v>
      </c>
      <c r="D1586" s="0" t="n">
        <f aca="false">INT(C1586/Pemetaan!$B$4)</f>
        <v>27</v>
      </c>
      <c r="E1586" s="0" t="n">
        <f aca="false">MOD(C1586,Pemetaan!$B$4)</f>
        <v>9</v>
      </c>
      <c r="F1586" s="0" t="n">
        <f aca="false">IF(B1586="PRODUKSI",Pemetaan!$B$5,Pemetaan!$B$6)</f>
        <v>46</v>
      </c>
      <c r="G1586" s="0" t="n">
        <f aca="false">F1586+2+D1586</f>
        <v>75</v>
      </c>
      <c r="H1586" s="0" t="n">
        <f aca="false">Pemetaan!$B$2+E1586</f>
        <v>14</v>
      </c>
      <c r="I1586" s="0" t="str">
        <f aca="false">INDEX(Laporan!$A$1:$AZ$300,G1586,1)</f>
        <v>Mixing</v>
      </c>
      <c r="J1586" s="0" t="str">
        <f aca="false">INDEX(Laporan!$A$1:$AZ$300,G1586,2)</f>
        <v>600 ml</v>
      </c>
      <c r="K1586" s="0" t="str">
        <f aca="false">INDEX(Laporan!$A$1:$AZ$300,G1586,3)</f>
        <v>Shift 2</v>
      </c>
      <c r="L1586" s="0" t="n">
        <f aca="false">INDEX(Laporan!$A$1:$AZ$300,G1586,4)</f>
        <v>1</v>
      </c>
      <c r="M1586" s="1" t="n">
        <f aca="false">DATE(Pemetaan!$B$1,VALUE(RIGHT(INDEX(Laporan!$A$1:$AZ$300,F1586+1,H1586),2)),VALUE(LEFT(INDEX(Laporan!$A$1:$AZ$300,F1586+1,H1586),2)))</f>
        <v>46094</v>
      </c>
      <c r="N1586" s="0" t="n">
        <f aca="false">INDEX(Laporan!$A$1:$AZ$300,G1586,H1586)</f>
        <v>20</v>
      </c>
      <c r="O1586" s="0" t="n">
        <f aca="false">IF(N1586="","",IFERROR(VALUE(SUBSTITUTE(SUBSTITUTE(N1586," btl",""),".","")),""))</f>
        <v>20</v>
      </c>
      <c r="P1586" s="0" t="str">
        <f aca="false">IF(B1586="PRODUKSI","produced","reject")</f>
        <v>reject</v>
      </c>
    </row>
    <row r="1587" customFormat="false" ht="15" hidden="false" customHeight="false" outlineLevel="0" collapsed="false">
      <c r="A1587" s="0" t="n">
        <v>1586</v>
      </c>
      <c r="B1587" s="0" t="str">
        <f aca="false">IF(A1587&lt;=36*25,"PRODUKSI","REJECT")</f>
        <v>REJECT</v>
      </c>
      <c r="C1587" s="0" t="n">
        <f aca="false">MOD(A1587-1,Pemetaan!$B$3*Pemetaan!$B$4)</f>
        <v>685</v>
      </c>
      <c r="D1587" s="0" t="n">
        <f aca="false">INT(C1587/Pemetaan!$B$4)</f>
        <v>27</v>
      </c>
      <c r="E1587" s="0" t="n">
        <f aca="false">MOD(C1587,Pemetaan!$B$4)</f>
        <v>10</v>
      </c>
      <c r="F1587" s="0" t="n">
        <f aca="false">IF(B1587="PRODUKSI",Pemetaan!$B$5,Pemetaan!$B$6)</f>
        <v>46</v>
      </c>
      <c r="G1587" s="0" t="n">
        <f aca="false">F1587+2+D1587</f>
        <v>75</v>
      </c>
      <c r="H1587" s="0" t="n">
        <f aca="false">Pemetaan!$B$2+E1587</f>
        <v>15</v>
      </c>
      <c r="I1587" s="0" t="str">
        <f aca="false">INDEX(Laporan!$A$1:$AZ$300,G1587,1)</f>
        <v>Mixing</v>
      </c>
      <c r="J1587" s="0" t="str">
        <f aca="false">INDEX(Laporan!$A$1:$AZ$300,G1587,2)</f>
        <v>600 ml</v>
      </c>
      <c r="K1587" s="0" t="str">
        <f aca="false">INDEX(Laporan!$A$1:$AZ$300,G1587,3)</f>
        <v>Shift 2</v>
      </c>
      <c r="L1587" s="0" t="n">
        <f aca="false">INDEX(Laporan!$A$1:$AZ$300,G1587,4)</f>
        <v>1</v>
      </c>
      <c r="M1587" s="1" t="n">
        <f aca="false">DATE(Pemetaan!$B$1,VALUE(RIGHT(INDEX(Laporan!$A$1:$AZ$300,F1587+1,H1587),2)),VALUE(LEFT(INDEX(Laporan!$A$1:$AZ$300,F1587+1,H1587),2)))</f>
        <v>46097</v>
      </c>
      <c r="N1587" s="0" t="n">
        <f aca="false">INDEX(Laporan!$A$1:$AZ$300,G1587,H1587)</f>
        <v>24</v>
      </c>
      <c r="O1587" s="0" t="n">
        <f aca="false">IF(N1587="","",IFERROR(VALUE(SUBSTITUTE(SUBSTITUTE(N1587," btl",""),".","")),""))</f>
        <v>24</v>
      </c>
      <c r="P1587" s="0" t="str">
        <f aca="false">IF(B1587="PRODUKSI","produced","reject")</f>
        <v>reject</v>
      </c>
    </row>
    <row r="1588" customFormat="false" ht="15" hidden="false" customHeight="false" outlineLevel="0" collapsed="false">
      <c r="A1588" s="0" t="n">
        <v>1587</v>
      </c>
      <c r="B1588" s="0" t="str">
        <f aca="false">IF(A1588&lt;=36*25,"PRODUKSI","REJECT")</f>
        <v>REJECT</v>
      </c>
      <c r="C1588" s="0" t="n">
        <f aca="false">MOD(A1588-1,Pemetaan!$B$3*Pemetaan!$B$4)</f>
        <v>686</v>
      </c>
      <c r="D1588" s="0" t="n">
        <f aca="false">INT(C1588/Pemetaan!$B$4)</f>
        <v>27</v>
      </c>
      <c r="E1588" s="0" t="n">
        <f aca="false">MOD(C1588,Pemetaan!$B$4)</f>
        <v>11</v>
      </c>
      <c r="F1588" s="0" t="n">
        <f aca="false">IF(B1588="PRODUKSI",Pemetaan!$B$5,Pemetaan!$B$6)</f>
        <v>46</v>
      </c>
      <c r="G1588" s="0" t="n">
        <f aca="false">F1588+2+D1588</f>
        <v>75</v>
      </c>
      <c r="H1588" s="0" t="n">
        <f aca="false">Pemetaan!$B$2+E1588</f>
        <v>16</v>
      </c>
      <c r="I1588" s="0" t="str">
        <f aca="false">INDEX(Laporan!$A$1:$AZ$300,G1588,1)</f>
        <v>Mixing</v>
      </c>
      <c r="J1588" s="0" t="str">
        <f aca="false">INDEX(Laporan!$A$1:$AZ$300,G1588,2)</f>
        <v>600 ml</v>
      </c>
      <c r="K1588" s="0" t="str">
        <f aca="false">INDEX(Laporan!$A$1:$AZ$300,G1588,3)</f>
        <v>Shift 2</v>
      </c>
      <c r="L1588" s="0" t="n">
        <f aca="false">INDEX(Laporan!$A$1:$AZ$300,G1588,4)</f>
        <v>1</v>
      </c>
      <c r="M1588" s="1" t="n">
        <f aca="false">DATE(Pemetaan!$B$1,VALUE(RIGHT(INDEX(Laporan!$A$1:$AZ$300,F1588+1,H1588),2)),VALUE(LEFT(INDEX(Laporan!$A$1:$AZ$300,F1588+1,H1588),2)))</f>
        <v>46098</v>
      </c>
      <c r="N1588" s="0" t="n">
        <f aca="false">INDEX(Laporan!$A$1:$AZ$300,G1588,H1588)</f>
        <v>21</v>
      </c>
      <c r="O1588" s="0" t="n">
        <f aca="false">IF(N1588="","",IFERROR(VALUE(SUBSTITUTE(SUBSTITUTE(N1588," btl",""),".","")),""))</f>
        <v>21</v>
      </c>
      <c r="P1588" s="0" t="str">
        <f aca="false">IF(B1588="PRODUKSI","produced","reject")</f>
        <v>reject</v>
      </c>
    </row>
    <row r="1589" customFormat="false" ht="15" hidden="false" customHeight="false" outlineLevel="0" collapsed="false">
      <c r="A1589" s="0" t="n">
        <v>1588</v>
      </c>
      <c r="B1589" s="0" t="str">
        <f aca="false">IF(A1589&lt;=36*25,"PRODUKSI","REJECT")</f>
        <v>REJECT</v>
      </c>
      <c r="C1589" s="0" t="n">
        <f aca="false">MOD(A1589-1,Pemetaan!$B$3*Pemetaan!$B$4)</f>
        <v>687</v>
      </c>
      <c r="D1589" s="0" t="n">
        <f aca="false">INT(C1589/Pemetaan!$B$4)</f>
        <v>27</v>
      </c>
      <c r="E1589" s="0" t="n">
        <f aca="false">MOD(C1589,Pemetaan!$B$4)</f>
        <v>12</v>
      </c>
      <c r="F1589" s="0" t="n">
        <f aca="false">IF(B1589="PRODUKSI",Pemetaan!$B$5,Pemetaan!$B$6)</f>
        <v>46</v>
      </c>
      <c r="G1589" s="0" t="n">
        <f aca="false">F1589+2+D1589</f>
        <v>75</v>
      </c>
      <c r="H1589" s="0" t="n">
        <f aca="false">Pemetaan!$B$2+E1589</f>
        <v>17</v>
      </c>
      <c r="I1589" s="0" t="str">
        <f aca="false">INDEX(Laporan!$A$1:$AZ$300,G1589,1)</f>
        <v>Mixing</v>
      </c>
      <c r="J1589" s="0" t="str">
        <f aca="false">INDEX(Laporan!$A$1:$AZ$300,G1589,2)</f>
        <v>600 ml</v>
      </c>
      <c r="K1589" s="0" t="str">
        <f aca="false">INDEX(Laporan!$A$1:$AZ$300,G1589,3)</f>
        <v>Shift 2</v>
      </c>
      <c r="L1589" s="0" t="n">
        <f aca="false">INDEX(Laporan!$A$1:$AZ$300,G1589,4)</f>
        <v>1</v>
      </c>
      <c r="M1589" s="1" t="n">
        <f aca="false">DATE(Pemetaan!$B$1,VALUE(RIGHT(INDEX(Laporan!$A$1:$AZ$300,F1589+1,H1589),2)),VALUE(LEFT(INDEX(Laporan!$A$1:$AZ$300,F1589+1,H1589),2)))</f>
        <v>46099</v>
      </c>
      <c r="N1589" s="0" t="n">
        <f aca="false">INDEX(Laporan!$A$1:$AZ$300,G1589,H1589)</f>
        <v>23</v>
      </c>
      <c r="O1589" s="0" t="n">
        <f aca="false">IF(N1589="","",IFERROR(VALUE(SUBSTITUTE(SUBSTITUTE(N1589," btl",""),".","")),""))</f>
        <v>23</v>
      </c>
      <c r="P1589" s="0" t="str">
        <f aca="false">IF(B1589="PRODUKSI","produced","reject")</f>
        <v>reject</v>
      </c>
    </row>
    <row r="1590" customFormat="false" ht="15" hidden="false" customHeight="false" outlineLevel="0" collapsed="false">
      <c r="A1590" s="0" t="n">
        <v>1589</v>
      </c>
      <c r="B1590" s="0" t="str">
        <f aca="false">IF(A1590&lt;=36*25,"PRODUKSI","REJECT")</f>
        <v>REJECT</v>
      </c>
      <c r="C1590" s="0" t="n">
        <f aca="false">MOD(A1590-1,Pemetaan!$B$3*Pemetaan!$B$4)</f>
        <v>688</v>
      </c>
      <c r="D1590" s="0" t="n">
        <f aca="false">INT(C1590/Pemetaan!$B$4)</f>
        <v>27</v>
      </c>
      <c r="E1590" s="0" t="n">
        <f aca="false">MOD(C1590,Pemetaan!$B$4)</f>
        <v>13</v>
      </c>
      <c r="F1590" s="0" t="n">
        <f aca="false">IF(B1590="PRODUKSI",Pemetaan!$B$5,Pemetaan!$B$6)</f>
        <v>46</v>
      </c>
      <c r="G1590" s="0" t="n">
        <f aca="false">F1590+2+D1590</f>
        <v>75</v>
      </c>
      <c r="H1590" s="0" t="n">
        <f aca="false">Pemetaan!$B$2+E1590</f>
        <v>18</v>
      </c>
      <c r="I1590" s="0" t="str">
        <f aca="false">INDEX(Laporan!$A$1:$AZ$300,G1590,1)</f>
        <v>Mixing</v>
      </c>
      <c r="J1590" s="0" t="str">
        <f aca="false">INDEX(Laporan!$A$1:$AZ$300,G1590,2)</f>
        <v>600 ml</v>
      </c>
      <c r="K1590" s="0" t="str">
        <f aca="false">INDEX(Laporan!$A$1:$AZ$300,G1590,3)</f>
        <v>Shift 2</v>
      </c>
      <c r="L1590" s="0" t="n">
        <f aca="false">INDEX(Laporan!$A$1:$AZ$300,G1590,4)</f>
        <v>1</v>
      </c>
      <c r="M1590" s="1" t="n">
        <f aca="false">DATE(Pemetaan!$B$1,VALUE(RIGHT(INDEX(Laporan!$A$1:$AZ$300,F1590+1,H1590),2)),VALUE(LEFT(INDEX(Laporan!$A$1:$AZ$300,F1590+1,H1590),2)))</f>
        <v>46100</v>
      </c>
      <c r="N1590" s="0" t="n">
        <f aca="false">INDEX(Laporan!$A$1:$AZ$300,G1590,H1590)</f>
        <v>15</v>
      </c>
      <c r="O1590" s="0" t="n">
        <f aca="false">IF(N1590="","",IFERROR(VALUE(SUBSTITUTE(SUBSTITUTE(N1590," btl",""),".","")),""))</f>
        <v>15</v>
      </c>
      <c r="P1590" s="0" t="str">
        <f aca="false">IF(B1590="PRODUKSI","produced","reject")</f>
        <v>reject</v>
      </c>
    </row>
    <row r="1591" customFormat="false" ht="15" hidden="false" customHeight="false" outlineLevel="0" collapsed="false">
      <c r="A1591" s="0" t="n">
        <v>1590</v>
      </c>
      <c r="B1591" s="0" t="str">
        <f aca="false">IF(A1591&lt;=36*25,"PRODUKSI","REJECT")</f>
        <v>REJECT</v>
      </c>
      <c r="C1591" s="0" t="n">
        <f aca="false">MOD(A1591-1,Pemetaan!$B$3*Pemetaan!$B$4)</f>
        <v>689</v>
      </c>
      <c r="D1591" s="0" t="n">
        <f aca="false">INT(C1591/Pemetaan!$B$4)</f>
        <v>27</v>
      </c>
      <c r="E1591" s="0" t="n">
        <f aca="false">MOD(C1591,Pemetaan!$B$4)</f>
        <v>14</v>
      </c>
      <c r="F1591" s="0" t="n">
        <f aca="false">IF(B1591="PRODUKSI",Pemetaan!$B$5,Pemetaan!$B$6)</f>
        <v>46</v>
      </c>
      <c r="G1591" s="0" t="n">
        <f aca="false">F1591+2+D1591</f>
        <v>75</v>
      </c>
      <c r="H1591" s="0" t="n">
        <f aca="false">Pemetaan!$B$2+E1591</f>
        <v>19</v>
      </c>
      <c r="I1591" s="0" t="str">
        <f aca="false">INDEX(Laporan!$A$1:$AZ$300,G1591,1)</f>
        <v>Mixing</v>
      </c>
      <c r="J1591" s="0" t="str">
        <f aca="false">INDEX(Laporan!$A$1:$AZ$300,G1591,2)</f>
        <v>600 ml</v>
      </c>
      <c r="K1591" s="0" t="str">
        <f aca="false">INDEX(Laporan!$A$1:$AZ$300,G1591,3)</f>
        <v>Shift 2</v>
      </c>
      <c r="L1591" s="0" t="n">
        <f aca="false">INDEX(Laporan!$A$1:$AZ$300,G1591,4)</f>
        <v>1</v>
      </c>
      <c r="M1591" s="1" t="n">
        <f aca="false">DATE(Pemetaan!$B$1,VALUE(RIGHT(INDEX(Laporan!$A$1:$AZ$300,F1591+1,H1591),2)),VALUE(LEFT(INDEX(Laporan!$A$1:$AZ$300,F1591+1,H1591),2)))</f>
        <v>46101</v>
      </c>
      <c r="N1591" s="0" t="n">
        <f aca="false">INDEX(Laporan!$A$1:$AZ$300,G1591,H1591)</f>
        <v>17</v>
      </c>
      <c r="O1591" s="0" t="n">
        <f aca="false">IF(N1591="","",IFERROR(VALUE(SUBSTITUTE(SUBSTITUTE(N1591," btl",""),".","")),""))</f>
        <v>17</v>
      </c>
      <c r="P1591" s="0" t="str">
        <f aca="false">IF(B1591="PRODUKSI","produced","reject")</f>
        <v>reject</v>
      </c>
    </row>
    <row r="1592" customFormat="false" ht="15" hidden="false" customHeight="false" outlineLevel="0" collapsed="false">
      <c r="A1592" s="0" t="n">
        <v>1591</v>
      </c>
      <c r="B1592" s="0" t="str">
        <f aca="false">IF(A1592&lt;=36*25,"PRODUKSI","REJECT")</f>
        <v>REJECT</v>
      </c>
      <c r="C1592" s="0" t="n">
        <f aca="false">MOD(A1592-1,Pemetaan!$B$3*Pemetaan!$B$4)</f>
        <v>690</v>
      </c>
      <c r="D1592" s="0" t="n">
        <f aca="false">INT(C1592/Pemetaan!$B$4)</f>
        <v>27</v>
      </c>
      <c r="E1592" s="0" t="n">
        <f aca="false">MOD(C1592,Pemetaan!$B$4)</f>
        <v>15</v>
      </c>
      <c r="F1592" s="0" t="n">
        <f aca="false">IF(B1592="PRODUKSI",Pemetaan!$B$5,Pemetaan!$B$6)</f>
        <v>46</v>
      </c>
      <c r="G1592" s="0" t="n">
        <f aca="false">F1592+2+D1592</f>
        <v>75</v>
      </c>
      <c r="H1592" s="0" t="n">
        <f aca="false">Pemetaan!$B$2+E1592</f>
        <v>20</v>
      </c>
      <c r="I1592" s="0" t="str">
        <f aca="false">INDEX(Laporan!$A$1:$AZ$300,G1592,1)</f>
        <v>Mixing</v>
      </c>
      <c r="J1592" s="0" t="str">
        <f aca="false">INDEX(Laporan!$A$1:$AZ$300,G1592,2)</f>
        <v>600 ml</v>
      </c>
      <c r="K1592" s="0" t="str">
        <f aca="false">INDEX(Laporan!$A$1:$AZ$300,G1592,3)</f>
        <v>Shift 2</v>
      </c>
      <c r="L1592" s="0" t="n">
        <f aca="false">INDEX(Laporan!$A$1:$AZ$300,G1592,4)</f>
        <v>1</v>
      </c>
      <c r="M1592" s="1" t="n">
        <f aca="false">DATE(Pemetaan!$B$1,VALUE(RIGHT(INDEX(Laporan!$A$1:$AZ$300,F1592+1,H1592),2)),VALUE(LEFT(INDEX(Laporan!$A$1:$AZ$300,F1592+1,H1592),2)))</f>
        <v>46104</v>
      </c>
      <c r="N1592" s="0" t="n">
        <f aca="false">INDEX(Laporan!$A$1:$AZ$300,G1592,H1592)</f>
        <v>20</v>
      </c>
      <c r="O1592" s="0" t="n">
        <f aca="false">IF(N1592="","",IFERROR(VALUE(SUBSTITUTE(SUBSTITUTE(N1592," btl",""),".","")),""))</f>
        <v>20</v>
      </c>
      <c r="P1592" s="0" t="str">
        <f aca="false">IF(B1592="PRODUKSI","produced","reject")</f>
        <v>reject</v>
      </c>
    </row>
    <row r="1593" customFormat="false" ht="15" hidden="false" customHeight="false" outlineLevel="0" collapsed="false">
      <c r="A1593" s="0" t="n">
        <v>1592</v>
      </c>
      <c r="B1593" s="0" t="str">
        <f aca="false">IF(A1593&lt;=36*25,"PRODUKSI","REJECT")</f>
        <v>REJECT</v>
      </c>
      <c r="C1593" s="0" t="n">
        <f aca="false">MOD(A1593-1,Pemetaan!$B$3*Pemetaan!$B$4)</f>
        <v>691</v>
      </c>
      <c r="D1593" s="0" t="n">
        <f aca="false">INT(C1593/Pemetaan!$B$4)</f>
        <v>27</v>
      </c>
      <c r="E1593" s="0" t="n">
        <f aca="false">MOD(C1593,Pemetaan!$B$4)</f>
        <v>16</v>
      </c>
      <c r="F1593" s="0" t="n">
        <f aca="false">IF(B1593="PRODUKSI",Pemetaan!$B$5,Pemetaan!$B$6)</f>
        <v>46</v>
      </c>
      <c r="G1593" s="0" t="n">
        <f aca="false">F1593+2+D1593</f>
        <v>75</v>
      </c>
      <c r="H1593" s="0" t="n">
        <f aca="false">Pemetaan!$B$2+E1593</f>
        <v>21</v>
      </c>
      <c r="I1593" s="0" t="str">
        <f aca="false">INDEX(Laporan!$A$1:$AZ$300,G1593,1)</f>
        <v>Mixing</v>
      </c>
      <c r="J1593" s="0" t="str">
        <f aca="false">INDEX(Laporan!$A$1:$AZ$300,G1593,2)</f>
        <v>600 ml</v>
      </c>
      <c r="K1593" s="0" t="str">
        <f aca="false">INDEX(Laporan!$A$1:$AZ$300,G1593,3)</f>
        <v>Shift 2</v>
      </c>
      <c r="L1593" s="0" t="n">
        <f aca="false">INDEX(Laporan!$A$1:$AZ$300,G1593,4)</f>
        <v>1</v>
      </c>
      <c r="M1593" s="1" t="n">
        <f aca="false">DATE(Pemetaan!$B$1,VALUE(RIGHT(INDEX(Laporan!$A$1:$AZ$300,F1593+1,H1593),2)),VALUE(LEFT(INDEX(Laporan!$A$1:$AZ$300,F1593+1,H1593),2)))</f>
        <v>46105</v>
      </c>
      <c r="N1593" s="0" t="n">
        <f aca="false">INDEX(Laporan!$A$1:$AZ$300,G1593,H1593)</f>
        <v>18</v>
      </c>
      <c r="O1593" s="0" t="n">
        <f aca="false">IF(N1593="","",IFERROR(VALUE(SUBSTITUTE(SUBSTITUTE(N1593," btl",""),".","")),""))</f>
        <v>18</v>
      </c>
      <c r="P1593" s="0" t="str">
        <f aca="false">IF(B1593="PRODUKSI","produced","reject")</f>
        <v>reject</v>
      </c>
    </row>
    <row r="1594" customFormat="false" ht="15" hidden="false" customHeight="false" outlineLevel="0" collapsed="false">
      <c r="A1594" s="0" t="n">
        <v>1593</v>
      </c>
      <c r="B1594" s="0" t="str">
        <f aca="false">IF(A1594&lt;=36*25,"PRODUKSI","REJECT")</f>
        <v>REJECT</v>
      </c>
      <c r="C1594" s="0" t="n">
        <f aca="false">MOD(A1594-1,Pemetaan!$B$3*Pemetaan!$B$4)</f>
        <v>692</v>
      </c>
      <c r="D1594" s="0" t="n">
        <f aca="false">INT(C1594/Pemetaan!$B$4)</f>
        <v>27</v>
      </c>
      <c r="E1594" s="0" t="n">
        <f aca="false">MOD(C1594,Pemetaan!$B$4)</f>
        <v>17</v>
      </c>
      <c r="F1594" s="0" t="n">
        <f aca="false">IF(B1594="PRODUKSI",Pemetaan!$B$5,Pemetaan!$B$6)</f>
        <v>46</v>
      </c>
      <c r="G1594" s="0" t="n">
        <f aca="false">F1594+2+D1594</f>
        <v>75</v>
      </c>
      <c r="H1594" s="0" t="n">
        <f aca="false">Pemetaan!$B$2+E1594</f>
        <v>22</v>
      </c>
      <c r="I1594" s="0" t="str">
        <f aca="false">INDEX(Laporan!$A$1:$AZ$300,G1594,1)</f>
        <v>Mixing</v>
      </c>
      <c r="J1594" s="0" t="str">
        <f aca="false">INDEX(Laporan!$A$1:$AZ$300,G1594,2)</f>
        <v>600 ml</v>
      </c>
      <c r="K1594" s="0" t="str">
        <f aca="false">INDEX(Laporan!$A$1:$AZ$300,G1594,3)</f>
        <v>Shift 2</v>
      </c>
      <c r="L1594" s="0" t="n">
        <f aca="false">INDEX(Laporan!$A$1:$AZ$300,G1594,4)</f>
        <v>1</v>
      </c>
      <c r="M1594" s="1" t="n">
        <f aca="false">DATE(Pemetaan!$B$1,VALUE(RIGHT(INDEX(Laporan!$A$1:$AZ$300,F1594+1,H1594),2)),VALUE(LEFT(INDEX(Laporan!$A$1:$AZ$300,F1594+1,H1594),2)))</f>
        <v>46106</v>
      </c>
      <c r="N1594" s="0" t="n">
        <f aca="false">INDEX(Laporan!$A$1:$AZ$300,G1594,H1594)</f>
        <v>15</v>
      </c>
      <c r="O1594" s="0" t="n">
        <f aca="false">IF(N1594="","",IFERROR(VALUE(SUBSTITUTE(SUBSTITUTE(N1594," btl",""),".","")),""))</f>
        <v>15</v>
      </c>
      <c r="P1594" s="0" t="str">
        <f aca="false">IF(B1594="PRODUKSI","produced","reject")</f>
        <v>reject</v>
      </c>
    </row>
    <row r="1595" customFormat="false" ht="15" hidden="false" customHeight="false" outlineLevel="0" collapsed="false">
      <c r="A1595" s="0" t="n">
        <v>1594</v>
      </c>
      <c r="B1595" s="0" t="str">
        <f aca="false">IF(A1595&lt;=36*25,"PRODUKSI","REJECT")</f>
        <v>REJECT</v>
      </c>
      <c r="C1595" s="0" t="n">
        <f aca="false">MOD(A1595-1,Pemetaan!$B$3*Pemetaan!$B$4)</f>
        <v>693</v>
      </c>
      <c r="D1595" s="0" t="n">
        <f aca="false">INT(C1595/Pemetaan!$B$4)</f>
        <v>27</v>
      </c>
      <c r="E1595" s="0" t="n">
        <f aca="false">MOD(C1595,Pemetaan!$B$4)</f>
        <v>18</v>
      </c>
      <c r="F1595" s="0" t="n">
        <f aca="false">IF(B1595="PRODUKSI",Pemetaan!$B$5,Pemetaan!$B$6)</f>
        <v>46</v>
      </c>
      <c r="G1595" s="0" t="n">
        <f aca="false">F1595+2+D1595</f>
        <v>75</v>
      </c>
      <c r="H1595" s="0" t="n">
        <f aca="false">Pemetaan!$B$2+E1595</f>
        <v>23</v>
      </c>
      <c r="I1595" s="0" t="str">
        <f aca="false">INDEX(Laporan!$A$1:$AZ$300,G1595,1)</f>
        <v>Mixing</v>
      </c>
      <c r="J1595" s="0" t="str">
        <f aca="false">INDEX(Laporan!$A$1:$AZ$300,G1595,2)</f>
        <v>600 ml</v>
      </c>
      <c r="K1595" s="0" t="str">
        <f aca="false">INDEX(Laporan!$A$1:$AZ$300,G1595,3)</f>
        <v>Shift 2</v>
      </c>
      <c r="L1595" s="0" t="n">
        <f aca="false">INDEX(Laporan!$A$1:$AZ$300,G1595,4)</f>
        <v>1</v>
      </c>
      <c r="M1595" s="1" t="n">
        <f aca="false">DATE(Pemetaan!$B$1,VALUE(RIGHT(INDEX(Laporan!$A$1:$AZ$300,F1595+1,H1595),2)),VALUE(LEFT(INDEX(Laporan!$A$1:$AZ$300,F1595+1,H1595),2)))</f>
        <v>46107</v>
      </c>
      <c r="N1595" s="0" t="n">
        <f aca="false">INDEX(Laporan!$A$1:$AZ$300,G1595,H1595)</f>
        <v>20</v>
      </c>
      <c r="O1595" s="0" t="n">
        <f aca="false">IF(N1595="","",IFERROR(VALUE(SUBSTITUTE(SUBSTITUTE(N1595," btl",""),".","")),""))</f>
        <v>20</v>
      </c>
      <c r="P1595" s="0" t="str">
        <f aca="false">IF(B1595="PRODUKSI","produced","reject")</f>
        <v>reject</v>
      </c>
    </row>
    <row r="1596" customFormat="false" ht="15" hidden="false" customHeight="false" outlineLevel="0" collapsed="false">
      <c r="A1596" s="0" t="n">
        <v>1595</v>
      </c>
      <c r="B1596" s="0" t="str">
        <f aca="false">IF(A1596&lt;=36*25,"PRODUKSI","REJECT")</f>
        <v>REJECT</v>
      </c>
      <c r="C1596" s="0" t="n">
        <f aca="false">MOD(A1596-1,Pemetaan!$B$3*Pemetaan!$B$4)</f>
        <v>694</v>
      </c>
      <c r="D1596" s="0" t="n">
        <f aca="false">INT(C1596/Pemetaan!$B$4)</f>
        <v>27</v>
      </c>
      <c r="E1596" s="0" t="n">
        <f aca="false">MOD(C1596,Pemetaan!$B$4)</f>
        <v>19</v>
      </c>
      <c r="F1596" s="0" t="n">
        <f aca="false">IF(B1596="PRODUKSI",Pemetaan!$B$5,Pemetaan!$B$6)</f>
        <v>46</v>
      </c>
      <c r="G1596" s="0" t="n">
        <f aca="false">F1596+2+D1596</f>
        <v>75</v>
      </c>
      <c r="H1596" s="0" t="n">
        <f aca="false">Pemetaan!$B$2+E1596</f>
        <v>24</v>
      </c>
      <c r="I1596" s="0" t="str">
        <f aca="false">INDEX(Laporan!$A$1:$AZ$300,G1596,1)</f>
        <v>Mixing</v>
      </c>
      <c r="J1596" s="0" t="str">
        <f aca="false">INDEX(Laporan!$A$1:$AZ$300,G1596,2)</f>
        <v>600 ml</v>
      </c>
      <c r="K1596" s="0" t="str">
        <f aca="false">INDEX(Laporan!$A$1:$AZ$300,G1596,3)</f>
        <v>Shift 2</v>
      </c>
      <c r="L1596" s="0" t="n">
        <f aca="false">INDEX(Laporan!$A$1:$AZ$300,G1596,4)</f>
        <v>1</v>
      </c>
      <c r="M1596" s="1" t="n">
        <f aca="false">DATE(Pemetaan!$B$1,VALUE(RIGHT(INDEX(Laporan!$A$1:$AZ$300,F1596+1,H1596),2)),VALUE(LEFT(INDEX(Laporan!$A$1:$AZ$300,F1596+1,H1596),2)))</f>
        <v>46108</v>
      </c>
      <c r="N1596" s="0" t="n">
        <f aca="false">INDEX(Laporan!$A$1:$AZ$300,G1596,H1596)</f>
        <v>13</v>
      </c>
      <c r="O1596" s="0" t="n">
        <f aca="false">IF(N1596="","",IFERROR(VALUE(SUBSTITUTE(SUBSTITUTE(N1596," btl",""),".","")),""))</f>
        <v>13</v>
      </c>
      <c r="P1596" s="0" t="str">
        <f aca="false">IF(B1596="PRODUKSI","produced","reject")</f>
        <v>reject</v>
      </c>
    </row>
    <row r="1597" customFormat="false" ht="15" hidden="false" customHeight="false" outlineLevel="0" collapsed="false">
      <c r="A1597" s="0" t="n">
        <v>1596</v>
      </c>
      <c r="B1597" s="0" t="str">
        <f aca="false">IF(A1597&lt;=36*25,"PRODUKSI","REJECT")</f>
        <v>REJECT</v>
      </c>
      <c r="C1597" s="0" t="n">
        <f aca="false">MOD(A1597-1,Pemetaan!$B$3*Pemetaan!$B$4)</f>
        <v>695</v>
      </c>
      <c r="D1597" s="0" t="n">
        <f aca="false">INT(C1597/Pemetaan!$B$4)</f>
        <v>27</v>
      </c>
      <c r="E1597" s="0" t="n">
        <f aca="false">MOD(C1597,Pemetaan!$B$4)</f>
        <v>20</v>
      </c>
      <c r="F1597" s="0" t="n">
        <f aca="false">IF(B1597="PRODUKSI",Pemetaan!$B$5,Pemetaan!$B$6)</f>
        <v>46</v>
      </c>
      <c r="G1597" s="0" t="n">
        <f aca="false">F1597+2+D1597</f>
        <v>75</v>
      </c>
      <c r="H1597" s="0" t="n">
        <f aca="false">Pemetaan!$B$2+E1597</f>
        <v>25</v>
      </c>
      <c r="I1597" s="0" t="str">
        <f aca="false">INDEX(Laporan!$A$1:$AZ$300,G1597,1)</f>
        <v>Mixing</v>
      </c>
      <c r="J1597" s="0" t="str">
        <f aca="false">INDEX(Laporan!$A$1:$AZ$300,G1597,2)</f>
        <v>600 ml</v>
      </c>
      <c r="K1597" s="0" t="str">
        <f aca="false">INDEX(Laporan!$A$1:$AZ$300,G1597,3)</f>
        <v>Shift 2</v>
      </c>
      <c r="L1597" s="0" t="n">
        <f aca="false">INDEX(Laporan!$A$1:$AZ$300,G1597,4)</f>
        <v>1</v>
      </c>
      <c r="M1597" s="1" t="n">
        <f aca="false">DATE(Pemetaan!$B$1,VALUE(RIGHT(INDEX(Laporan!$A$1:$AZ$300,F1597+1,H1597),2)),VALUE(LEFT(INDEX(Laporan!$A$1:$AZ$300,F1597+1,H1597),2)))</f>
        <v>46111</v>
      </c>
      <c r="N1597" s="0" t="n">
        <f aca="false">INDEX(Laporan!$A$1:$AZ$300,G1597,H1597)</f>
        <v>20</v>
      </c>
      <c r="O1597" s="0" t="n">
        <f aca="false">IF(N1597="","",IFERROR(VALUE(SUBSTITUTE(SUBSTITUTE(N1597," btl",""),".","")),""))</f>
        <v>20</v>
      </c>
      <c r="P1597" s="0" t="str">
        <f aca="false">IF(B1597="PRODUKSI","produced","reject")</f>
        <v>reject</v>
      </c>
    </row>
    <row r="1598" customFormat="false" ht="15" hidden="false" customHeight="false" outlineLevel="0" collapsed="false">
      <c r="A1598" s="0" t="n">
        <v>1597</v>
      </c>
      <c r="B1598" s="0" t="str">
        <f aca="false">IF(A1598&lt;=36*25,"PRODUKSI","REJECT")</f>
        <v>REJECT</v>
      </c>
      <c r="C1598" s="0" t="n">
        <f aca="false">MOD(A1598-1,Pemetaan!$B$3*Pemetaan!$B$4)</f>
        <v>696</v>
      </c>
      <c r="D1598" s="0" t="n">
        <f aca="false">INT(C1598/Pemetaan!$B$4)</f>
        <v>27</v>
      </c>
      <c r="E1598" s="0" t="n">
        <f aca="false">MOD(C1598,Pemetaan!$B$4)</f>
        <v>21</v>
      </c>
      <c r="F1598" s="0" t="n">
        <f aca="false">IF(B1598="PRODUKSI",Pemetaan!$B$5,Pemetaan!$B$6)</f>
        <v>46</v>
      </c>
      <c r="G1598" s="0" t="n">
        <f aca="false">F1598+2+D1598</f>
        <v>75</v>
      </c>
      <c r="H1598" s="0" t="n">
        <f aca="false">Pemetaan!$B$2+E1598</f>
        <v>26</v>
      </c>
      <c r="I1598" s="0" t="str">
        <f aca="false">INDEX(Laporan!$A$1:$AZ$300,G1598,1)</f>
        <v>Mixing</v>
      </c>
      <c r="J1598" s="0" t="str">
        <f aca="false">INDEX(Laporan!$A$1:$AZ$300,G1598,2)</f>
        <v>600 ml</v>
      </c>
      <c r="K1598" s="0" t="str">
        <f aca="false">INDEX(Laporan!$A$1:$AZ$300,G1598,3)</f>
        <v>Shift 2</v>
      </c>
      <c r="L1598" s="0" t="n">
        <f aca="false">INDEX(Laporan!$A$1:$AZ$300,G1598,4)</f>
        <v>1</v>
      </c>
      <c r="M1598" s="1" t="n">
        <f aca="false">DATE(Pemetaan!$B$1,VALUE(RIGHT(INDEX(Laporan!$A$1:$AZ$300,F1598+1,H1598),2)),VALUE(LEFT(INDEX(Laporan!$A$1:$AZ$300,F1598+1,H1598),2)))</f>
        <v>46112</v>
      </c>
      <c r="N1598" s="0" t="n">
        <f aca="false">INDEX(Laporan!$A$1:$AZ$300,G1598,H1598)</f>
        <v>7</v>
      </c>
      <c r="O1598" s="0" t="n">
        <f aca="false">IF(N1598="","",IFERROR(VALUE(SUBSTITUTE(SUBSTITUTE(N1598," btl",""),".","")),""))</f>
        <v>7</v>
      </c>
      <c r="P1598" s="0" t="str">
        <f aca="false">IF(B1598="PRODUKSI","produced","reject")</f>
        <v>reject</v>
      </c>
    </row>
    <row r="1599" customFormat="false" ht="15" hidden="false" customHeight="false" outlineLevel="0" collapsed="false">
      <c r="A1599" s="0" t="n">
        <v>1598</v>
      </c>
      <c r="B1599" s="0" t="str">
        <f aca="false">IF(A1599&lt;=36*25,"PRODUKSI","REJECT")</f>
        <v>REJECT</v>
      </c>
      <c r="C1599" s="0" t="n">
        <f aca="false">MOD(A1599-1,Pemetaan!$B$3*Pemetaan!$B$4)</f>
        <v>697</v>
      </c>
      <c r="D1599" s="0" t="n">
        <f aca="false">INT(C1599/Pemetaan!$B$4)</f>
        <v>27</v>
      </c>
      <c r="E1599" s="0" t="n">
        <f aca="false">MOD(C1599,Pemetaan!$B$4)</f>
        <v>22</v>
      </c>
      <c r="F1599" s="0" t="n">
        <f aca="false">IF(B1599="PRODUKSI",Pemetaan!$B$5,Pemetaan!$B$6)</f>
        <v>46</v>
      </c>
      <c r="G1599" s="0" t="n">
        <f aca="false">F1599+2+D1599</f>
        <v>75</v>
      </c>
      <c r="H1599" s="0" t="n">
        <f aca="false">Pemetaan!$B$2+E1599</f>
        <v>27</v>
      </c>
      <c r="I1599" s="0" t="str">
        <f aca="false">INDEX(Laporan!$A$1:$AZ$300,G1599,1)</f>
        <v>Mixing</v>
      </c>
      <c r="J1599" s="0" t="str">
        <f aca="false">INDEX(Laporan!$A$1:$AZ$300,G1599,2)</f>
        <v>600 ml</v>
      </c>
      <c r="K1599" s="0" t="str">
        <f aca="false">INDEX(Laporan!$A$1:$AZ$300,G1599,3)</f>
        <v>Shift 2</v>
      </c>
      <c r="L1599" s="0" t="n">
        <f aca="false">INDEX(Laporan!$A$1:$AZ$300,G1599,4)</f>
        <v>1</v>
      </c>
      <c r="M1599" s="1" t="n">
        <f aca="false">DATE(Pemetaan!$B$1,VALUE(RIGHT(INDEX(Laporan!$A$1:$AZ$300,F1599+1,H1599),2)),VALUE(LEFT(INDEX(Laporan!$A$1:$AZ$300,F1599+1,H1599),2)))</f>
        <v>46113</v>
      </c>
      <c r="N1599" s="0" t="n">
        <f aca="false">INDEX(Laporan!$A$1:$AZ$300,G1599,H1599)</f>
        <v>14</v>
      </c>
      <c r="O1599" s="0" t="n">
        <f aca="false">IF(N1599="","",IFERROR(VALUE(SUBSTITUTE(SUBSTITUTE(N1599," btl",""),".","")),""))</f>
        <v>14</v>
      </c>
      <c r="P1599" s="0" t="str">
        <f aca="false">IF(B1599="PRODUKSI","produced","reject")</f>
        <v>reject</v>
      </c>
    </row>
    <row r="1600" customFormat="false" ht="15" hidden="false" customHeight="false" outlineLevel="0" collapsed="false">
      <c r="A1600" s="0" t="n">
        <v>1599</v>
      </c>
      <c r="B1600" s="0" t="str">
        <f aca="false">IF(A1600&lt;=36*25,"PRODUKSI","REJECT")</f>
        <v>REJECT</v>
      </c>
      <c r="C1600" s="0" t="n">
        <f aca="false">MOD(A1600-1,Pemetaan!$B$3*Pemetaan!$B$4)</f>
        <v>698</v>
      </c>
      <c r="D1600" s="0" t="n">
        <f aca="false">INT(C1600/Pemetaan!$B$4)</f>
        <v>27</v>
      </c>
      <c r="E1600" s="0" t="n">
        <f aca="false">MOD(C1600,Pemetaan!$B$4)</f>
        <v>23</v>
      </c>
      <c r="F1600" s="0" t="n">
        <f aca="false">IF(B1600="PRODUKSI",Pemetaan!$B$5,Pemetaan!$B$6)</f>
        <v>46</v>
      </c>
      <c r="G1600" s="0" t="n">
        <f aca="false">F1600+2+D1600</f>
        <v>75</v>
      </c>
      <c r="H1600" s="0" t="n">
        <f aca="false">Pemetaan!$B$2+E1600</f>
        <v>28</v>
      </c>
      <c r="I1600" s="0" t="str">
        <f aca="false">INDEX(Laporan!$A$1:$AZ$300,G1600,1)</f>
        <v>Mixing</v>
      </c>
      <c r="J1600" s="0" t="str">
        <f aca="false">INDEX(Laporan!$A$1:$AZ$300,G1600,2)</f>
        <v>600 ml</v>
      </c>
      <c r="K1600" s="0" t="str">
        <f aca="false">INDEX(Laporan!$A$1:$AZ$300,G1600,3)</f>
        <v>Shift 2</v>
      </c>
      <c r="L1600" s="0" t="n">
        <f aca="false">INDEX(Laporan!$A$1:$AZ$300,G1600,4)</f>
        <v>1</v>
      </c>
      <c r="M1600" s="1" t="n">
        <f aca="false">DATE(Pemetaan!$B$1,VALUE(RIGHT(INDEX(Laporan!$A$1:$AZ$300,F1600+1,H1600),2)),VALUE(LEFT(INDEX(Laporan!$A$1:$AZ$300,F1600+1,H1600),2)))</f>
        <v>46114</v>
      </c>
      <c r="N1600" s="0" t="n">
        <f aca="false">INDEX(Laporan!$A$1:$AZ$300,G1600,H1600)</f>
        <v>14</v>
      </c>
      <c r="O1600" s="0" t="n">
        <f aca="false">IF(N1600="","",IFERROR(VALUE(SUBSTITUTE(SUBSTITUTE(N1600," btl",""),".","")),""))</f>
        <v>14</v>
      </c>
      <c r="P1600" s="0" t="str">
        <f aca="false">IF(B1600="PRODUKSI","produced","reject")</f>
        <v>reject</v>
      </c>
    </row>
    <row r="1601" customFormat="false" ht="15" hidden="false" customHeight="false" outlineLevel="0" collapsed="false">
      <c r="A1601" s="0" t="n">
        <v>1600</v>
      </c>
      <c r="B1601" s="0" t="str">
        <f aca="false">IF(A1601&lt;=36*25,"PRODUKSI","REJECT")</f>
        <v>REJECT</v>
      </c>
      <c r="C1601" s="0" t="n">
        <f aca="false">MOD(A1601-1,Pemetaan!$B$3*Pemetaan!$B$4)</f>
        <v>699</v>
      </c>
      <c r="D1601" s="0" t="n">
        <f aca="false">INT(C1601/Pemetaan!$B$4)</f>
        <v>27</v>
      </c>
      <c r="E1601" s="0" t="n">
        <f aca="false">MOD(C1601,Pemetaan!$B$4)</f>
        <v>24</v>
      </c>
      <c r="F1601" s="0" t="n">
        <f aca="false">IF(B1601="PRODUKSI",Pemetaan!$B$5,Pemetaan!$B$6)</f>
        <v>46</v>
      </c>
      <c r="G1601" s="0" t="n">
        <f aca="false">F1601+2+D1601</f>
        <v>75</v>
      </c>
      <c r="H1601" s="0" t="n">
        <f aca="false">Pemetaan!$B$2+E1601</f>
        <v>29</v>
      </c>
      <c r="I1601" s="0" t="str">
        <f aca="false">INDEX(Laporan!$A$1:$AZ$300,G1601,1)</f>
        <v>Mixing</v>
      </c>
      <c r="J1601" s="0" t="str">
        <f aca="false">INDEX(Laporan!$A$1:$AZ$300,G1601,2)</f>
        <v>600 ml</v>
      </c>
      <c r="K1601" s="0" t="str">
        <f aca="false">INDEX(Laporan!$A$1:$AZ$300,G1601,3)</f>
        <v>Shift 2</v>
      </c>
      <c r="L1601" s="0" t="n">
        <f aca="false">INDEX(Laporan!$A$1:$AZ$300,G1601,4)</f>
        <v>1</v>
      </c>
      <c r="M1601" s="1" t="n">
        <f aca="false">DATE(Pemetaan!$B$1,VALUE(RIGHT(INDEX(Laporan!$A$1:$AZ$300,F1601+1,H1601),2)),VALUE(LEFT(INDEX(Laporan!$A$1:$AZ$300,F1601+1,H1601),2)))</f>
        <v>46115</v>
      </c>
      <c r="N1601" s="0" t="n">
        <f aca="false">INDEX(Laporan!$A$1:$AZ$300,G1601,H1601)</f>
        <v>15</v>
      </c>
      <c r="O1601" s="0" t="n">
        <f aca="false">IF(N1601="","",IFERROR(VALUE(SUBSTITUTE(SUBSTITUTE(N1601," btl",""),".","")),""))</f>
        <v>15</v>
      </c>
      <c r="P1601" s="0" t="str">
        <f aca="false">IF(B1601="PRODUKSI","produced","reject")</f>
        <v>reject</v>
      </c>
    </row>
    <row r="1602" customFormat="false" ht="15" hidden="false" customHeight="false" outlineLevel="0" collapsed="false">
      <c r="A1602" s="0" t="n">
        <v>1601</v>
      </c>
      <c r="B1602" s="0" t="str">
        <f aca="false">IF(A1602&lt;=36*25,"PRODUKSI","REJECT")</f>
        <v>REJECT</v>
      </c>
      <c r="C1602" s="0" t="n">
        <f aca="false">MOD(A1602-1,Pemetaan!$B$3*Pemetaan!$B$4)</f>
        <v>700</v>
      </c>
      <c r="D1602" s="0" t="n">
        <f aca="false">INT(C1602/Pemetaan!$B$4)</f>
        <v>28</v>
      </c>
      <c r="E1602" s="0" t="n">
        <f aca="false">MOD(C1602,Pemetaan!$B$4)</f>
        <v>0</v>
      </c>
      <c r="F1602" s="0" t="n">
        <f aca="false">IF(B1602="PRODUKSI",Pemetaan!$B$5,Pemetaan!$B$6)</f>
        <v>46</v>
      </c>
      <c r="G1602" s="0" t="n">
        <f aca="false">F1602+2+D1602</f>
        <v>76</v>
      </c>
      <c r="H1602" s="0" t="n">
        <f aca="false">Pemetaan!$B$2+E1602</f>
        <v>5</v>
      </c>
      <c r="I1602" s="0" t="str">
        <f aca="false">INDEX(Laporan!$A$1:$AZ$300,G1602,1)</f>
        <v>Mixing</v>
      </c>
      <c r="J1602" s="0" t="str">
        <f aca="false">INDEX(Laporan!$A$1:$AZ$300,G1602,2)</f>
        <v>600 ml</v>
      </c>
      <c r="K1602" s="0" t="str">
        <f aca="false">INDEX(Laporan!$A$1:$AZ$300,G1602,3)</f>
        <v>Shift 2</v>
      </c>
      <c r="L1602" s="0" t="n">
        <f aca="false">INDEX(Laporan!$A$1:$AZ$300,G1602,4)</f>
        <v>2</v>
      </c>
      <c r="M1602" s="1" t="n">
        <f aca="false">DATE(Pemetaan!$B$1,VALUE(RIGHT(INDEX(Laporan!$A$1:$AZ$300,F1602+1,H1602),2)),VALUE(LEFT(INDEX(Laporan!$A$1:$AZ$300,F1602+1,H1602),2)))</f>
        <v>46083</v>
      </c>
      <c r="N1602" s="0" t="n">
        <f aca="false">INDEX(Laporan!$A$1:$AZ$300,G1602,H1602)</f>
        <v>17</v>
      </c>
      <c r="O1602" s="0" t="n">
        <f aca="false">IF(N1602="","",IFERROR(VALUE(SUBSTITUTE(SUBSTITUTE(N1602," btl",""),".","")),""))</f>
        <v>17</v>
      </c>
      <c r="P1602" s="0" t="str">
        <f aca="false">IF(B1602="PRODUKSI","produced","reject")</f>
        <v>reject</v>
      </c>
    </row>
    <row r="1603" customFormat="false" ht="15" hidden="false" customHeight="false" outlineLevel="0" collapsed="false">
      <c r="A1603" s="0" t="n">
        <v>1602</v>
      </c>
      <c r="B1603" s="0" t="str">
        <f aca="false">IF(A1603&lt;=36*25,"PRODUKSI","REJECT")</f>
        <v>REJECT</v>
      </c>
      <c r="C1603" s="0" t="n">
        <f aca="false">MOD(A1603-1,Pemetaan!$B$3*Pemetaan!$B$4)</f>
        <v>701</v>
      </c>
      <c r="D1603" s="0" t="n">
        <f aca="false">INT(C1603/Pemetaan!$B$4)</f>
        <v>28</v>
      </c>
      <c r="E1603" s="0" t="n">
        <f aca="false">MOD(C1603,Pemetaan!$B$4)</f>
        <v>1</v>
      </c>
      <c r="F1603" s="0" t="n">
        <f aca="false">IF(B1603="PRODUKSI",Pemetaan!$B$5,Pemetaan!$B$6)</f>
        <v>46</v>
      </c>
      <c r="G1603" s="0" t="n">
        <f aca="false">F1603+2+D1603</f>
        <v>76</v>
      </c>
      <c r="H1603" s="0" t="n">
        <f aca="false">Pemetaan!$B$2+E1603</f>
        <v>6</v>
      </c>
      <c r="I1603" s="0" t="str">
        <f aca="false">INDEX(Laporan!$A$1:$AZ$300,G1603,1)</f>
        <v>Mixing</v>
      </c>
      <c r="J1603" s="0" t="str">
        <f aca="false">INDEX(Laporan!$A$1:$AZ$300,G1603,2)</f>
        <v>600 ml</v>
      </c>
      <c r="K1603" s="0" t="str">
        <f aca="false">INDEX(Laporan!$A$1:$AZ$300,G1603,3)</f>
        <v>Shift 2</v>
      </c>
      <c r="L1603" s="0" t="n">
        <f aca="false">INDEX(Laporan!$A$1:$AZ$300,G1603,4)</f>
        <v>2</v>
      </c>
      <c r="M1603" s="1" t="n">
        <f aca="false">DATE(Pemetaan!$B$1,VALUE(RIGHT(INDEX(Laporan!$A$1:$AZ$300,F1603+1,H1603),2)),VALUE(LEFT(INDEX(Laporan!$A$1:$AZ$300,F1603+1,H1603),2)))</f>
        <v>46084</v>
      </c>
      <c r="N1603" s="0" t="n">
        <f aca="false">INDEX(Laporan!$A$1:$AZ$300,G1603,H1603)</f>
        <v>18</v>
      </c>
      <c r="O1603" s="0" t="n">
        <f aca="false">IF(N1603="","",IFERROR(VALUE(SUBSTITUTE(SUBSTITUTE(N1603," btl",""),".","")),""))</f>
        <v>18</v>
      </c>
      <c r="P1603" s="0" t="str">
        <f aca="false">IF(B1603="PRODUKSI","produced","reject")</f>
        <v>reject</v>
      </c>
    </row>
    <row r="1604" customFormat="false" ht="15" hidden="false" customHeight="false" outlineLevel="0" collapsed="false">
      <c r="A1604" s="0" t="n">
        <v>1603</v>
      </c>
      <c r="B1604" s="0" t="str">
        <f aca="false">IF(A1604&lt;=36*25,"PRODUKSI","REJECT")</f>
        <v>REJECT</v>
      </c>
      <c r="C1604" s="0" t="n">
        <f aca="false">MOD(A1604-1,Pemetaan!$B$3*Pemetaan!$B$4)</f>
        <v>702</v>
      </c>
      <c r="D1604" s="0" t="n">
        <f aca="false">INT(C1604/Pemetaan!$B$4)</f>
        <v>28</v>
      </c>
      <c r="E1604" s="0" t="n">
        <f aca="false">MOD(C1604,Pemetaan!$B$4)</f>
        <v>2</v>
      </c>
      <c r="F1604" s="0" t="n">
        <f aca="false">IF(B1604="PRODUKSI",Pemetaan!$B$5,Pemetaan!$B$6)</f>
        <v>46</v>
      </c>
      <c r="G1604" s="0" t="n">
        <f aca="false">F1604+2+D1604</f>
        <v>76</v>
      </c>
      <c r="H1604" s="0" t="n">
        <f aca="false">Pemetaan!$B$2+E1604</f>
        <v>7</v>
      </c>
      <c r="I1604" s="0" t="str">
        <f aca="false">INDEX(Laporan!$A$1:$AZ$300,G1604,1)</f>
        <v>Mixing</v>
      </c>
      <c r="J1604" s="0" t="str">
        <f aca="false">INDEX(Laporan!$A$1:$AZ$300,G1604,2)</f>
        <v>600 ml</v>
      </c>
      <c r="K1604" s="0" t="str">
        <f aca="false">INDEX(Laporan!$A$1:$AZ$300,G1604,3)</f>
        <v>Shift 2</v>
      </c>
      <c r="L1604" s="0" t="n">
        <f aca="false">INDEX(Laporan!$A$1:$AZ$300,G1604,4)</f>
        <v>2</v>
      </c>
      <c r="M1604" s="1" t="n">
        <f aca="false">DATE(Pemetaan!$B$1,VALUE(RIGHT(INDEX(Laporan!$A$1:$AZ$300,F1604+1,H1604),2)),VALUE(LEFT(INDEX(Laporan!$A$1:$AZ$300,F1604+1,H1604),2)))</f>
        <v>46085</v>
      </c>
      <c r="N1604" s="0" t="n">
        <f aca="false">INDEX(Laporan!$A$1:$AZ$300,G1604,H1604)</f>
        <v>12</v>
      </c>
      <c r="O1604" s="0" t="n">
        <f aca="false">IF(N1604="","",IFERROR(VALUE(SUBSTITUTE(SUBSTITUTE(N1604," btl",""),".","")),""))</f>
        <v>12</v>
      </c>
      <c r="P1604" s="0" t="str">
        <f aca="false">IF(B1604="PRODUKSI","produced","reject")</f>
        <v>reject</v>
      </c>
    </row>
    <row r="1605" customFormat="false" ht="15" hidden="false" customHeight="false" outlineLevel="0" collapsed="false">
      <c r="A1605" s="0" t="n">
        <v>1604</v>
      </c>
      <c r="B1605" s="0" t="str">
        <f aca="false">IF(A1605&lt;=36*25,"PRODUKSI","REJECT")</f>
        <v>REJECT</v>
      </c>
      <c r="C1605" s="0" t="n">
        <f aca="false">MOD(A1605-1,Pemetaan!$B$3*Pemetaan!$B$4)</f>
        <v>703</v>
      </c>
      <c r="D1605" s="0" t="n">
        <f aca="false">INT(C1605/Pemetaan!$B$4)</f>
        <v>28</v>
      </c>
      <c r="E1605" s="0" t="n">
        <f aca="false">MOD(C1605,Pemetaan!$B$4)</f>
        <v>3</v>
      </c>
      <c r="F1605" s="0" t="n">
        <f aca="false">IF(B1605="PRODUKSI",Pemetaan!$B$5,Pemetaan!$B$6)</f>
        <v>46</v>
      </c>
      <c r="G1605" s="0" t="n">
        <f aca="false">F1605+2+D1605</f>
        <v>76</v>
      </c>
      <c r="H1605" s="0" t="n">
        <f aca="false">Pemetaan!$B$2+E1605</f>
        <v>8</v>
      </c>
      <c r="I1605" s="0" t="str">
        <f aca="false">INDEX(Laporan!$A$1:$AZ$300,G1605,1)</f>
        <v>Mixing</v>
      </c>
      <c r="J1605" s="0" t="str">
        <f aca="false">INDEX(Laporan!$A$1:$AZ$300,G1605,2)</f>
        <v>600 ml</v>
      </c>
      <c r="K1605" s="0" t="str">
        <f aca="false">INDEX(Laporan!$A$1:$AZ$300,G1605,3)</f>
        <v>Shift 2</v>
      </c>
      <c r="L1605" s="0" t="n">
        <f aca="false">INDEX(Laporan!$A$1:$AZ$300,G1605,4)</f>
        <v>2</v>
      </c>
      <c r="M1605" s="1" t="n">
        <f aca="false">DATE(Pemetaan!$B$1,VALUE(RIGHT(INDEX(Laporan!$A$1:$AZ$300,F1605+1,H1605),2)),VALUE(LEFT(INDEX(Laporan!$A$1:$AZ$300,F1605+1,H1605),2)))</f>
        <v>46086</v>
      </c>
      <c r="N1605" s="0" t="n">
        <f aca="false">INDEX(Laporan!$A$1:$AZ$300,G1605,H1605)</f>
        <v>10</v>
      </c>
      <c r="O1605" s="0" t="n">
        <f aca="false">IF(N1605="","",IFERROR(VALUE(SUBSTITUTE(SUBSTITUTE(N1605," btl",""),".","")),""))</f>
        <v>10</v>
      </c>
      <c r="P1605" s="0" t="str">
        <f aca="false">IF(B1605="PRODUKSI","produced","reject")</f>
        <v>reject</v>
      </c>
    </row>
    <row r="1606" customFormat="false" ht="15" hidden="false" customHeight="false" outlineLevel="0" collapsed="false">
      <c r="A1606" s="0" t="n">
        <v>1605</v>
      </c>
      <c r="B1606" s="0" t="str">
        <f aca="false">IF(A1606&lt;=36*25,"PRODUKSI","REJECT")</f>
        <v>REJECT</v>
      </c>
      <c r="C1606" s="0" t="n">
        <f aca="false">MOD(A1606-1,Pemetaan!$B$3*Pemetaan!$B$4)</f>
        <v>704</v>
      </c>
      <c r="D1606" s="0" t="n">
        <f aca="false">INT(C1606/Pemetaan!$B$4)</f>
        <v>28</v>
      </c>
      <c r="E1606" s="0" t="n">
        <f aca="false">MOD(C1606,Pemetaan!$B$4)</f>
        <v>4</v>
      </c>
      <c r="F1606" s="0" t="n">
        <f aca="false">IF(B1606="PRODUKSI",Pemetaan!$B$5,Pemetaan!$B$6)</f>
        <v>46</v>
      </c>
      <c r="G1606" s="0" t="n">
        <f aca="false">F1606+2+D1606</f>
        <v>76</v>
      </c>
      <c r="H1606" s="0" t="n">
        <f aca="false">Pemetaan!$B$2+E1606</f>
        <v>9</v>
      </c>
      <c r="I1606" s="0" t="str">
        <f aca="false">INDEX(Laporan!$A$1:$AZ$300,G1606,1)</f>
        <v>Mixing</v>
      </c>
      <c r="J1606" s="0" t="str">
        <f aca="false">INDEX(Laporan!$A$1:$AZ$300,G1606,2)</f>
        <v>600 ml</v>
      </c>
      <c r="K1606" s="0" t="str">
        <f aca="false">INDEX(Laporan!$A$1:$AZ$300,G1606,3)</f>
        <v>Shift 2</v>
      </c>
      <c r="L1606" s="0" t="n">
        <f aca="false">INDEX(Laporan!$A$1:$AZ$300,G1606,4)</f>
        <v>2</v>
      </c>
      <c r="M1606" s="1" t="n">
        <f aca="false">DATE(Pemetaan!$B$1,VALUE(RIGHT(INDEX(Laporan!$A$1:$AZ$300,F1606+1,H1606),2)),VALUE(LEFT(INDEX(Laporan!$A$1:$AZ$300,F1606+1,H1606),2)))</f>
        <v>46087</v>
      </c>
      <c r="N1606" s="0" t="n">
        <f aca="false">INDEX(Laporan!$A$1:$AZ$300,G1606,H1606)</f>
        <v>20</v>
      </c>
      <c r="O1606" s="0" t="n">
        <f aca="false">IF(N1606="","",IFERROR(VALUE(SUBSTITUTE(SUBSTITUTE(N1606," btl",""),".","")),""))</f>
        <v>20</v>
      </c>
      <c r="P1606" s="0" t="str">
        <f aca="false">IF(B1606="PRODUKSI","produced","reject")</f>
        <v>reject</v>
      </c>
    </row>
    <row r="1607" customFormat="false" ht="15" hidden="false" customHeight="false" outlineLevel="0" collapsed="false">
      <c r="A1607" s="0" t="n">
        <v>1606</v>
      </c>
      <c r="B1607" s="0" t="str">
        <f aca="false">IF(A1607&lt;=36*25,"PRODUKSI","REJECT")</f>
        <v>REJECT</v>
      </c>
      <c r="C1607" s="0" t="n">
        <f aca="false">MOD(A1607-1,Pemetaan!$B$3*Pemetaan!$B$4)</f>
        <v>705</v>
      </c>
      <c r="D1607" s="0" t="n">
        <f aca="false">INT(C1607/Pemetaan!$B$4)</f>
        <v>28</v>
      </c>
      <c r="E1607" s="0" t="n">
        <f aca="false">MOD(C1607,Pemetaan!$B$4)</f>
        <v>5</v>
      </c>
      <c r="F1607" s="0" t="n">
        <f aca="false">IF(B1607="PRODUKSI",Pemetaan!$B$5,Pemetaan!$B$6)</f>
        <v>46</v>
      </c>
      <c r="G1607" s="0" t="n">
        <f aca="false">F1607+2+D1607</f>
        <v>76</v>
      </c>
      <c r="H1607" s="0" t="n">
        <f aca="false">Pemetaan!$B$2+E1607</f>
        <v>10</v>
      </c>
      <c r="I1607" s="0" t="str">
        <f aca="false">INDEX(Laporan!$A$1:$AZ$300,G1607,1)</f>
        <v>Mixing</v>
      </c>
      <c r="J1607" s="0" t="str">
        <f aca="false">INDEX(Laporan!$A$1:$AZ$300,G1607,2)</f>
        <v>600 ml</v>
      </c>
      <c r="K1607" s="0" t="str">
        <f aca="false">INDEX(Laporan!$A$1:$AZ$300,G1607,3)</f>
        <v>Shift 2</v>
      </c>
      <c r="L1607" s="0" t="n">
        <f aca="false">INDEX(Laporan!$A$1:$AZ$300,G1607,4)</f>
        <v>2</v>
      </c>
      <c r="M1607" s="1" t="n">
        <f aca="false">DATE(Pemetaan!$B$1,VALUE(RIGHT(INDEX(Laporan!$A$1:$AZ$300,F1607+1,H1607),2)),VALUE(LEFT(INDEX(Laporan!$A$1:$AZ$300,F1607+1,H1607),2)))</f>
        <v>46090</v>
      </c>
      <c r="N1607" s="0" t="n">
        <f aca="false">INDEX(Laporan!$A$1:$AZ$300,G1607,H1607)</f>
        <v>14</v>
      </c>
      <c r="O1607" s="0" t="n">
        <f aca="false">IF(N1607="","",IFERROR(VALUE(SUBSTITUTE(SUBSTITUTE(N1607," btl",""),".","")),""))</f>
        <v>14</v>
      </c>
      <c r="P1607" s="0" t="str">
        <f aca="false">IF(B1607="PRODUKSI","produced","reject")</f>
        <v>reject</v>
      </c>
    </row>
    <row r="1608" customFormat="false" ht="15" hidden="false" customHeight="false" outlineLevel="0" collapsed="false">
      <c r="A1608" s="0" t="n">
        <v>1607</v>
      </c>
      <c r="B1608" s="0" t="str">
        <f aca="false">IF(A1608&lt;=36*25,"PRODUKSI","REJECT")</f>
        <v>REJECT</v>
      </c>
      <c r="C1608" s="0" t="n">
        <f aca="false">MOD(A1608-1,Pemetaan!$B$3*Pemetaan!$B$4)</f>
        <v>706</v>
      </c>
      <c r="D1608" s="0" t="n">
        <f aca="false">INT(C1608/Pemetaan!$B$4)</f>
        <v>28</v>
      </c>
      <c r="E1608" s="0" t="n">
        <f aca="false">MOD(C1608,Pemetaan!$B$4)</f>
        <v>6</v>
      </c>
      <c r="F1608" s="0" t="n">
        <f aca="false">IF(B1608="PRODUKSI",Pemetaan!$B$5,Pemetaan!$B$6)</f>
        <v>46</v>
      </c>
      <c r="G1608" s="0" t="n">
        <f aca="false">F1608+2+D1608</f>
        <v>76</v>
      </c>
      <c r="H1608" s="0" t="n">
        <f aca="false">Pemetaan!$B$2+E1608</f>
        <v>11</v>
      </c>
      <c r="I1608" s="0" t="str">
        <f aca="false">INDEX(Laporan!$A$1:$AZ$300,G1608,1)</f>
        <v>Mixing</v>
      </c>
      <c r="J1608" s="0" t="str">
        <f aca="false">INDEX(Laporan!$A$1:$AZ$300,G1608,2)</f>
        <v>600 ml</v>
      </c>
      <c r="K1608" s="0" t="str">
        <f aca="false">INDEX(Laporan!$A$1:$AZ$300,G1608,3)</f>
        <v>Shift 2</v>
      </c>
      <c r="L1608" s="0" t="n">
        <f aca="false">INDEX(Laporan!$A$1:$AZ$300,G1608,4)</f>
        <v>2</v>
      </c>
      <c r="M1608" s="1" t="n">
        <f aca="false">DATE(Pemetaan!$B$1,VALUE(RIGHT(INDEX(Laporan!$A$1:$AZ$300,F1608+1,H1608),2)),VALUE(LEFT(INDEX(Laporan!$A$1:$AZ$300,F1608+1,H1608),2)))</f>
        <v>46091</v>
      </c>
      <c r="N1608" s="0" t="n">
        <f aca="false">INDEX(Laporan!$A$1:$AZ$300,G1608,H1608)</f>
        <v>19</v>
      </c>
      <c r="O1608" s="0" t="n">
        <f aca="false">IF(N1608="","",IFERROR(VALUE(SUBSTITUTE(SUBSTITUTE(N1608," btl",""),".","")),""))</f>
        <v>19</v>
      </c>
      <c r="P1608" s="0" t="str">
        <f aca="false">IF(B1608="PRODUKSI","produced","reject")</f>
        <v>reject</v>
      </c>
    </row>
    <row r="1609" customFormat="false" ht="15" hidden="false" customHeight="false" outlineLevel="0" collapsed="false">
      <c r="A1609" s="0" t="n">
        <v>1608</v>
      </c>
      <c r="B1609" s="0" t="str">
        <f aca="false">IF(A1609&lt;=36*25,"PRODUKSI","REJECT")</f>
        <v>REJECT</v>
      </c>
      <c r="C1609" s="0" t="n">
        <f aca="false">MOD(A1609-1,Pemetaan!$B$3*Pemetaan!$B$4)</f>
        <v>707</v>
      </c>
      <c r="D1609" s="0" t="n">
        <f aca="false">INT(C1609/Pemetaan!$B$4)</f>
        <v>28</v>
      </c>
      <c r="E1609" s="0" t="n">
        <f aca="false">MOD(C1609,Pemetaan!$B$4)</f>
        <v>7</v>
      </c>
      <c r="F1609" s="0" t="n">
        <f aca="false">IF(B1609="PRODUKSI",Pemetaan!$B$5,Pemetaan!$B$6)</f>
        <v>46</v>
      </c>
      <c r="G1609" s="0" t="n">
        <f aca="false">F1609+2+D1609</f>
        <v>76</v>
      </c>
      <c r="H1609" s="0" t="n">
        <f aca="false">Pemetaan!$B$2+E1609</f>
        <v>12</v>
      </c>
      <c r="I1609" s="0" t="str">
        <f aca="false">INDEX(Laporan!$A$1:$AZ$300,G1609,1)</f>
        <v>Mixing</v>
      </c>
      <c r="J1609" s="0" t="str">
        <f aca="false">INDEX(Laporan!$A$1:$AZ$300,G1609,2)</f>
        <v>600 ml</v>
      </c>
      <c r="K1609" s="0" t="str">
        <f aca="false">INDEX(Laporan!$A$1:$AZ$300,G1609,3)</f>
        <v>Shift 2</v>
      </c>
      <c r="L1609" s="0" t="n">
        <f aca="false">INDEX(Laporan!$A$1:$AZ$300,G1609,4)</f>
        <v>2</v>
      </c>
      <c r="M1609" s="1" t="n">
        <f aca="false">DATE(Pemetaan!$B$1,VALUE(RIGHT(INDEX(Laporan!$A$1:$AZ$300,F1609+1,H1609),2)),VALUE(LEFT(INDEX(Laporan!$A$1:$AZ$300,F1609+1,H1609),2)))</f>
        <v>46092</v>
      </c>
      <c r="N1609" s="0" t="n">
        <f aca="false">INDEX(Laporan!$A$1:$AZ$300,G1609,H1609)</f>
        <v>16</v>
      </c>
      <c r="O1609" s="0" t="n">
        <f aca="false">IF(N1609="","",IFERROR(VALUE(SUBSTITUTE(SUBSTITUTE(N1609," btl",""),".","")),""))</f>
        <v>16</v>
      </c>
      <c r="P1609" s="0" t="str">
        <f aca="false">IF(B1609="PRODUKSI","produced","reject")</f>
        <v>reject</v>
      </c>
    </row>
    <row r="1610" customFormat="false" ht="15" hidden="false" customHeight="false" outlineLevel="0" collapsed="false">
      <c r="A1610" s="0" t="n">
        <v>1609</v>
      </c>
      <c r="B1610" s="0" t="str">
        <f aca="false">IF(A1610&lt;=36*25,"PRODUKSI","REJECT")</f>
        <v>REJECT</v>
      </c>
      <c r="C1610" s="0" t="n">
        <f aca="false">MOD(A1610-1,Pemetaan!$B$3*Pemetaan!$B$4)</f>
        <v>708</v>
      </c>
      <c r="D1610" s="0" t="n">
        <f aca="false">INT(C1610/Pemetaan!$B$4)</f>
        <v>28</v>
      </c>
      <c r="E1610" s="0" t="n">
        <f aca="false">MOD(C1610,Pemetaan!$B$4)</f>
        <v>8</v>
      </c>
      <c r="F1610" s="0" t="n">
        <f aca="false">IF(B1610="PRODUKSI",Pemetaan!$B$5,Pemetaan!$B$6)</f>
        <v>46</v>
      </c>
      <c r="G1610" s="0" t="n">
        <f aca="false">F1610+2+D1610</f>
        <v>76</v>
      </c>
      <c r="H1610" s="0" t="n">
        <f aca="false">Pemetaan!$B$2+E1610</f>
        <v>13</v>
      </c>
      <c r="I1610" s="0" t="str">
        <f aca="false">INDEX(Laporan!$A$1:$AZ$300,G1610,1)</f>
        <v>Mixing</v>
      </c>
      <c r="J1610" s="0" t="str">
        <f aca="false">INDEX(Laporan!$A$1:$AZ$300,G1610,2)</f>
        <v>600 ml</v>
      </c>
      <c r="K1610" s="0" t="str">
        <f aca="false">INDEX(Laporan!$A$1:$AZ$300,G1610,3)</f>
        <v>Shift 2</v>
      </c>
      <c r="L1610" s="0" t="n">
        <f aca="false">INDEX(Laporan!$A$1:$AZ$300,G1610,4)</f>
        <v>2</v>
      </c>
      <c r="M1610" s="1" t="n">
        <f aca="false">DATE(Pemetaan!$B$1,VALUE(RIGHT(INDEX(Laporan!$A$1:$AZ$300,F1610+1,H1610),2)),VALUE(LEFT(INDEX(Laporan!$A$1:$AZ$300,F1610+1,H1610),2)))</f>
        <v>46093</v>
      </c>
      <c r="N1610" s="0" t="n">
        <f aca="false">INDEX(Laporan!$A$1:$AZ$300,G1610,H1610)</f>
        <v>13</v>
      </c>
      <c r="O1610" s="0" t="n">
        <f aca="false">IF(N1610="","",IFERROR(VALUE(SUBSTITUTE(SUBSTITUTE(N1610," btl",""),".","")),""))</f>
        <v>13</v>
      </c>
      <c r="P1610" s="0" t="str">
        <f aca="false">IF(B1610="PRODUKSI","produced","reject")</f>
        <v>reject</v>
      </c>
    </row>
    <row r="1611" customFormat="false" ht="15" hidden="false" customHeight="false" outlineLevel="0" collapsed="false">
      <c r="A1611" s="0" t="n">
        <v>1610</v>
      </c>
      <c r="B1611" s="0" t="str">
        <f aca="false">IF(A1611&lt;=36*25,"PRODUKSI","REJECT")</f>
        <v>REJECT</v>
      </c>
      <c r="C1611" s="0" t="n">
        <f aca="false">MOD(A1611-1,Pemetaan!$B$3*Pemetaan!$B$4)</f>
        <v>709</v>
      </c>
      <c r="D1611" s="0" t="n">
        <f aca="false">INT(C1611/Pemetaan!$B$4)</f>
        <v>28</v>
      </c>
      <c r="E1611" s="0" t="n">
        <f aca="false">MOD(C1611,Pemetaan!$B$4)</f>
        <v>9</v>
      </c>
      <c r="F1611" s="0" t="n">
        <f aca="false">IF(B1611="PRODUKSI",Pemetaan!$B$5,Pemetaan!$B$6)</f>
        <v>46</v>
      </c>
      <c r="G1611" s="0" t="n">
        <f aca="false">F1611+2+D1611</f>
        <v>76</v>
      </c>
      <c r="H1611" s="0" t="n">
        <f aca="false">Pemetaan!$B$2+E1611</f>
        <v>14</v>
      </c>
      <c r="I1611" s="0" t="str">
        <f aca="false">INDEX(Laporan!$A$1:$AZ$300,G1611,1)</f>
        <v>Mixing</v>
      </c>
      <c r="J1611" s="0" t="str">
        <f aca="false">INDEX(Laporan!$A$1:$AZ$300,G1611,2)</f>
        <v>600 ml</v>
      </c>
      <c r="K1611" s="0" t="str">
        <f aca="false">INDEX(Laporan!$A$1:$AZ$300,G1611,3)</f>
        <v>Shift 2</v>
      </c>
      <c r="L1611" s="0" t="n">
        <f aca="false">INDEX(Laporan!$A$1:$AZ$300,G1611,4)</f>
        <v>2</v>
      </c>
      <c r="M1611" s="1" t="n">
        <f aca="false">DATE(Pemetaan!$B$1,VALUE(RIGHT(INDEX(Laporan!$A$1:$AZ$300,F1611+1,H1611),2)),VALUE(LEFT(INDEX(Laporan!$A$1:$AZ$300,F1611+1,H1611),2)))</f>
        <v>46094</v>
      </c>
      <c r="N1611" s="0" t="n">
        <f aca="false">INDEX(Laporan!$A$1:$AZ$300,G1611,H1611)</f>
        <v>17</v>
      </c>
      <c r="O1611" s="0" t="n">
        <f aca="false">IF(N1611="","",IFERROR(VALUE(SUBSTITUTE(SUBSTITUTE(N1611," btl",""),".","")),""))</f>
        <v>17</v>
      </c>
      <c r="P1611" s="0" t="str">
        <f aca="false">IF(B1611="PRODUKSI","produced","reject")</f>
        <v>reject</v>
      </c>
    </row>
    <row r="1612" customFormat="false" ht="15" hidden="false" customHeight="false" outlineLevel="0" collapsed="false">
      <c r="A1612" s="0" t="n">
        <v>1611</v>
      </c>
      <c r="B1612" s="0" t="str">
        <f aca="false">IF(A1612&lt;=36*25,"PRODUKSI","REJECT")</f>
        <v>REJECT</v>
      </c>
      <c r="C1612" s="0" t="n">
        <f aca="false">MOD(A1612-1,Pemetaan!$B$3*Pemetaan!$B$4)</f>
        <v>710</v>
      </c>
      <c r="D1612" s="0" t="n">
        <f aca="false">INT(C1612/Pemetaan!$B$4)</f>
        <v>28</v>
      </c>
      <c r="E1612" s="0" t="n">
        <f aca="false">MOD(C1612,Pemetaan!$B$4)</f>
        <v>10</v>
      </c>
      <c r="F1612" s="0" t="n">
        <f aca="false">IF(B1612="PRODUKSI",Pemetaan!$B$5,Pemetaan!$B$6)</f>
        <v>46</v>
      </c>
      <c r="G1612" s="0" t="n">
        <f aca="false">F1612+2+D1612</f>
        <v>76</v>
      </c>
      <c r="H1612" s="0" t="n">
        <f aca="false">Pemetaan!$B$2+E1612</f>
        <v>15</v>
      </c>
      <c r="I1612" s="0" t="str">
        <f aca="false">INDEX(Laporan!$A$1:$AZ$300,G1612,1)</f>
        <v>Mixing</v>
      </c>
      <c r="J1612" s="0" t="str">
        <f aca="false">INDEX(Laporan!$A$1:$AZ$300,G1612,2)</f>
        <v>600 ml</v>
      </c>
      <c r="K1612" s="0" t="str">
        <f aca="false">INDEX(Laporan!$A$1:$AZ$300,G1612,3)</f>
        <v>Shift 2</v>
      </c>
      <c r="L1612" s="0" t="n">
        <f aca="false">INDEX(Laporan!$A$1:$AZ$300,G1612,4)</f>
        <v>2</v>
      </c>
      <c r="M1612" s="1" t="n">
        <f aca="false">DATE(Pemetaan!$B$1,VALUE(RIGHT(INDEX(Laporan!$A$1:$AZ$300,F1612+1,H1612),2)),VALUE(LEFT(INDEX(Laporan!$A$1:$AZ$300,F1612+1,H1612),2)))</f>
        <v>46097</v>
      </c>
      <c r="N1612" s="0" t="n">
        <f aca="false">INDEX(Laporan!$A$1:$AZ$300,G1612,H1612)</f>
        <v>13</v>
      </c>
      <c r="O1612" s="0" t="n">
        <f aca="false">IF(N1612="","",IFERROR(VALUE(SUBSTITUTE(SUBSTITUTE(N1612," btl",""),".","")),""))</f>
        <v>13</v>
      </c>
      <c r="P1612" s="0" t="str">
        <f aca="false">IF(B1612="PRODUKSI","produced","reject")</f>
        <v>reject</v>
      </c>
    </row>
    <row r="1613" customFormat="false" ht="15" hidden="false" customHeight="false" outlineLevel="0" collapsed="false">
      <c r="A1613" s="0" t="n">
        <v>1612</v>
      </c>
      <c r="B1613" s="0" t="str">
        <f aca="false">IF(A1613&lt;=36*25,"PRODUKSI","REJECT")</f>
        <v>REJECT</v>
      </c>
      <c r="C1613" s="0" t="n">
        <f aca="false">MOD(A1613-1,Pemetaan!$B$3*Pemetaan!$B$4)</f>
        <v>711</v>
      </c>
      <c r="D1613" s="0" t="n">
        <f aca="false">INT(C1613/Pemetaan!$B$4)</f>
        <v>28</v>
      </c>
      <c r="E1613" s="0" t="n">
        <f aca="false">MOD(C1613,Pemetaan!$B$4)</f>
        <v>11</v>
      </c>
      <c r="F1613" s="0" t="n">
        <f aca="false">IF(B1613="PRODUKSI",Pemetaan!$B$5,Pemetaan!$B$6)</f>
        <v>46</v>
      </c>
      <c r="G1613" s="0" t="n">
        <f aca="false">F1613+2+D1613</f>
        <v>76</v>
      </c>
      <c r="H1613" s="0" t="n">
        <f aca="false">Pemetaan!$B$2+E1613</f>
        <v>16</v>
      </c>
      <c r="I1613" s="0" t="str">
        <f aca="false">INDEX(Laporan!$A$1:$AZ$300,G1613,1)</f>
        <v>Mixing</v>
      </c>
      <c r="J1613" s="0" t="str">
        <f aca="false">INDEX(Laporan!$A$1:$AZ$300,G1613,2)</f>
        <v>600 ml</v>
      </c>
      <c r="K1613" s="0" t="str">
        <f aca="false">INDEX(Laporan!$A$1:$AZ$300,G1613,3)</f>
        <v>Shift 2</v>
      </c>
      <c r="L1613" s="0" t="n">
        <f aca="false">INDEX(Laporan!$A$1:$AZ$300,G1613,4)</f>
        <v>2</v>
      </c>
      <c r="M1613" s="1" t="n">
        <f aca="false">DATE(Pemetaan!$B$1,VALUE(RIGHT(INDEX(Laporan!$A$1:$AZ$300,F1613+1,H1613),2)),VALUE(LEFT(INDEX(Laporan!$A$1:$AZ$300,F1613+1,H1613),2)))</f>
        <v>46098</v>
      </c>
      <c r="N1613" s="0" t="n">
        <f aca="false">INDEX(Laporan!$A$1:$AZ$300,G1613,H1613)</f>
        <v>14</v>
      </c>
      <c r="O1613" s="0" t="n">
        <f aca="false">IF(N1613="","",IFERROR(VALUE(SUBSTITUTE(SUBSTITUTE(N1613," btl",""),".","")),""))</f>
        <v>14</v>
      </c>
      <c r="P1613" s="0" t="str">
        <f aca="false">IF(B1613="PRODUKSI","produced","reject")</f>
        <v>reject</v>
      </c>
    </row>
    <row r="1614" customFormat="false" ht="15" hidden="false" customHeight="false" outlineLevel="0" collapsed="false">
      <c r="A1614" s="0" t="n">
        <v>1613</v>
      </c>
      <c r="B1614" s="0" t="str">
        <f aca="false">IF(A1614&lt;=36*25,"PRODUKSI","REJECT")</f>
        <v>REJECT</v>
      </c>
      <c r="C1614" s="0" t="n">
        <f aca="false">MOD(A1614-1,Pemetaan!$B$3*Pemetaan!$B$4)</f>
        <v>712</v>
      </c>
      <c r="D1614" s="0" t="n">
        <f aca="false">INT(C1614/Pemetaan!$B$4)</f>
        <v>28</v>
      </c>
      <c r="E1614" s="0" t="n">
        <f aca="false">MOD(C1614,Pemetaan!$B$4)</f>
        <v>12</v>
      </c>
      <c r="F1614" s="0" t="n">
        <f aca="false">IF(B1614="PRODUKSI",Pemetaan!$B$5,Pemetaan!$B$6)</f>
        <v>46</v>
      </c>
      <c r="G1614" s="0" t="n">
        <f aca="false">F1614+2+D1614</f>
        <v>76</v>
      </c>
      <c r="H1614" s="0" t="n">
        <f aca="false">Pemetaan!$B$2+E1614</f>
        <v>17</v>
      </c>
      <c r="I1614" s="0" t="str">
        <f aca="false">INDEX(Laporan!$A$1:$AZ$300,G1614,1)</f>
        <v>Mixing</v>
      </c>
      <c r="J1614" s="0" t="str">
        <f aca="false">INDEX(Laporan!$A$1:$AZ$300,G1614,2)</f>
        <v>600 ml</v>
      </c>
      <c r="K1614" s="0" t="str">
        <f aca="false">INDEX(Laporan!$A$1:$AZ$300,G1614,3)</f>
        <v>Shift 2</v>
      </c>
      <c r="L1614" s="0" t="n">
        <f aca="false">INDEX(Laporan!$A$1:$AZ$300,G1614,4)</f>
        <v>2</v>
      </c>
      <c r="M1614" s="1" t="n">
        <f aca="false">DATE(Pemetaan!$B$1,VALUE(RIGHT(INDEX(Laporan!$A$1:$AZ$300,F1614+1,H1614),2)),VALUE(LEFT(INDEX(Laporan!$A$1:$AZ$300,F1614+1,H1614),2)))</f>
        <v>46099</v>
      </c>
      <c r="N1614" s="0" t="n">
        <f aca="false">INDEX(Laporan!$A$1:$AZ$300,G1614,H1614)</f>
        <v>25</v>
      </c>
      <c r="O1614" s="0" t="n">
        <f aca="false">IF(N1614="","",IFERROR(VALUE(SUBSTITUTE(SUBSTITUTE(N1614," btl",""),".","")),""))</f>
        <v>25</v>
      </c>
      <c r="P1614" s="0" t="str">
        <f aca="false">IF(B1614="PRODUKSI","produced","reject")</f>
        <v>reject</v>
      </c>
    </row>
    <row r="1615" customFormat="false" ht="15" hidden="false" customHeight="false" outlineLevel="0" collapsed="false">
      <c r="A1615" s="0" t="n">
        <v>1614</v>
      </c>
      <c r="B1615" s="0" t="str">
        <f aca="false">IF(A1615&lt;=36*25,"PRODUKSI","REJECT")</f>
        <v>REJECT</v>
      </c>
      <c r="C1615" s="0" t="n">
        <f aca="false">MOD(A1615-1,Pemetaan!$B$3*Pemetaan!$B$4)</f>
        <v>713</v>
      </c>
      <c r="D1615" s="0" t="n">
        <f aca="false">INT(C1615/Pemetaan!$B$4)</f>
        <v>28</v>
      </c>
      <c r="E1615" s="0" t="n">
        <f aca="false">MOD(C1615,Pemetaan!$B$4)</f>
        <v>13</v>
      </c>
      <c r="F1615" s="0" t="n">
        <f aca="false">IF(B1615="PRODUKSI",Pemetaan!$B$5,Pemetaan!$B$6)</f>
        <v>46</v>
      </c>
      <c r="G1615" s="0" t="n">
        <f aca="false">F1615+2+D1615</f>
        <v>76</v>
      </c>
      <c r="H1615" s="0" t="n">
        <f aca="false">Pemetaan!$B$2+E1615</f>
        <v>18</v>
      </c>
      <c r="I1615" s="0" t="str">
        <f aca="false">INDEX(Laporan!$A$1:$AZ$300,G1615,1)</f>
        <v>Mixing</v>
      </c>
      <c r="J1615" s="0" t="str">
        <f aca="false">INDEX(Laporan!$A$1:$AZ$300,G1615,2)</f>
        <v>600 ml</v>
      </c>
      <c r="K1615" s="0" t="str">
        <f aca="false">INDEX(Laporan!$A$1:$AZ$300,G1615,3)</f>
        <v>Shift 2</v>
      </c>
      <c r="L1615" s="0" t="n">
        <f aca="false">INDEX(Laporan!$A$1:$AZ$300,G1615,4)</f>
        <v>2</v>
      </c>
      <c r="M1615" s="1" t="n">
        <f aca="false">DATE(Pemetaan!$B$1,VALUE(RIGHT(INDEX(Laporan!$A$1:$AZ$300,F1615+1,H1615),2)),VALUE(LEFT(INDEX(Laporan!$A$1:$AZ$300,F1615+1,H1615),2)))</f>
        <v>46100</v>
      </c>
      <c r="N1615" s="0" t="n">
        <f aca="false">INDEX(Laporan!$A$1:$AZ$300,G1615,H1615)</f>
        <v>13</v>
      </c>
      <c r="O1615" s="0" t="n">
        <f aca="false">IF(N1615="","",IFERROR(VALUE(SUBSTITUTE(SUBSTITUTE(N1615," btl",""),".","")),""))</f>
        <v>13</v>
      </c>
      <c r="P1615" s="0" t="str">
        <f aca="false">IF(B1615="PRODUKSI","produced","reject")</f>
        <v>reject</v>
      </c>
    </row>
    <row r="1616" customFormat="false" ht="15" hidden="false" customHeight="false" outlineLevel="0" collapsed="false">
      <c r="A1616" s="0" t="n">
        <v>1615</v>
      </c>
      <c r="B1616" s="0" t="str">
        <f aca="false">IF(A1616&lt;=36*25,"PRODUKSI","REJECT")</f>
        <v>REJECT</v>
      </c>
      <c r="C1616" s="0" t="n">
        <f aca="false">MOD(A1616-1,Pemetaan!$B$3*Pemetaan!$B$4)</f>
        <v>714</v>
      </c>
      <c r="D1616" s="0" t="n">
        <f aca="false">INT(C1616/Pemetaan!$B$4)</f>
        <v>28</v>
      </c>
      <c r="E1616" s="0" t="n">
        <f aca="false">MOD(C1616,Pemetaan!$B$4)</f>
        <v>14</v>
      </c>
      <c r="F1616" s="0" t="n">
        <f aca="false">IF(B1616="PRODUKSI",Pemetaan!$B$5,Pemetaan!$B$6)</f>
        <v>46</v>
      </c>
      <c r="G1616" s="0" t="n">
        <f aca="false">F1616+2+D1616</f>
        <v>76</v>
      </c>
      <c r="H1616" s="0" t="n">
        <f aca="false">Pemetaan!$B$2+E1616</f>
        <v>19</v>
      </c>
      <c r="I1616" s="0" t="str">
        <f aca="false">INDEX(Laporan!$A$1:$AZ$300,G1616,1)</f>
        <v>Mixing</v>
      </c>
      <c r="J1616" s="0" t="str">
        <f aca="false">INDEX(Laporan!$A$1:$AZ$300,G1616,2)</f>
        <v>600 ml</v>
      </c>
      <c r="K1616" s="0" t="str">
        <f aca="false">INDEX(Laporan!$A$1:$AZ$300,G1616,3)</f>
        <v>Shift 2</v>
      </c>
      <c r="L1616" s="0" t="n">
        <f aca="false">INDEX(Laporan!$A$1:$AZ$300,G1616,4)</f>
        <v>2</v>
      </c>
      <c r="M1616" s="1" t="n">
        <f aca="false">DATE(Pemetaan!$B$1,VALUE(RIGHT(INDEX(Laporan!$A$1:$AZ$300,F1616+1,H1616),2)),VALUE(LEFT(INDEX(Laporan!$A$1:$AZ$300,F1616+1,H1616),2)))</f>
        <v>46101</v>
      </c>
      <c r="N1616" s="0" t="n">
        <f aca="false">INDEX(Laporan!$A$1:$AZ$300,G1616,H1616)</f>
        <v>13</v>
      </c>
      <c r="O1616" s="0" t="n">
        <f aca="false">IF(N1616="","",IFERROR(VALUE(SUBSTITUTE(SUBSTITUTE(N1616," btl",""),".","")),""))</f>
        <v>13</v>
      </c>
      <c r="P1616" s="0" t="str">
        <f aca="false">IF(B1616="PRODUKSI","produced","reject")</f>
        <v>reject</v>
      </c>
    </row>
    <row r="1617" customFormat="false" ht="15" hidden="false" customHeight="false" outlineLevel="0" collapsed="false">
      <c r="A1617" s="0" t="n">
        <v>1616</v>
      </c>
      <c r="B1617" s="0" t="str">
        <f aca="false">IF(A1617&lt;=36*25,"PRODUKSI","REJECT")</f>
        <v>REJECT</v>
      </c>
      <c r="C1617" s="0" t="n">
        <f aca="false">MOD(A1617-1,Pemetaan!$B$3*Pemetaan!$B$4)</f>
        <v>715</v>
      </c>
      <c r="D1617" s="0" t="n">
        <f aca="false">INT(C1617/Pemetaan!$B$4)</f>
        <v>28</v>
      </c>
      <c r="E1617" s="0" t="n">
        <f aca="false">MOD(C1617,Pemetaan!$B$4)</f>
        <v>15</v>
      </c>
      <c r="F1617" s="0" t="n">
        <f aca="false">IF(B1617="PRODUKSI",Pemetaan!$B$5,Pemetaan!$B$6)</f>
        <v>46</v>
      </c>
      <c r="G1617" s="0" t="n">
        <f aca="false">F1617+2+D1617</f>
        <v>76</v>
      </c>
      <c r="H1617" s="0" t="n">
        <f aca="false">Pemetaan!$B$2+E1617</f>
        <v>20</v>
      </c>
      <c r="I1617" s="0" t="str">
        <f aca="false">INDEX(Laporan!$A$1:$AZ$300,G1617,1)</f>
        <v>Mixing</v>
      </c>
      <c r="J1617" s="0" t="str">
        <f aca="false">INDEX(Laporan!$A$1:$AZ$300,G1617,2)</f>
        <v>600 ml</v>
      </c>
      <c r="K1617" s="0" t="str">
        <f aca="false">INDEX(Laporan!$A$1:$AZ$300,G1617,3)</f>
        <v>Shift 2</v>
      </c>
      <c r="L1617" s="0" t="n">
        <f aca="false">INDEX(Laporan!$A$1:$AZ$300,G1617,4)</f>
        <v>2</v>
      </c>
      <c r="M1617" s="1" t="n">
        <f aca="false">DATE(Pemetaan!$B$1,VALUE(RIGHT(INDEX(Laporan!$A$1:$AZ$300,F1617+1,H1617),2)),VALUE(LEFT(INDEX(Laporan!$A$1:$AZ$300,F1617+1,H1617),2)))</f>
        <v>46104</v>
      </c>
      <c r="N1617" s="0" t="n">
        <f aca="false">INDEX(Laporan!$A$1:$AZ$300,G1617,H1617)</f>
        <v>16</v>
      </c>
      <c r="O1617" s="0" t="n">
        <f aca="false">IF(N1617="","",IFERROR(VALUE(SUBSTITUTE(SUBSTITUTE(N1617," btl",""),".","")),""))</f>
        <v>16</v>
      </c>
      <c r="P1617" s="0" t="str">
        <f aca="false">IF(B1617="PRODUKSI","produced","reject")</f>
        <v>reject</v>
      </c>
    </row>
    <row r="1618" customFormat="false" ht="15" hidden="false" customHeight="false" outlineLevel="0" collapsed="false">
      <c r="A1618" s="0" t="n">
        <v>1617</v>
      </c>
      <c r="B1618" s="0" t="str">
        <f aca="false">IF(A1618&lt;=36*25,"PRODUKSI","REJECT")</f>
        <v>REJECT</v>
      </c>
      <c r="C1618" s="0" t="n">
        <f aca="false">MOD(A1618-1,Pemetaan!$B$3*Pemetaan!$B$4)</f>
        <v>716</v>
      </c>
      <c r="D1618" s="0" t="n">
        <f aca="false">INT(C1618/Pemetaan!$B$4)</f>
        <v>28</v>
      </c>
      <c r="E1618" s="0" t="n">
        <f aca="false">MOD(C1618,Pemetaan!$B$4)</f>
        <v>16</v>
      </c>
      <c r="F1618" s="0" t="n">
        <f aca="false">IF(B1618="PRODUKSI",Pemetaan!$B$5,Pemetaan!$B$6)</f>
        <v>46</v>
      </c>
      <c r="G1618" s="0" t="n">
        <f aca="false">F1618+2+D1618</f>
        <v>76</v>
      </c>
      <c r="H1618" s="0" t="n">
        <f aca="false">Pemetaan!$B$2+E1618</f>
        <v>21</v>
      </c>
      <c r="I1618" s="0" t="str">
        <f aca="false">INDEX(Laporan!$A$1:$AZ$300,G1618,1)</f>
        <v>Mixing</v>
      </c>
      <c r="J1618" s="0" t="str">
        <f aca="false">INDEX(Laporan!$A$1:$AZ$300,G1618,2)</f>
        <v>600 ml</v>
      </c>
      <c r="K1618" s="0" t="str">
        <f aca="false">INDEX(Laporan!$A$1:$AZ$300,G1618,3)</f>
        <v>Shift 2</v>
      </c>
      <c r="L1618" s="0" t="n">
        <f aca="false">INDEX(Laporan!$A$1:$AZ$300,G1618,4)</f>
        <v>2</v>
      </c>
      <c r="M1618" s="1" t="n">
        <f aca="false">DATE(Pemetaan!$B$1,VALUE(RIGHT(INDEX(Laporan!$A$1:$AZ$300,F1618+1,H1618),2)),VALUE(LEFT(INDEX(Laporan!$A$1:$AZ$300,F1618+1,H1618),2)))</f>
        <v>46105</v>
      </c>
      <c r="N1618" s="0" t="n">
        <f aca="false">INDEX(Laporan!$A$1:$AZ$300,G1618,H1618)</f>
        <v>12</v>
      </c>
      <c r="O1618" s="0" t="n">
        <f aca="false">IF(N1618="","",IFERROR(VALUE(SUBSTITUTE(SUBSTITUTE(N1618," btl",""),".","")),""))</f>
        <v>12</v>
      </c>
      <c r="P1618" s="0" t="str">
        <f aca="false">IF(B1618="PRODUKSI","produced","reject")</f>
        <v>reject</v>
      </c>
    </row>
    <row r="1619" customFormat="false" ht="15" hidden="false" customHeight="false" outlineLevel="0" collapsed="false">
      <c r="A1619" s="0" t="n">
        <v>1618</v>
      </c>
      <c r="B1619" s="0" t="str">
        <f aca="false">IF(A1619&lt;=36*25,"PRODUKSI","REJECT")</f>
        <v>REJECT</v>
      </c>
      <c r="C1619" s="0" t="n">
        <f aca="false">MOD(A1619-1,Pemetaan!$B$3*Pemetaan!$B$4)</f>
        <v>717</v>
      </c>
      <c r="D1619" s="0" t="n">
        <f aca="false">INT(C1619/Pemetaan!$B$4)</f>
        <v>28</v>
      </c>
      <c r="E1619" s="0" t="n">
        <f aca="false">MOD(C1619,Pemetaan!$B$4)</f>
        <v>17</v>
      </c>
      <c r="F1619" s="0" t="n">
        <f aca="false">IF(B1619="PRODUKSI",Pemetaan!$B$5,Pemetaan!$B$6)</f>
        <v>46</v>
      </c>
      <c r="G1619" s="0" t="n">
        <f aca="false">F1619+2+D1619</f>
        <v>76</v>
      </c>
      <c r="H1619" s="0" t="n">
        <f aca="false">Pemetaan!$B$2+E1619</f>
        <v>22</v>
      </c>
      <c r="I1619" s="0" t="str">
        <f aca="false">INDEX(Laporan!$A$1:$AZ$300,G1619,1)</f>
        <v>Mixing</v>
      </c>
      <c r="J1619" s="0" t="str">
        <f aca="false">INDEX(Laporan!$A$1:$AZ$300,G1619,2)</f>
        <v>600 ml</v>
      </c>
      <c r="K1619" s="0" t="str">
        <f aca="false">INDEX(Laporan!$A$1:$AZ$300,G1619,3)</f>
        <v>Shift 2</v>
      </c>
      <c r="L1619" s="0" t="n">
        <f aca="false">INDEX(Laporan!$A$1:$AZ$300,G1619,4)</f>
        <v>2</v>
      </c>
      <c r="M1619" s="1" t="n">
        <f aca="false">DATE(Pemetaan!$B$1,VALUE(RIGHT(INDEX(Laporan!$A$1:$AZ$300,F1619+1,H1619),2)),VALUE(LEFT(INDEX(Laporan!$A$1:$AZ$300,F1619+1,H1619),2)))</f>
        <v>46106</v>
      </c>
      <c r="N1619" s="0" t="n">
        <f aca="false">INDEX(Laporan!$A$1:$AZ$300,G1619,H1619)</f>
        <v>13</v>
      </c>
      <c r="O1619" s="0" t="n">
        <f aca="false">IF(N1619="","",IFERROR(VALUE(SUBSTITUTE(SUBSTITUTE(N1619," btl",""),".","")),""))</f>
        <v>13</v>
      </c>
      <c r="P1619" s="0" t="str">
        <f aca="false">IF(B1619="PRODUKSI","produced","reject")</f>
        <v>reject</v>
      </c>
    </row>
    <row r="1620" customFormat="false" ht="15" hidden="false" customHeight="false" outlineLevel="0" collapsed="false">
      <c r="A1620" s="0" t="n">
        <v>1619</v>
      </c>
      <c r="B1620" s="0" t="str">
        <f aca="false">IF(A1620&lt;=36*25,"PRODUKSI","REJECT")</f>
        <v>REJECT</v>
      </c>
      <c r="C1620" s="0" t="n">
        <f aca="false">MOD(A1620-1,Pemetaan!$B$3*Pemetaan!$B$4)</f>
        <v>718</v>
      </c>
      <c r="D1620" s="0" t="n">
        <f aca="false">INT(C1620/Pemetaan!$B$4)</f>
        <v>28</v>
      </c>
      <c r="E1620" s="0" t="n">
        <f aca="false">MOD(C1620,Pemetaan!$B$4)</f>
        <v>18</v>
      </c>
      <c r="F1620" s="0" t="n">
        <f aca="false">IF(B1620="PRODUKSI",Pemetaan!$B$5,Pemetaan!$B$6)</f>
        <v>46</v>
      </c>
      <c r="G1620" s="0" t="n">
        <f aca="false">F1620+2+D1620</f>
        <v>76</v>
      </c>
      <c r="H1620" s="0" t="n">
        <f aca="false">Pemetaan!$B$2+E1620</f>
        <v>23</v>
      </c>
      <c r="I1620" s="0" t="str">
        <f aca="false">INDEX(Laporan!$A$1:$AZ$300,G1620,1)</f>
        <v>Mixing</v>
      </c>
      <c r="J1620" s="0" t="str">
        <f aca="false">INDEX(Laporan!$A$1:$AZ$300,G1620,2)</f>
        <v>600 ml</v>
      </c>
      <c r="K1620" s="0" t="str">
        <f aca="false">INDEX(Laporan!$A$1:$AZ$300,G1620,3)</f>
        <v>Shift 2</v>
      </c>
      <c r="L1620" s="0" t="n">
        <f aca="false">INDEX(Laporan!$A$1:$AZ$300,G1620,4)</f>
        <v>2</v>
      </c>
      <c r="M1620" s="1" t="n">
        <f aca="false">DATE(Pemetaan!$B$1,VALUE(RIGHT(INDEX(Laporan!$A$1:$AZ$300,F1620+1,H1620),2)),VALUE(LEFT(INDEX(Laporan!$A$1:$AZ$300,F1620+1,H1620),2)))</f>
        <v>46107</v>
      </c>
      <c r="N1620" s="0" t="n">
        <f aca="false">INDEX(Laporan!$A$1:$AZ$300,G1620,H1620)</f>
        <v>11</v>
      </c>
      <c r="O1620" s="0" t="n">
        <f aca="false">IF(N1620="","",IFERROR(VALUE(SUBSTITUTE(SUBSTITUTE(N1620," btl",""),".","")),""))</f>
        <v>11</v>
      </c>
      <c r="P1620" s="0" t="str">
        <f aca="false">IF(B1620="PRODUKSI","produced","reject")</f>
        <v>reject</v>
      </c>
    </row>
    <row r="1621" customFormat="false" ht="15" hidden="false" customHeight="false" outlineLevel="0" collapsed="false">
      <c r="A1621" s="0" t="n">
        <v>1620</v>
      </c>
      <c r="B1621" s="0" t="str">
        <f aca="false">IF(A1621&lt;=36*25,"PRODUKSI","REJECT")</f>
        <v>REJECT</v>
      </c>
      <c r="C1621" s="0" t="n">
        <f aca="false">MOD(A1621-1,Pemetaan!$B$3*Pemetaan!$B$4)</f>
        <v>719</v>
      </c>
      <c r="D1621" s="0" t="n">
        <f aca="false">INT(C1621/Pemetaan!$B$4)</f>
        <v>28</v>
      </c>
      <c r="E1621" s="0" t="n">
        <f aca="false">MOD(C1621,Pemetaan!$B$4)</f>
        <v>19</v>
      </c>
      <c r="F1621" s="0" t="n">
        <f aca="false">IF(B1621="PRODUKSI",Pemetaan!$B$5,Pemetaan!$B$6)</f>
        <v>46</v>
      </c>
      <c r="G1621" s="0" t="n">
        <f aca="false">F1621+2+D1621</f>
        <v>76</v>
      </c>
      <c r="H1621" s="0" t="n">
        <f aca="false">Pemetaan!$B$2+E1621</f>
        <v>24</v>
      </c>
      <c r="I1621" s="0" t="str">
        <f aca="false">INDEX(Laporan!$A$1:$AZ$300,G1621,1)</f>
        <v>Mixing</v>
      </c>
      <c r="J1621" s="0" t="str">
        <f aca="false">INDEX(Laporan!$A$1:$AZ$300,G1621,2)</f>
        <v>600 ml</v>
      </c>
      <c r="K1621" s="0" t="str">
        <f aca="false">INDEX(Laporan!$A$1:$AZ$300,G1621,3)</f>
        <v>Shift 2</v>
      </c>
      <c r="L1621" s="0" t="n">
        <f aca="false">INDEX(Laporan!$A$1:$AZ$300,G1621,4)</f>
        <v>2</v>
      </c>
      <c r="M1621" s="1" t="n">
        <f aca="false">DATE(Pemetaan!$B$1,VALUE(RIGHT(INDEX(Laporan!$A$1:$AZ$300,F1621+1,H1621),2)),VALUE(LEFT(INDEX(Laporan!$A$1:$AZ$300,F1621+1,H1621),2)))</f>
        <v>46108</v>
      </c>
      <c r="N1621" s="0" t="n">
        <f aca="false">INDEX(Laporan!$A$1:$AZ$300,G1621,H1621)</f>
        <v>27</v>
      </c>
      <c r="O1621" s="0" t="n">
        <f aca="false">IF(N1621="","",IFERROR(VALUE(SUBSTITUTE(SUBSTITUTE(N1621," btl",""),".","")),""))</f>
        <v>27</v>
      </c>
      <c r="P1621" s="0" t="str">
        <f aca="false">IF(B1621="PRODUKSI","produced","reject")</f>
        <v>reject</v>
      </c>
    </row>
    <row r="1622" customFormat="false" ht="15" hidden="false" customHeight="false" outlineLevel="0" collapsed="false">
      <c r="A1622" s="0" t="n">
        <v>1621</v>
      </c>
      <c r="B1622" s="0" t="str">
        <f aca="false">IF(A1622&lt;=36*25,"PRODUKSI","REJECT")</f>
        <v>REJECT</v>
      </c>
      <c r="C1622" s="0" t="n">
        <f aca="false">MOD(A1622-1,Pemetaan!$B$3*Pemetaan!$B$4)</f>
        <v>720</v>
      </c>
      <c r="D1622" s="0" t="n">
        <f aca="false">INT(C1622/Pemetaan!$B$4)</f>
        <v>28</v>
      </c>
      <c r="E1622" s="0" t="n">
        <f aca="false">MOD(C1622,Pemetaan!$B$4)</f>
        <v>20</v>
      </c>
      <c r="F1622" s="0" t="n">
        <f aca="false">IF(B1622="PRODUKSI",Pemetaan!$B$5,Pemetaan!$B$6)</f>
        <v>46</v>
      </c>
      <c r="G1622" s="0" t="n">
        <f aca="false">F1622+2+D1622</f>
        <v>76</v>
      </c>
      <c r="H1622" s="0" t="n">
        <f aca="false">Pemetaan!$B$2+E1622</f>
        <v>25</v>
      </c>
      <c r="I1622" s="0" t="str">
        <f aca="false">INDEX(Laporan!$A$1:$AZ$300,G1622,1)</f>
        <v>Mixing</v>
      </c>
      <c r="J1622" s="0" t="str">
        <f aca="false">INDEX(Laporan!$A$1:$AZ$300,G1622,2)</f>
        <v>600 ml</v>
      </c>
      <c r="K1622" s="0" t="str">
        <f aca="false">INDEX(Laporan!$A$1:$AZ$300,G1622,3)</f>
        <v>Shift 2</v>
      </c>
      <c r="L1622" s="0" t="n">
        <f aca="false">INDEX(Laporan!$A$1:$AZ$300,G1622,4)</f>
        <v>2</v>
      </c>
      <c r="M1622" s="1" t="n">
        <f aca="false">DATE(Pemetaan!$B$1,VALUE(RIGHT(INDEX(Laporan!$A$1:$AZ$300,F1622+1,H1622),2)),VALUE(LEFT(INDEX(Laporan!$A$1:$AZ$300,F1622+1,H1622),2)))</f>
        <v>46111</v>
      </c>
      <c r="N1622" s="0" t="n">
        <f aca="false">INDEX(Laporan!$A$1:$AZ$300,G1622,H1622)</f>
        <v>16</v>
      </c>
      <c r="O1622" s="0" t="n">
        <f aca="false">IF(N1622="","",IFERROR(VALUE(SUBSTITUTE(SUBSTITUTE(N1622," btl",""),".","")),""))</f>
        <v>16</v>
      </c>
      <c r="P1622" s="0" t="str">
        <f aca="false">IF(B1622="PRODUKSI","produced","reject")</f>
        <v>reject</v>
      </c>
    </row>
    <row r="1623" customFormat="false" ht="15" hidden="false" customHeight="false" outlineLevel="0" collapsed="false">
      <c r="A1623" s="0" t="n">
        <v>1622</v>
      </c>
      <c r="B1623" s="0" t="str">
        <f aca="false">IF(A1623&lt;=36*25,"PRODUKSI","REJECT")</f>
        <v>REJECT</v>
      </c>
      <c r="C1623" s="0" t="n">
        <f aca="false">MOD(A1623-1,Pemetaan!$B$3*Pemetaan!$B$4)</f>
        <v>721</v>
      </c>
      <c r="D1623" s="0" t="n">
        <f aca="false">INT(C1623/Pemetaan!$B$4)</f>
        <v>28</v>
      </c>
      <c r="E1623" s="0" t="n">
        <f aca="false">MOD(C1623,Pemetaan!$B$4)</f>
        <v>21</v>
      </c>
      <c r="F1623" s="0" t="n">
        <f aca="false">IF(B1623="PRODUKSI",Pemetaan!$B$5,Pemetaan!$B$6)</f>
        <v>46</v>
      </c>
      <c r="G1623" s="0" t="n">
        <f aca="false">F1623+2+D1623</f>
        <v>76</v>
      </c>
      <c r="H1623" s="0" t="n">
        <f aca="false">Pemetaan!$B$2+E1623</f>
        <v>26</v>
      </c>
      <c r="I1623" s="0" t="str">
        <f aca="false">INDEX(Laporan!$A$1:$AZ$300,G1623,1)</f>
        <v>Mixing</v>
      </c>
      <c r="J1623" s="0" t="str">
        <f aca="false">INDEX(Laporan!$A$1:$AZ$300,G1623,2)</f>
        <v>600 ml</v>
      </c>
      <c r="K1623" s="0" t="str">
        <f aca="false">INDEX(Laporan!$A$1:$AZ$300,G1623,3)</f>
        <v>Shift 2</v>
      </c>
      <c r="L1623" s="0" t="n">
        <f aca="false">INDEX(Laporan!$A$1:$AZ$300,G1623,4)</f>
        <v>2</v>
      </c>
      <c r="M1623" s="1" t="n">
        <f aca="false">DATE(Pemetaan!$B$1,VALUE(RIGHT(INDEX(Laporan!$A$1:$AZ$300,F1623+1,H1623),2)),VALUE(LEFT(INDEX(Laporan!$A$1:$AZ$300,F1623+1,H1623),2)))</f>
        <v>46112</v>
      </c>
      <c r="N1623" s="0" t="n">
        <f aca="false">INDEX(Laporan!$A$1:$AZ$300,G1623,H1623)</f>
        <v>14</v>
      </c>
      <c r="O1623" s="0" t="n">
        <f aca="false">IF(N1623="","",IFERROR(VALUE(SUBSTITUTE(SUBSTITUTE(N1623," btl",""),".","")),""))</f>
        <v>14</v>
      </c>
      <c r="P1623" s="0" t="str">
        <f aca="false">IF(B1623="PRODUKSI","produced","reject")</f>
        <v>reject</v>
      </c>
    </row>
    <row r="1624" customFormat="false" ht="15" hidden="false" customHeight="false" outlineLevel="0" collapsed="false">
      <c r="A1624" s="0" t="n">
        <v>1623</v>
      </c>
      <c r="B1624" s="0" t="str">
        <f aca="false">IF(A1624&lt;=36*25,"PRODUKSI","REJECT")</f>
        <v>REJECT</v>
      </c>
      <c r="C1624" s="0" t="n">
        <f aca="false">MOD(A1624-1,Pemetaan!$B$3*Pemetaan!$B$4)</f>
        <v>722</v>
      </c>
      <c r="D1624" s="0" t="n">
        <f aca="false">INT(C1624/Pemetaan!$B$4)</f>
        <v>28</v>
      </c>
      <c r="E1624" s="0" t="n">
        <f aca="false">MOD(C1624,Pemetaan!$B$4)</f>
        <v>22</v>
      </c>
      <c r="F1624" s="0" t="n">
        <f aca="false">IF(B1624="PRODUKSI",Pemetaan!$B$5,Pemetaan!$B$6)</f>
        <v>46</v>
      </c>
      <c r="G1624" s="0" t="n">
        <f aca="false">F1624+2+D1624</f>
        <v>76</v>
      </c>
      <c r="H1624" s="0" t="n">
        <f aca="false">Pemetaan!$B$2+E1624</f>
        <v>27</v>
      </c>
      <c r="I1624" s="0" t="str">
        <f aca="false">INDEX(Laporan!$A$1:$AZ$300,G1624,1)</f>
        <v>Mixing</v>
      </c>
      <c r="J1624" s="0" t="str">
        <f aca="false">INDEX(Laporan!$A$1:$AZ$300,G1624,2)</f>
        <v>600 ml</v>
      </c>
      <c r="K1624" s="0" t="str">
        <f aca="false">INDEX(Laporan!$A$1:$AZ$300,G1624,3)</f>
        <v>Shift 2</v>
      </c>
      <c r="L1624" s="0" t="n">
        <f aca="false">INDEX(Laporan!$A$1:$AZ$300,G1624,4)</f>
        <v>2</v>
      </c>
      <c r="M1624" s="1" t="n">
        <f aca="false">DATE(Pemetaan!$B$1,VALUE(RIGHT(INDEX(Laporan!$A$1:$AZ$300,F1624+1,H1624),2)),VALUE(LEFT(INDEX(Laporan!$A$1:$AZ$300,F1624+1,H1624),2)))</f>
        <v>46113</v>
      </c>
      <c r="N1624" s="0" t="n">
        <f aca="false">INDEX(Laporan!$A$1:$AZ$300,G1624,H1624)</f>
        <v>14</v>
      </c>
      <c r="O1624" s="0" t="n">
        <f aca="false">IF(N1624="","",IFERROR(VALUE(SUBSTITUTE(SUBSTITUTE(N1624," btl",""),".","")),""))</f>
        <v>14</v>
      </c>
      <c r="P1624" s="0" t="str">
        <f aca="false">IF(B1624="PRODUKSI","produced","reject")</f>
        <v>reject</v>
      </c>
    </row>
    <row r="1625" customFormat="false" ht="15" hidden="false" customHeight="false" outlineLevel="0" collapsed="false">
      <c r="A1625" s="0" t="n">
        <v>1624</v>
      </c>
      <c r="B1625" s="0" t="str">
        <f aca="false">IF(A1625&lt;=36*25,"PRODUKSI","REJECT")</f>
        <v>REJECT</v>
      </c>
      <c r="C1625" s="0" t="n">
        <f aca="false">MOD(A1625-1,Pemetaan!$B$3*Pemetaan!$B$4)</f>
        <v>723</v>
      </c>
      <c r="D1625" s="0" t="n">
        <f aca="false">INT(C1625/Pemetaan!$B$4)</f>
        <v>28</v>
      </c>
      <c r="E1625" s="0" t="n">
        <f aca="false">MOD(C1625,Pemetaan!$B$4)</f>
        <v>23</v>
      </c>
      <c r="F1625" s="0" t="n">
        <f aca="false">IF(B1625="PRODUKSI",Pemetaan!$B$5,Pemetaan!$B$6)</f>
        <v>46</v>
      </c>
      <c r="G1625" s="0" t="n">
        <f aca="false">F1625+2+D1625</f>
        <v>76</v>
      </c>
      <c r="H1625" s="0" t="n">
        <f aca="false">Pemetaan!$B$2+E1625</f>
        <v>28</v>
      </c>
      <c r="I1625" s="0" t="str">
        <f aca="false">INDEX(Laporan!$A$1:$AZ$300,G1625,1)</f>
        <v>Mixing</v>
      </c>
      <c r="J1625" s="0" t="str">
        <f aca="false">INDEX(Laporan!$A$1:$AZ$300,G1625,2)</f>
        <v>600 ml</v>
      </c>
      <c r="K1625" s="0" t="str">
        <f aca="false">INDEX(Laporan!$A$1:$AZ$300,G1625,3)</f>
        <v>Shift 2</v>
      </c>
      <c r="L1625" s="0" t="n">
        <f aca="false">INDEX(Laporan!$A$1:$AZ$300,G1625,4)</f>
        <v>2</v>
      </c>
      <c r="M1625" s="1" t="n">
        <f aca="false">DATE(Pemetaan!$B$1,VALUE(RIGHT(INDEX(Laporan!$A$1:$AZ$300,F1625+1,H1625),2)),VALUE(LEFT(INDEX(Laporan!$A$1:$AZ$300,F1625+1,H1625),2)))</f>
        <v>46114</v>
      </c>
      <c r="N1625" s="0" t="n">
        <f aca="false">INDEX(Laporan!$A$1:$AZ$300,G1625,H1625)</f>
        <v>16</v>
      </c>
      <c r="O1625" s="0" t="n">
        <f aca="false">IF(N1625="","",IFERROR(VALUE(SUBSTITUTE(SUBSTITUTE(N1625," btl",""),".","")),""))</f>
        <v>16</v>
      </c>
      <c r="P1625" s="0" t="str">
        <f aca="false">IF(B1625="PRODUKSI","produced","reject")</f>
        <v>reject</v>
      </c>
    </row>
    <row r="1626" customFormat="false" ht="15" hidden="false" customHeight="false" outlineLevel="0" collapsed="false">
      <c r="A1626" s="0" t="n">
        <v>1625</v>
      </c>
      <c r="B1626" s="0" t="str">
        <f aca="false">IF(A1626&lt;=36*25,"PRODUKSI","REJECT")</f>
        <v>REJECT</v>
      </c>
      <c r="C1626" s="0" t="n">
        <f aca="false">MOD(A1626-1,Pemetaan!$B$3*Pemetaan!$B$4)</f>
        <v>724</v>
      </c>
      <c r="D1626" s="0" t="n">
        <f aca="false">INT(C1626/Pemetaan!$B$4)</f>
        <v>28</v>
      </c>
      <c r="E1626" s="0" t="n">
        <f aca="false">MOD(C1626,Pemetaan!$B$4)</f>
        <v>24</v>
      </c>
      <c r="F1626" s="0" t="n">
        <f aca="false">IF(B1626="PRODUKSI",Pemetaan!$B$5,Pemetaan!$B$6)</f>
        <v>46</v>
      </c>
      <c r="G1626" s="0" t="n">
        <f aca="false">F1626+2+D1626</f>
        <v>76</v>
      </c>
      <c r="H1626" s="0" t="n">
        <f aca="false">Pemetaan!$B$2+E1626</f>
        <v>29</v>
      </c>
      <c r="I1626" s="0" t="str">
        <f aca="false">INDEX(Laporan!$A$1:$AZ$300,G1626,1)</f>
        <v>Mixing</v>
      </c>
      <c r="J1626" s="0" t="str">
        <f aca="false">INDEX(Laporan!$A$1:$AZ$300,G1626,2)</f>
        <v>600 ml</v>
      </c>
      <c r="K1626" s="0" t="str">
        <f aca="false">INDEX(Laporan!$A$1:$AZ$300,G1626,3)</f>
        <v>Shift 2</v>
      </c>
      <c r="L1626" s="0" t="n">
        <f aca="false">INDEX(Laporan!$A$1:$AZ$300,G1626,4)</f>
        <v>2</v>
      </c>
      <c r="M1626" s="1" t="n">
        <f aca="false">DATE(Pemetaan!$B$1,VALUE(RIGHT(INDEX(Laporan!$A$1:$AZ$300,F1626+1,H1626),2)),VALUE(LEFT(INDEX(Laporan!$A$1:$AZ$300,F1626+1,H1626),2)))</f>
        <v>46115</v>
      </c>
      <c r="N1626" s="0" t="n">
        <f aca="false">INDEX(Laporan!$A$1:$AZ$300,G1626,H1626)</f>
        <v>19</v>
      </c>
      <c r="O1626" s="0" t="n">
        <f aca="false">IF(N1626="","",IFERROR(VALUE(SUBSTITUTE(SUBSTITUTE(N1626," btl",""),".","")),""))</f>
        <v>19</v>
      </c>
      <c r="P1626" s="0" t="str">
        <f aca="false">IF(B1626="PRODUKSI","produced","reject")</f>
        <v>reject</v>
      </c>
    </row>
    <row r="1627" customFormat="false" ht="15" hidden="false" customHeight="false" outlineLevel="0" collapsed="false">
      <c r="A1627" s="0" t="n">
        <v>1626</v>
      </c>
      <c r="B1627" s="0" t="str">
        <f aca="false">IF(A1627&lt;=36*25,"PRODUKSI","REJECT")</f>
        <v>REJECT</v>
      </c>
      <c r="C1627" s="0" t="n">
        <f aca="false">MOD(A1627-1,Pemetaan!$B$3*Pemetaan!$B$4)</f>
        <v>725</v>
      </c>
      <c r="D1627" s="0" t="n">
        <f aca="false">INT(C1627/Pemetaan!$B$4)</f>
        <v>29</v>
      </c>
      <c r="E1627" s="0" t="n">
        <f aca="false">MOD(C1627,Pemetaan!$B$4)</f>
        <v>0</v>
      </c>
      <c r="F1627" s="0" t="n">
        <f aca="false">IF(B1627="PRODUKSI",Pemetaan!$B$5,Pemetaan!$B$6)</f>
        <v>46</v>
      </c>
      <c r="G1627" s="0" t="n">
        <f aca="false">F1627+2+D1627</f>
        <v>77</v>
      </c>
      <c r="H1627" s="0" t="n">
        <f aca="false">Pemetaan!$B$2+E1627</f>
        <v>5</v>
      </c>
      <c r="I1627" s="0" t="str">
        <f aca="false">INDEX(Laporan!$A$1:$AZ$300,G1627,1)</f>
        <v>Mixing</v>
      </c>
      <c r="J1627" s="0" t="str">
        <f aca="false">INDEX(Laporan!$A$1:$AZ$300,G1627,2)</f>
        <v>600 ml</v>
      </c>
      <c r="K1627" s="0" t="str">
        <f aca="false">INDEX(Laporan!$A$1:$AZ$300,G1627,3)</f>
        <v>Shift 2</v>
      </c>
      <c r="L1627" s="0" t="n">
        <f aca="false">INDEX(Laporan!$A$1:$AZ$300,G1627,4)</f>
        <v>3</v>
      </c>
      <c r="M1627" s="1" t="n">
        <f aca="false">DATE(Pemetaan!$B$1,VALUE(RIGHT(INDEX(Laporan!$A$1:$AZ$300,F1627+1,H1627),2)),VALUE(LEFT(INDEX(Laporan!$A$1:$AZ$300,F1627+1,H1627),2)))</f>
        <v>46083</v>
      </c>
      <c r="N1627" s="0" t="n">
        <f aca="false">INDEX(Laporan!$A$1:$AZ$300,G1627,H1627)</f>
        <v>22</v>
      </c>
      <c r="O1627" s="0" t="n">
        <f aca="false">IF(N1627="","",IFERROR(VALUE(SUBSTITUTE(SUBSTITUTE(N1627," btl",""),".","")),""))</f>
        <v>22</v>
      </c>
      <c r="P1627" s="0" t="str">
        <f aca="false">IF(B1627="PRODUKSI","produced","reject")</f>
        <v>reject</v>
      </c>
    </row>
    <row r="1628" customFormat="false" ht="15" hidden="false" customHeight="false" outlineLevel="0" collapsed="false">
      <c r="A1628" s="0" t="n">
        <v>1627</v>
      </c>
      <c r="B1628" s="0" t="str">
        <f aca="false">IF(A1628&lt;=36*25,"PRODUKSI","REJECT")</f>
        <v>REJECT</v>
      </c>
      <c r="C1628" s="0" t="n">
        <f aca="false">MOD(A1628-1,Pemetaan!$B$3*Pemetaan!$B$4)</f>
        <v>726</v>
      </c>
      <c r="D1628" s="0" t="n">
        <f aca="false">INT(C1628/Pemetaan!$B$4)</f>
        <v>29</v>
      </c>
      <c r="E1628" s="0" t="n">
        <f aca="false">MOD(C1628,Pemetaan!$B$4)</f>
        <v>1</v>
      </c>
      <c r="F1628" s="0" t="n">
        <f aca="false">IF(B1628="PRODUKSI",Pemetaan!$B$5,Pemetaan!$B$6)</f>
        <v>46</v>
      </c>
      <c r="G1628" s="0" t="n">
        <f aca="false">F1628+2+D1628</f>
        <v>77</v>
      </c>
      <c r="H1628" s="0" t="n">
        <f aca="false">Pemetaan!$B$2+E1628</f>
        <v>6</v>
      </c>
      <c r="I1628" s="0" t="str">
        <f aca="false">INDEX(Laporan!$A$1:$AZ$300,G1628,1)</f>
        <v>Mixing</v>
      </c>
      <c r="J1628" s="0" t="str">
        <f aca="false">INDEX(Laporan!$A$1:$AZ$300,G1628,2)</f>
        <v>600 ml</v>
      </c>
      <c r="K1628" s="0" t="str">
        <f aca="false">INDEX(Laporan!$A$1:$AZ$300,G1628,3)</f>
        <v>Shift 2</v>
      </c>
      <c r="L1628" s="0" t="n">
        <f aca="false">INDEX(Laporan!$A$1:$AZ$300,G1628,4)</f>
        <v>3</v>
      </c>
      <c r="M1628" s="1" t="n">
        <f aca="false">DATE(Pemetaan!$B$1,VALUE(RIGHT(INDEX(Laporan!$A$1:$AZ$300,F1628+1,H1628),2)),VALUE(LEFT(INDEX(Laporan!$A$1:$AZ$300,F1628+1,H1628),2)))</f>
        <v>46084</v>
      </c>
      <c r="N1628" s="0" t="n">
        <f aca="false">INDEX(Laporan!$A$1:$AZ$300,G1628,H1628)</f>
        <v>14</v>
      </c>
      <c r="O1628" s="0" t="n">
        <f aca="false">IF(N1628="","",IFERROR(VALUE(SUBSTITUTE(SUBSTITUTE(N1628," btl",""),".","")),""))</f>
        <v>14</v>
      </c>
      <c r="P1628" s="0" t="str">
        <f aca="false">IF(B1628="PRODUKSI","produced","reject")</f>
        <v>reject</v>
      </c>
    </row>
    <row r="1629" customFormat="false" ht="15" hidden="false" customHeight="false" outlineLevel="0" collapsed="false">
      <c r="A1629" s="0" t="n">
        <v>1628</v>
      </c>
      <c r="B1629" s="0" t="str">
        <f aca="false">IF(A1629&lt;=36*25,"PRODUKSI","REJECT")</f>
        <v>REJECT</v>
      </c>
      <c r="C1629" s="0" t="n">
        <f aca="false">MOD(A1629-1,Pemetaan!$B$3*Pemetaan!$B$4)</f>
        <v>727</v>
      </c>
      <c r="D1629" s="0" t="n">
        <f aca="false">INT(C1629/Pemetaan!$B$4)</f>
        <v>29</v>
      </c>
      <c r="E1629" s="0" t="n">
        <f aca="false">MOD(C1629,Pemetaan!$B$4)</f>
        <v>2</v>
      </c>
      <c r="F1629" s="0" t="n">
        <f aca="false">IF(B1629="PRODUKSI",Pemetaan!$B$5,Pemetaan!$B$6)</f>
        <v>46</v>
      </c>
      <c r="G1629" s="0" t="n">
        <f aca="false">F1629+2+D1629</f>
        <v>77</v>
      </c>
      <c r="H1629" s="0" t="n">
        <f aca="false">Pemetaan!$B$2+E1629</f>
        <v>7</v>
      </c>
      <c r="I1629" s="0" t="str">
        <f aca="false">INDEX(Laporan!$A$1:$AZ$300,G1629,1)</f>
        <v>Mixing</v>
      </c>
      <c r="J1629" s="0" t="str">
        <f aca="false">INDEX(Laporan!$A$1:$AZ$300,G1629,2)</f>
        <v>600 ml</v>
      </c>
      <c r="K1629" s="0" t="str">
        <f aca="false">INDEX(Laporan!$A$1:$AZ$300,G1629,3)</f>
        <v>Shift 2</v>
      </c>
      <c r="L1629" s="0" t="n">
        <f aca="false">INDEX(Laporan!$A$1:$AZ$300,G1629,4)</f>
        <v>3</v>
      </c>
      <c r="M1629" s="1" t="n">
        <f aca="false">DATE(Pemetaan!$B$1,VALUE(RIGHT(INDEX(Laporan!$A$1:$AZ$300,F1629+1,H1629),2)),VALUE(LEFT(INDEX(Laporan!$A$1:$AZ$300,F1629+1,H1629),2)))</f>
        <v>46085</v>
      </c>
      <c r="N1629" s="0" t="n">
        <f aca="false">INDEX(Laporan!$A$1:$AZ$300,G1629,H1629)</f>
        <v>15</v>
      </c>
      <c r="O1629" s="0" t="n">
        <f aca="false">IF(N1629="","",IFERROR(VALUE(SUBSTITUTE(SUBSTITUTE(N1629," btl",""),".","")),""))</f>
        <v>15</v>
      </c>
      <c r="P1629" s="0" t="str">
        <f aca="false">IF(B1629="PRODUKSI","produced","reject")</f>
        <v>reject</v>
      </c>
    </row>
    <row r="1630" customFormat="false" ht="15" hidden="false" customHeight="false" outlineLevel="0" collapsed="false">
      <c r="A1630" s="0" t="n">
        <v>1629</v>
      </c>
      <c r="B1630" s="0" t="str">
        <f aca="false">IF(A1630&lt;=36*25,"PRODUKSI","REJECT")</f>
        <v>REJECT</v>
      </c>
      <c r="C1630" s="0" t="n">
        <f aca="false">MOD(A1630-1,Pemetaan!$B$3*Pemetaan!$B$4)</f>
        <v>728</v>
      </c>
      <c r="D1630" s="0" t="n">
        <f aca="false">INT(C1630/Pemetaan!$B$4)</f>
        <v>29</v>
      </c>
      <c r="E1630" s="0" t="n">
        <f aca="false">MOD(C1630,Pemetaan!$B$4)</f>
        <v>3</v>
      </c>
      <c r="F1630" s="0" t="n">
        <f aca="false">IF(B1630="PRODUKSI",Pemetaan!$B$5,Pemetaan!$B$6)</f>
        <v>46</v>
      </c>
      <c r="G1630" s="0" t="n">
        <f aca="false">F1630+2+D1630</f>
        <v>77</v>
      </c>
      <c r="H1630" s="0" t="n">
        <f aca="false">Pemetaan!$B$2+E1630</f>
        <v>8</v>
      </c>
      <c r="I1630" s="0" t="str">
        <f aca="false">INDEX(Laporan!$A$1:$AZ$300,G1630,1)</f>
        <v>Mixing</v>
      </c>
      <c r="J1630" s="0" t="str">
        <f aca="false">INDEX(Laporan!$A$1:$AZ$300,G1630,2)</f>
        <v>600 ml</v>
      </c>
      <c r="K1630" s="0" t="str">
        <f aca="false">INDEX(Laporan!$A$1:$AZ$300,G1630,3)</f>
        <v>Shift 2</v>
      </c>
      <c r="L1630" s="0" t="n">
        <f aca="false">INDEX(Laporan!$A$1:$AZ$300,G1630,4)</f>
        <v>3</v>
      </c>
      <c r="M1630" s="1" t="n">
        <f aca="false">DATE(Pemetaan!$B$1,VALUE(RIGHT(INDEX(Laporan!$A$1:$AZ$300,F1630+1,H1630),2)),VALUE(LEFT(INDEX(Laporan!$A$1:$AZ$300,F1630+1,H1630),2)))</f>
        <v>46086</v>
      </c>
      <c r="N1630" s="0" t="n">
        <f aca="false">INDEX(Laporan!$A$1:$AZ$300,G1630,H1630)</f>
        <v>18</v>
      </c>
      <c r="O1630" s="0" t="n">
        <f aca="false">IF(N1630="","",IFERROR(VALUE(SUBSTITUTE(SUBSTITUTE(N1630," btl",""),".","")),""))</f>
        <v>18</v>
      </c>
      <c r="P1630" s="0" t="str">
        <f aca="false">IF(B1630="PRODUKSI","produced","reject")</f>
        <v>reject</v>
      </c>
    </row>
    <row r="1631" customFormat="false" ht="15" hidden="false" customHeight="false" outlineLevel="0" collapsed="false">
      <c r="A1631" s="0" t="n">
        <v>1630</v>
      </c>
      <c r="B1631" s="0" t="str">
        <f aca="false">IF(A1631&lt;=36*25,"PRODUKSI","REJECT")</f>
        <v>REJECT</v>
      </c>
      <c r="C1631" s="0" t="n">
        <f aca="false">MOD(A1631-1,Pemetaan!$B$3*Pemetaan!$B$4)</f>
        <v>729</v>
      </c>
      <c r="D1631" s="0" t="n">
        <f aca="false">INT(C1631/Pemetaan!$B$4)</f>
        <v>29</v>
      </c>
      <c r="E1631" s="0" t="n">
        <f aca="false">MOD(C1631,Pemetaan!$B$4)</f>
        <v>4</v>
      </c>
      <c r="F1631" s="0" t="n">
        <f aca="false">IF(B1631="PRODUKSI",Pemetaan!$B$5,Pemetaan!$B$6)</f>
        <v>46</v>
      </c>
      <c r="G1631" s="0" t="n">
        <f aca="false">F1631+2+D1631</f>
        <v>77</v>
      </c>
      <c r="H1631" s="0" t="n">
        <f aca="false">Pemetaan!$B$2+E1631</f>
        <v>9</v>
      </c>
      <c r="I1631" s="0" t="str">
        <f aca="false">INDEX(Laporan!$A$1:$AZ$300,G1631,1)</f>
        <v>Mixing</v>
      </c>
      <c r="J1631" s="0" t="str">
        <f aca="false">INDEX(Laporan!$A$1:$AZ$300,G1631,2)</f>
        <v>600 ml</v>
      </c>
      <c r="K1631" s="0" t="str">
        <f aca="false">INDEX(Laporan!$A$1:$AZ$300,G1631,3)</f>
        <v>Shift 2</v>
      </c>
      <c r="L1631" s="0" t="n">
        <f aca="false">INDEX(Laporan!$A$1:$AZ$300,G1631,4)</f>
        <v>3</v>
      </c>
      <c r="M1631" s="1" t="n">
        <f aca="false">DATE(Pemetaan!$B$1,VALUE(RIGHT(INDEX(Laporan!$A$1:$AZ$300,F1631+1,H1631),2)),VALUE(LEFT(INDEX(Laporan!$A$1:$AZ$300,F1631+1,H1631),2)))</f>
        <v>46087</v>
      </c>
      <c r="N1631" s="0" t="n">
        <f aca="false">INDEX(Laporan!$A$1:$AZ$300,G1631,H1631)</f>
        <v>14</v>
      </c>
      <c r="O1631" s="0" t="n">
        <f aca="false">IF(N1631="","",IFERROR(VALUE(SUBSTITUTE(SUBSTITUTE(N1631," btl",""),".","")),""))</f>
        <v>14</v>
      </c>
      <c r="P1631" s="0" t="str">
        <f aca="false">IF(B1631="PRODUKSI","produced","reject")</f>
        <v>reject</v>
      </c>
    </row>
    <row r="1632" customFormat="false" ht="15" hidden="false" customHeight="false" outlineLevel="0" collapsed="false">
      <c r="A1632" s="0" t="n">
        <v>1631</v>
      </c>
      <c r="B1632" s="0" t="str">
        <f aca="false">IF(A1632&lt;=36*25,"PRODUKSI","REJECT")</f>
        <v>REJECT</v>
      </c>
      <c r="C1632" s="0" t="n">
        <f aca="false">MOD(A1632-1,Pemetaan!$B$3*Pemetaan!$B$4)</f>
        <v>730</v>
      </c>
      <c r="D1632" s="0" t="n">
        <f aca="false">INT(C1632/Pemetaan!$B$4)</f>
        <v>29</v>
      </c>
      <c r="E1632" s="0" t="n">
        <f aca="false">MOD(C1632,Pemetaan!$B$4)</f>
        <v>5</v>
      </c>
      <c r="F1632" s="0" t="n">
        <f aca="false">IF(B1632="PRODUKSI",Pemetaan!$B$5,Pemetaan!$B$6)</f>
        <v>46</v>
      </c>
      <c r="G1632" s="0" t="n">
        <f aca="false">F1632+2+D1632</f>
        <v>77</v>
      </c>
      <c r="H1632" s="0" t="n">
        <f aca="false">Pemetaan!$B$2+E1632</f>
        <v>10</v>
      </c>
      <c r="I1632" s="0" t="str">
        <f aca="false">INDEX(Laporan!$A$1:$AZ$300,G1632,1)</f>
        <v>Mixing</v>
      </c>
      <c r="J1632" s="0" t="str">
        <f aca="false">INDEX(Laporan!$A$1:$AZ$300,G1632,2)</f>
        <v>600 ml</v>
      </c>
      <c r="K1632" s="0" t="str">
        <f aca="false">INDEX(Laporan!$A$1:$AZ$300,G1632,3)</f>
        <v>Shift 2</v>
      </c>
      <c r="L1632" s="0" t="n">
        <f aca="false">INDEX(Laporan!$A$1:$AZ$300,G1632,4)</f>
        <v>3</v>
      </c>
      <c r="M1632" s="1" t="n">
        <f aca="false">DATE(Pemetaan!$B$1,VALUE(RIGHT(INDEX(Laporan!$A$1:$AZ$300,F1632+1,H1632),2)),VALUE(LEFT(INDEX(Laporan!$A$1:$AZ$300,F1632+1,H1632),2)))</f>
        <v>46090</v>
      </c>
      <c r="N1632" s="0" t="n">
        <f aca="false">INDEX(Laporan!$A$1:$AZ$300,G1632,H1632)</f>
        <v>20</v>
      </c>
      <c r="O1632" s="0" t="n">
        <f aca="false">IF(N1632="","",IFERROR(VALUE(SUBSTITUTE(SUBSTITUTE(N1632," btl",""),".","")),""))</f>
        <v>20</v>
      </c>
      <c r="P1632" s="0" t="str">
        <f aca="false">IF(B1632="PRODUKSI","produced","reject")</f>
        <v>reject</v>
      </c>
    </row>
    <row r="1633" customFormat="false" ht="15" hidden="false" customHeight="false" outlineLevel="0" collapsed="false">
      <c r="A1633" s="0" t="n">
        <v>1632</v>
      </c>
      <c r="B1633" s="0" t="str">
        <f aca="false">IF(A1633&lt;=36*25,"PRODUKSI","REJECT")</f>
        <v>REJECT</v>
      </c>
      <c r="C1633" s="0" t="n">
        <f aca="false">MOD(A1633-1,Pemetaan!$B$3*Pemetaan!$B$4)</f>
        <v>731</v>
      </c>
      <c r="D1633" s="0" t="n">
        <f aca="false">INT(C1633/Pemetaan!$B$4)</f>
        <v>29</v>
      </c>
      <c r="E1633" s="0" t="n">
        <f aca="false">MOD(C1633,Pemetaan!$B$4)</f>
        <v>6</v>
      </c>
      <c r="F1633" s="0" t="n">
        <f aca="false">IF(B1633="PRODUKSI",Pemetaan!$B$5,Pemetaan!$B$6)</f>
        <v>46</v>
      </c>
      <c r="G1633" s="0" t="n">
        <f aca="false">F1633+2+D1633</f>
        <v>77</v>
      </c>
      <c r="H1633" s="0" t="n">
        <f aca="false">Pemetaan!$B$2+E1633</f>
        <v>11</v>
      </c>
      <c r="I1633" s="0" t="str">
        <f aca="false">INDEX(Laporan!$A$1:$AZ$300,G1633,1)</f>
        <v>Mixing</v>
      </c>
      <c r="J1633" s="0" t="str">
        <f aca="false">INDEX(Laporan!$A$1:$AZ$300,G1633,2)</f>
        <v>600 ml</v>
      </c>
      <c r="K1633" s="0" t="str">
        <f aca="false">INDEX(Laporan!$A$1:$AZ$300,G1633,3)</f>
        <v>Shift 2</v>
      </c>
      <c r="L1633" s="0" t="n">
        <f aca="false">INDEX(Laporan!$A$1:$AZ$300,G1633,4)</f>
        <v>3</v>
      </c>
      <c r="M1633" s="1" t="n">
        <f aca="false">DATE(Pemetaan!$B$1,VALUE(RIGHT(INDEX(Laporan!$A$1:$AZ$300,F1633+1,H1633),2)),VALUE(LEFT(INDEX(Laporan!$A$1:$AZ$300,F1633+1,H1633),2)))</f>
        <v>46091</v>
      </c>
      <c r="N1633" s="0" t="n">
        <f aca="false">INDEX(Laporan!$A$1:$AZ$300,G1633,H1633)</f>
        <v>19</v>
      </c>
      <c r="O1633" s="0" t="n">
        <f aca="false">IF(N1633="","",IFERROR(VALUE(SUBSTITUTE(SUBSTITUTE(N1633," btl",""),".","")),""))</f>
        <v>19</v>
      </c>
      <c r="P1633" s="0" t="str">
        <f aca="false">IF(B1633="PRODUKSI","produced","reject")</f>
        <v>reject</v>
      </c>
    </row>
    <row r="1634" customFormat="false" ht="15" hidden="false" customHeight="false" outlineLevel="0" collapsed="false">
      <c r="A1634" s="0" t="n">
        <v>1633</v>
      </c>
      <c r="B1634" s="0" t="str">
        <f aca="false">IF(A1634&lt;=36*25,"PRODUKSI","REJECT")</f>
        <v>REJECT</v>
      </c>
      <c r="C1634" s="0" t="n">
        <f aca="false">MOD(A1634-1,Pemetaan!$B$3*Pemetaan!$B$4)</f>
        <v>732</v>
      </c>
      <c r="D1634" s="0" t="n">
        <f aca="false">INT(C1634/Pemetaan!$B$4)</f>
        <v>29</v>
      </c>
      <c r="E1634" s="0" t="n">
        <f aca="false">MOD(C1634,Pemetaan!$B$4)</f>
        <v>7</v>
      </c>
      <c r="F1634" s="0" t="n">
        <f aca="false">IF(B1634="PRODUKSI",Pemetaan!$B$5,Pemetaan!$B$6)</f>
        <v>46</v>
      </c>
      <c r="G1634" s="0" t="n">
        <f aca="false">F1634+2+D1634</f>
        <v>77</v>
      </c>
      <c r="H1634" s="0" t="n">
        <f aca="false">Pemetaan!$B$2+E1634</f>
        <v>12</v>
      </c>
      <c r="I1634" s="0" t="str">
        <f aca="false">INDEX(Laporan!$A$1:$AZ$300,G1634,1)</f>
        <v>Mixing</v>
      </c>
      <c r="J1634" s="0" t="str">
        <f aca="false">INDEX(Laporan!$A$1:$AZ$300,G1634,2)</f>
        <v>600 ml</v>
      </c>
      <c r="K1634" s="0" t="str">
        <f aca="false">INDEX(Laporan!$A$1:$AZ$300,G1634,3)</f>
        <v>Shift 2</v>
      </c>
      <c r="L1634" s="0" t="n">
        <f aca="false">INDEX(Laporan!$A$1:$AZ$300,G1634,4)</f>
        <v>3</v>
      </c>
      <c r="M1634" s="1" t="n">
        <f aca="false">DATE(Pemetaan!$B$1,VALUE(RIGHT(INDEX(Laporan!$A$1:$AZ$300,F1634+1,H1634),2)),VALUE(LEFT(INDEX(Laporan!$A$1:$AZ$300,F1634+1,H1634),2)))</f>
        <v>46092</v>
      </c>
      <c r="N1634" s="0" t="n">
        <f aca="false">INDEX(Laporan!$A$1:$AZ$300,G1634,H1634)</f>
        <v>24</v>
      </c>
      <c r="O1634" s="0" t="n">
        <f aca="false">IF(N1634="","",IFERROR(VALUE(SUBSTITUTE(SUBSTITUTE(N1634," btl",""),".","")),""))</f>
        <v>24</v>
      </c>
      <c r="P1634" s="0" t="str">
        <f aca="false">IF(B1634="PRODUKSI","produced","reject")</f>
        <v>reject</v>
      </c>
    </row>
    <row r="1635" customFormat="false" ht="15" hidden="false" customHeight="false" outlineLevel="0" collapsed="false">
      <c r="A1635" s="0" t="n">
        <v>1634</v>
      </c>
      <c r="B1635" s="0" t="str">
        <f aca="false">IF(A1635&lt;=36*25,"PRODUKSI","REJECT")</f>
        <v>REJECT</v>
      </c>
      <c r="C1635" s="0" t="n">
        <f aca="false">MOD(A1635-1,Pemetaan!$B$3*Pemetaan!$B$4)</f>
        <v>733</v>
      </c>
      <c r="D1635" s="0" t="n">
        <f aca="false">INT(C1635/Pemetaan!$B$4)</f>
        <v>29</v>
      </c>
      <c r="E1635" s="0" t="n">
        <f aca="false">MOD(C1635,Pemetaan!$B$4)</f>
        <v>8</v>
      </c>
      <c r="F1635" s="0" t="n">
        <f aca="false">IF(B1635="PRODUKSI",Pemetaan!$B$5,Pemetaan!$B$6)</f>
        <v>46</v>
      </c>
      <c r="G1635" s="0" t="n">
        <f aca="false">F1635+2+D1635</f>
        <v>77</v>
      </c>
      <c r="H1635" s="0" t="n">
        <f aca="false">Pemetaan!$B$2+E1635</f>
        <v>13</v>
      </c>
      <c r="I1635" s="0" t="str">
        <f aca="false">INDEX(Laporan!$A$1:$AZ$300,G1635,1)</f>
        <v>Mixing</v>
      </c>
      <c r="J1635" s="0" t="str">
        <f aca="false">INDEX(Laporan!$A$1:$AZ$300,G1635,2)</f>
        <v>600 ml</v>
      </c>
      <c r="K1635" s="0" t="str">
        <f aca="false">INDEX(Laporan!$A$1:$AZ$300,G1635,3)</f>
        <v>Shift 2</v>
      </c>
      <c r="L1635" s="0" t="n">
        <f aca="false">INDEX(Laporan!$A$1:$AZ$300,G1635,4)</f>
        <v>3</v>
      </c>
      <c r="M1635" s="1" t="n">
        <f aca="false">DATE(Pemetaan!$B$1,VALUE(RIGHT(INDEX(Laporan!$A$1:$AZ$300,F1635+1,H1635),2)),VALUE(LEFT(INDEX(Laporan!$A$1:$AZ$300,F1635+1,H1635),2)))</f>
        <v>46093</v>
      </c>
      <c r="N1635" s="0" t="n">
        <f aca="false">INDEX(Laporan!$A$1:$AZ$300,G1635,H1635)</f>
        <v>21</v>
      </c>
      <c r="O1635" s="0" t="n">
        <f aca="false">IF(N1635="","",IFERROR(VALUE(SUBSTITUTE(SUBSTITUTE(N1635," btl",""),".","")),""))</f>
        <v>21</v>
      </c>
      <c r="P1635" s="0" t="str">
        <f aca="false">IF(B1635="PRODUKSI","produced","reject")</f>
        <v>reject</v>
      </c>
    </row>
    <row r="1636" customFormat="false" ht="15" hidden="false" customHeight="false" outlineLevel="0" collapsed="false">
      <c r="A1636" s="0" t="n">
        <v>1635</v>
      </c>
      <c r="B1636" s="0" t="str">
        <f aca="false">IF(A1636&lt;=36*25,"PRODUKSI","REJECT")</f>
        <v>REJECT</v>
      </c>
      <c r="C1636" s="0" t="n">
        <f aca="false">MOD(A1636-1,Pemetaan!$B$3*Pemetaan!$B$4)</f>
        <v>734</v>
      </c>
      <c r="D1636" s="0" t="n">
        <f aca="false">INT(C1636/Pemetaan!$B$4)</f>
        <v>29</v>
      </c>
      <c r="E1636" s="0" t="n">
        <f aca="false">MOD(C1636,Pemetaan!$B$4)</f>
        <v>9</v>
      </c>
      <c r="F1636" s="0" t="n">
        <f aca="false">IF(B1636="PRODUKSI",Pemetaan!$B$5,Pemetaan!$B$6)</f>
        <v>46</v>
      </c>
      <c r="G1636" s="0" t="n">
        <f aca="false">F1636+2+D1636</f>
        <v>77</v>
      </c>
      <c r="H1636" s="0" t="n">
        <f aca="false">Pemetaan!$B$2+E1636</f>
        <v>14</v>
      </c>
      <c r="I1636" s="0" t="str">
        <f aca="false">INDEX(Laporan!$A$1:$AZ$300,G1636,1)</f>
        <v>Mixing</v>
      </c>
      <c r="J1636" s="0" t="str">
        <f aca="false">INDEX(Laporan!$A$1:$AZ$300,G1636,2)</f>
        <v>600 ml</v>
      </c>
      <c r="K1636" s="0" t="str">
        <f aca="false">INDEX(Laporan!$A$1:$AZ$300,G1636,3)</f>
        <v>Shift 2</v>
      </c>
      <c r="L1636" s="0" t="n">
        <f aca="false">INDEX(Laporan!$A$1:$AZ$300,G1636,4)</f>
        <v>3</v>
      </c>
      <c r="M1636" s="1" t="n">
        <f aca="false">DATE(Pemetaan!$B$1,VALUE(RIGHT(INDEX(Laporan!$A$1:$AZ$300,F1636+1,H1636),2)),VALUE(LEFT(INDEX(Laporan!$A$1:$AZ$300,F1636+1,H1636),2)))</f>
        <v>46094</v>
      </c>
      <c r="N1636" s="0" t="n">
        <f aca="false">INDEX(Laporan!$A$1:$AZ$300,G1636,H1636)</f>
        <v>23</v>
      </c>
      <c r="O1636" s="0" t="n">
        <f aca="false">IF(N1636="","",IFERROR(VALUE(SUBSTITUTE(SUBSTITUTE(N1636," btl",""),".","")),""))</f>
        <v>23</v>
      </c>
      <c r="P1636" s="0" t="str">
        <f aca="false">IF(B1636="PRODUKSI","produced","reject")</f>
        <v>reject</v>
      </c>
    </row>
    <row r="1637" customFormat="false" ht="15" hidden="false" customHeight="false" outlineLevel="0" collapsed="false">
      <c r="A1637" s="0" t="n">
        <v>1636</v>
      </c>
      <c r="B1637" s="0" t="str">
        <f aca="false">IF(A1637&lt;=36*25,"PRODUKSI","REJECT")</f>
        <v>REJECT</v>
      </c>
      <c r="C1637" s="0" t="n">
        <f aca="false">MOD(A1637-1,Pemetaan!$B$3*Pemetaan!$B$4)</f>
        <v>735</v>
      </c>
      <c r="D1637" s="0" t="n">
        <f aca="false">INT(C1637/Pemetaan!$B$4)</f>
        <v>29</v>
      </c>
      <c r="E1637" s="0" t="n">
        <f aca="false">MOD(C1637,Pemetaan!$B$4)</f>
        <v>10</v>
      </c>
      <c r="F1637" s="0" t="n">
        <f aca="false">IF(B1637="PRODUKSI",Pemetaan!$B$5,Pemetaan!$B$6)</f>
        <v>46</v>
      </c>
      <c r="G1637" s="0" t="n">
        <f aca="false">F1637+2+D1637</f>
        <v>77</v>
      </c>
      <c r="H1637" s="0" t="n">
        <f aca="false">Pemetaan!$B$2+E1637</f>
        <v>15</v>
      </c>
      <c r="I1637" s="0" t="str">
        <f aca="false">INDEX(Laporan!$A$1:$AZ$300,G1637,1)</f>
        <v>Mixing</v>
      </c>
      <c r="J1637" s="0" t="str">
        <f aca="false">INDEX(Laporan!$A$1:$AZ$300,G1637,2)</f>
        <v>600 ml</v>
      </c>
      <c r="K1637" s="0" t="str">
        <f aca="false">INDEX(Laporan!$A$1:$AZ$300,G1637,3)</f>
        <v>Shift 2</v>
      </c>
      <c r="L1637" s="0" t="n">
        <f aca="false">INDEX(Laporan!$A$1:$AZ$300,G1637,4)</f>
        <v>3</v>
      </c>
      <c r="M1637" s="1" t="n">
        <f aca="false">DATE(Pemetaan!$B$1,VALUE(RIGHT(INDEX(Laporan!$A$1:$AZ$300,F1637+1,H1637),2)),VALUE(LEFT(INDEX(Laporan!$A$1:$AZ$300,F1637+1,H1637),2)))</f>
        <v>46097</v>
      </c>
      <c r="N1637" s="0" t="n">
        <f aca="false">INDEX(Laporan!$A$1:$AZ$300,G1637,H1637)</f>
        <v>18</v>
      </c>
      <c r="O1637" s="0" t="n">
        <f aca="false">IF(N1637="","",IFERROR(VALUE(SUBSTITUTE(SUBSTITUTE(N1637," btl",""),".","")),""))</f>
        <v>18</v>
      </c>
      <c r="P1637" s="0" t="str">
        <f aca="false">IF(B1637="PRODUKSI","produced","reject")</f>
        <v>reject</v>
      </c>
    </row>
    <row r="1638" customFormat="false" ht="15" hidden="false" customHeight="false" outlineLevel="0" collapsed="false">
      <c r="A1638" s="0" t="n">
        <v>1637</v>
      </c>
      <c r="B1638" s="0" t="str">
        <f aca="false">IF(A1638&lt;=36*25,"PRODUKSI","REJECT")</f>
        <v>REJECT</v>
      </c>
      <c r="C1638" s="0" t="n">
        <f aca="false">MOD(A1638-1,Pemetaan!$B$3*Pemetaan!$B$4)</f>
        <v>736</v>
      </c>
      <c r="D1638" s="0" t="n">
        <f aca="false">INT(C1638/Pemetaan!$B$4)</f>
        <v>29</v>
      </c>
      <c r="E1638" s="0" t="n">
        <f aca="false">MOD(C1638,Pemetaan!$B$4)</f>
        <v>11</v>
      </c>
      <c r="F1638" s="0" t="n">
        <f aca="false">IF(B1638="PRODUKSI",Pemetaan!$B$5,Pemetaan!$B$6)</f>
        <v>46</v>
      </c>
      <c r="G1638" s="0" t="n">
        <f aca="false">F1638+2+D1638</f>
        <v>77</v>
      </c>
      <c r="H1638" s="0" t="n">
        <f aca="false">Pemetaan!$B$2+E1638</f>
        <v>16</v>
      </c>
      <c r="I1638" s="0" t="str">
        <f aca="false">INDEX(Laporan!$A$1:$AZ$300,G1638,1)</f>
        <v>Mixing</v>
      </c>
      <c r="J1638" s="0" t="str">
        <f aca="false">INDEX(Laporan!$A$1:$AZ$300,G1638,2)</f>
        <v>600 ml</v>
      </c>
      <c r="K1638" s="0" t="str">
        <f aca="false">INDEX(Laporan!$A$1:$AZ$300,G1638,3)</f>
        <v>Shift 2</v>
      </c>
      <c r="L1638" s="0" t="n">
        <f aca="false">INDEX(Laporan!$A$1:$AZ$300,G1638,4)</f>
        <v>3</v>
      </c>
      <c r="M1638" s="1" t="n">
        <f aca="false">DATE(Pemetaan!$B$1,VALUE(RIGHT(INDEX(Laporan!$A$1:$AZ$300,F1638+1,H1638),2)),VALUE(LEFT(INDEX(Laporan!$A$1:$AZ$300,F1638+1,H1638),2)))</f>
        <v>46098</v>
      </c>
      <c r="N1638" s="0" t="n">
        <f aca="false">INDEX(Laporan!$A$1:$AZ$300,G1638,H1638)</f>
        <v>17</v>
      </c>
      <c r="O1638" s="0" t="n">
        <f aca="false">IF(N1638="","",IFERROR(VALUE(SUBSTITUTE(SUBSTITUTE(N1638," btl",""),".","")),""))</f>
        <v>17</v>
      </c>
      <c r="P1638" s="0" t="str">
        <f aca="false">IF(B1638="PRODUKSI","produced","reject")</f>
        <v>reject</v>
      </c>
    </row>
    <row r="1639" customFormat="false" ht="15" hidden="false" customHeight="false" outlineLevel="0" collapsed="false">
      <c r="A1639" s="0" t="n">
        <v>1638</v>
      </c>
      <c r="B1639" s="0" t="str">
        <f aca="false">IF(A1639&lt;=36*25,"PRODUKSI","REJECT")</f>
        <v>REJECT</v>
      </c>
      <c r="C1639" s="0" t="n">
        <f aca="false">MOD(A1639-1,Pemetaan!$B$3*Pemetaan!$B$4)</f>
        <v>737</v>
      </c>
      <c r="D1639" s="0" t="n">
        <f aca="false">INT(C1639/Pemetaan!$B$4)</f>
        <v>29</v>
      </c>
      <c r="E1639" s="0" t="n">
        <f aca="false">MOD(C1639,Pemetaan!$B$4)</f>
        <v>12</v>
      </c>
      <c r="F1639" s="0" t="n">
        <f aca="false">IF(B1639="PRODUKSI",Pemetaan!$B$5,Pemetaan!$B$6)</f>
        <v>46</v>
      </c>
      <c r="G1639" s="0" t="n">
        <f aca="false">F1639+2+D1639</f>
        <v>77</v>
      </c>
      <c r="H1639" s="0" t="n">
        <f aca="false">Pemetaan!$B$2+E1639</f>
        <v>17</v>
      </c>
      <c r="I1639" s="0" t="str">
        <f aca="false">INDEX(Laporan!$A$1:$AZ$300,G1639,1)</f>
        <v>Mixing</v>
      </c>
      <c r="J1639" s="0" t="str">
        <f aca="false">INDEX(Laporan!$A$1:$AZ$300,G1639,2)</f>
        <v>600 ml</v>
      </c>
      <c r="K1639" s="0" t="str">
        <f aca="false">INDEX(Laporan!$A$1:$AZ$300,G1639,3)</f>
        <v>Shift 2</v>
      </c>
      <c r="L1639" s="0" t="n">
        <f aca="false">INDEX(Laporan!$A$1:$AZ$300,G1639,4)</f>
        <v>3</v>
      </c>
      <c r="M1639" s="1" t="n">
        <f aca="false">DATE(Pemetaan!$B$1,VALUE(RIGHT(INDEX(Laporan!$A$1:$AZ$300,F1639+1,H1639),2)),VALUE(LEFT(INDEX(Laporan!$A$1:$AZ$300,F1639+1,H1639),2)))</f>
        <v>46099</v>
      </c>
      <c r="N1639" s="0" t="n">
        <f aca="false">INDEX(Laporan!$A$1:$AZ$300,G1639,H1639)</f>
        <v>19</v>
      </c>
      <c r="O1639" s="0" t="n">
        <f aca="false">IF(N1639="","",IFERROR(VALUE(SUBSTITUTE(SUBSTITUTE(N1639," btl",""),".","")),""))</f>
        <v>19</v>
      </c>
      <c r="P1639" s="0" t="str">
        <f aca="false">IF(B1639="PRODUKSI","produced","reject")</f>
        <v>reject</v>
      </c>
    </row>
    <row r="1640" customFormat="false" ht="15" hidden="false" customHeight="false" outlineLevel="0" collapsed="false">
      <c r="A1640" s="0" t="n">
        <v>1639</v>
      </c>
      <c r="B1640" s="0" t="str">
        <f aca="false">IF(A1640&lt;=36*25,"PRODUKSI","REJECT")</f>
        <v>REJECT</v>
      </c>
      <c r="C1640" s="0" t="n">
        <f aca="false">MOD(A1640-1,Pemetaan!$B$3*Pemetaan!$B$4)</f>
        <v>738</v>
      </c>
      <c r="D1640" s="0" t="n">
        <f aca="false">INT(C1640/Pemetaan!$B$4)</f>
        <v>29</v>
      </c>
      <c r="E1640" s="0" t="n">
        <f aca="false">MOD(C1640,Pemetaan!$B$4)</f>
        <v>13</v>
      </c>
      <c r="F1640" s="0" t="n">
        <f aca="false">IF(B1640="PRODUKSI",Pemetaan!$B$5,Pemetaan!$B$6)</f>
        <v>46</v>
      </c>
      <c r="G1640" s="0" t="n">
        <f aca="false">F1640+2+D1640</f>
        <v>77</v>
      </c>
      <c r="H1640" s="0" t="n">
        <f aca="false">Pemetaan!$B$2+E1640</f>
        <v>18</v>
      </c>
      <c r="I1640" s="0" t="str">
        <f aca="false">INDEX(Laporan!$A$1:$AZ$300,G1640,1)</f>
        <v>Mixing</v>
      </c>
      <c r="J1640" s="0" t="str">
        <f aca="false">INDEX(Laporan!$A$1:$AZ$300,G1640,2)</f>
        <v>600 ml</v>
      </c>
      <c r="K1640" s="0" t="str">
        <f aca="false">INDEX(Laporan!$A$1:$AZ$300,G1640,3)</f>
        <v>Shift 2</v>
      </c>
      <c r="L1640" s="0" t="n">
        <f aca="false">INDEX(Laporan!$A$1:$AZ$300,G1640,4)</f>
        <v>3</v>
      </c>
      <c r="M1640" s="1" t="n">
        <f aca="false">DATE(Pemetaan!$B$1,VALUE(RIGHT(INDEX(Laporan!$A$1:$AZ$300,F1640+1,H1640),2)),VALUE(LEFT(INDEX(Laporan!$A$1:$AZ$300,F1640+1,H1640),2)))</f>
        <v>46100</v>
      </c>
      <c r="N1640" s="0" t="n">
        <f aca="false">INDEX(Laporan!$A$1:$AZ$300,G1640,H1640)</f>
        <v>10</v>
      </c>
      <c r="O1640" s="0" t="n">
        <f aca="false">IF(N1640="","",IFERROR(VALUE(SUBSTITUTE(SUBSTITUTE(N1640," btl",""),".","")),""))</f>
        <v>10</v>
      </c>
      <c r="P1640" s="0" t="str">
        <f aca="false">IF(B1640="PRODUKSI","produced","reject")</f>
        <v>reject</v>
      </c>
    </row>
    <row r="1641" customFormat="false" ht="15" hidden="false" customHeight="false" outlineLevel="0" collapsed="false">
      <c r="A1641" s="0" t="n">
        <v>1640</v>
      </c>
      <c r="B1641" s="0" t="str">
        <f aca="false">IF(A1641&lt;=36*25,"PRODUKSI","REJECT")</f>
        <v>REJECT</v>
      </c>
      <c r="C1641" s="0" t="n">
        <f aca="false">MOD(A1641-1,Pemetaan!$B$3*Pemetaan!$B$4)</f>
        <v>739</v>
      </c>
      <c r="D1641" s="0" t="n">
        <f aca="false">INT(C1641/Pemetaan!$B$4)</f>
        <v>29</v>
      </c>
      <c r="E1641" s="0" t="n">
        <f aca="false">MOD(C1641,Pemetaan!$B$4)</f>
        <v>14</v>
      </c>
      <c r="F1641" s="0" t="n">
        <f aca="false">IF(B1641="PRODUKSI",Pemetaan!$B$5,Pemetaan!$B$6)</f>
        <v>46</v>
      </c>
      <c r="G1641" s="0" t="n">
        <f aca="false">F1641+2+D1641</f>
        <v>77</v>
      </c>
      <c r="H1641" s="0" t="n">
        <f aca="false">Pemetaan!$B$2+E1641</f>
        <v>19</v>
      </c>
      <c r="I1641" s="0" t="str">
        <f aca="false">INDEX(Laporan!$A$1:$AZ$300,G1641,1)</f>
        <v>Mixing</v>
      </c>
      <c r="J1641" s="0" t="str">
        <f aca="false">INDEX(Laporan!$A$1:$AZ$300,G1641,2)</f>
        <v>600 ml</v>
      </c>
      <c r="K1641" s="0" t="str">
        <f aca="false">INDEX(Laporan!$A$1:$AZ$300,G1641,3)</f>
        <v>Shift 2</v>
      </c>
      <c r="L1641" s="0" t="n">
        <f aca="false">INDEX(Laporan!$A$1:$AZ$300,G1641,4)</f>
        <v>3</v>
      </c>
      <c r="M1641" s="1" t="n">
        <f aca="false">DATE(Pemetaan!$B$1,VALUE(RIGHT(INDEX(Laporan!$A$1:$AZ$300,F1641+1,H1641),2)),VALUE(LEFT(INDEX(Laporan!$A$1:$AZ$300,F1641+1,H1641),2)))</f>
        <v>46101</v>
      </c>
      <c r="N1641" s="0" t="n">
        <f aca="false">INDEX(Laporan!$A$1:$AZ$300,G1641,H1641)</f>
        <v>19</v>
      </c>
      <c r="O1641" s="0" t="n">
        <f aca="false">IF(N1641="","",IFERROR(VALUE(SUBSTITUTE(SUBSTITUTE(N1641," btl",""),".","")),""))</f>
        <v>19</v>
      </c>
      <c r="P1641" s="0" t="str">
        <f aca="false">IF(B1641="PRODUKSI","produced","reject")</f>
        <v>reject</v>
      </c>
    </row>
    <row r="1642" customFormat="false" ht="15" hidden="false" customHeight="false" outlineLevel="0" collapsed="false">
      <c r="A1642" s="0" t="n">
        <v>1641</v>
      </c>
      <c r="B1642" s="0" t="str">
        <f aca="false">IF(A1642&lt;=36*25,"PRODUKSI","REJECT")</f>
        <v>REJECT</v>
      </c>
      <c r="C1642" s="0" t="n">
        <f aca="false">MOD(A1642-1,Pemetaan!$B$3*Pemetaan!$B$4)</f>
        <v>740</v>
      </c>
      <c r="D1642" s="0" t="n">
        <f aca="false">INT(C1642/Pemetaan!$B$4)</f>
        <v>29</v>
      </c>
      <c r="E1642" s="0" t="n">
        <f aca="false">MOD(C1642,Pemetaan!$B$4)</f>
        <v>15</v>
      </c>
      <c r="F1642" s="0" t="n">
        <f aca="false">IF(B1642="PRODUKSI",Pemetaan!$B$5,Pemetaan!$B$6)</f>
        <v>46</v>
      </c>
      <c r="G1642" s="0" t="n">
        <f aca="false">F1642+2+D1642</f>
        <v>77</v>
      </c>
      <c r="H1642" s="0" t="n">
        <f aca="false">Pemetaan!$B$2+E1642</f>
        <v>20</v>
      </c>
      <c r="I1642" s="0" t="str">
        <f aca="false">INDEX(Laporan!$A$1:$AZ$300,G1642,1)</f>
        <v>Mixing</v>
      </c>
      <c r="J1642" s="0" t="str">
        <f aca="false">INDEX(Laporan!$A$1:$AZ$300,G1642,2)</f>
        <v>600 ml</v>
      </c>
      <c r="K1642" s="0" t="str">
        <f aca="false">INDEX(Laporan!$A$1:$AZ$300,G1642,3)</f>
        <v>Shift 2</v>
      </c>
      <c r="L1642" s="0" t="n">
        <f aca="false">INDEX(Laporan!$A$1:$AZ$300,G1642,4)</f>
        <v>3</v>
      </c>
      <c r="M1642" s="1" t="n">
        <f aca="false">DATE(Pemetaan!$B$1,VALUE(RIGHT(INDEX(Laporan!$A$1:$AZ$300,F1642+1,H1642),2)),VALUE(LEFT(INDEX(Laporan!$A$1:$AZ$300,F1642+1,H1642),2)))</f>
        <v>46104</v>
      </c>
      <c r="N1642" s="0" t="n">
        <f aca="false">INDEX(Laporan!$A$1:$AZ$300,G1642,H1642)</f>
        <v>24</v>
      </c>
      <c r="O1642" s="0" t="n">
        <f aca="false">IF(N1642="","",IFERROR(VALUE(SUBSTITUTE(SUBSTITUTE(N1642," btl",""),".","")),""))</f>
        <v>24</v>
      </c>
      <c r="P1642" s="0" t="str">
        <f aca="false">IF(B1642="PRODUKSI","produced","reject")</f>
        <v>reject</v>
      </c>
    </row>
    <row r="1643" customFormat="false" ht="15" hidden="false" customHeight="false" outlineLevel="0" collapsed="false">
      <c r="A1643" s="0" t="n">
        <v>1642</v>
      </c>
      <c r="B1643" s="0" t="str">
        <f aca="false">IF(A1643&lt;=36*25,"PRODUKSI","REJECT")</f>
        <v>REJECT</v>
      </c>
      <c r="C1643" s="0" t="n">
        <f aca="false">MOD(A1643-1,Pemetaan!$B$3*Pemetaan!$B$4)</f>
        <v>741</v>
      </c>
      <c r="D1643" s="0" t="n">
        <f aca="false">INT(C1643/Pemetaan!$B$4)</f>
        <v>29</v>
      </c>
      <c r="E1643" s="0" t="n">
        <f aca="false">MOD(C1643,Pemetaan!$B$4)</f>
        <v>16</v>
      </c>
      <c r="F1643" s="0" t="n">
        <f aca="false">IF(B1643="PRODUKSI",Pemetaan!$B$5,Pemetaan!$B$6)</f>
        <v>46</v>
      </c>
      <c r="G1643" s="0" t="n">
        <f aca="false">F1643+2+D1643</f>
        <v>77</v>
      </c>
      <c r="H1643" s="0" t="n">
        <f aca="false">Pemetaan!$B$2+E1643</f>
        <v>21</v>
      </c>
      <c r="I1643" s="0" t="str">
        <f aca="false">INDEX(Laporan!$A$1:$AZ$300,G1643,1)</f>
        <v>Mixing</v>
      </c>
      <c r="J1643" s="0" t="str">
        <f aca="false">INDEX(Laporan!$A$1:$AZ$300,G1643,2)</f>
        <v>600 ml</v>
      </c>
      <c r="K1643" s="0" t="str">
        <f aca="false">INDEX(Laporan!$A$1:$AZ$300,G1643,3)</f>
        <v>Shift 2</v>
      </c>
      <c r="L1643" s="0" t="n">
        <f aca="false">INDEX(Laporan!$A$1:$AZ$300,G1643,4)</f>
        <v>3</v>
      </c>
      <c r="M1643" s="1" t="n">
        <f aca="false">DATE(Pemetaan!$B$1,VALUE(RIGHT(INDEX(Laporan!$A$1:$AZ$300,F1643+1,H1643),2)),VALUE(LEFT(INDEX(Laporan!$A$1:$AZ$300,F1643+1,H1643),2)))</f>
        <v>46105</v>
      </c>
      <c r="N1643" s="0" t="n">
        <f aca="false">INDEX(Laporan!$A$1:$AZ$300,G1643,H1643)</f>
        <v>18</v>
      </c>
      <c r="O1643" s="0" t="n">
        <f aca="false">IF(N1643="","",IFERROR(VALUE(SUBSTITUTE(SUBSTITUTE(N1643," btl",""),".","")),""))</f>
        <v>18</v>
      </c>
      <c r="P1643" s="0" t="str">
        <f aca="false">IF(B1643="PRODUKSI","produced","reject")</f>
        <v>reject</v>
      </c>
    </row>
    <row r="1644" customFormat="false" ht="15" hidden="false" customHeight="false" outlineLevel="0" collapsed="false">
      <c r="A1644" s="0" t="n">
        <v>1643</v>
      </c>
      <c r="B1644" s="0" t="str">
        <f aca="false">IF(A1644&lt;=36*25,"PRODUKSI","REJECT")</f>
        <v>REJECT</v>
      </c>
      <c r="C1644" s="0" t="n">
        <f aca="false">MOD(A1644-1,Pemetaan!$B$3*Pemetaan!$B$4)</f>
        <v>742</v>
      </c>
      <c r="D1644" s="0" t="n">
        <f aca="false">INT(C1644/Pemetaan!$B$4)</f>
        <v>29</v>
      </c>
      <c r="E1644" s="0" t="n">
        <f aca="false">MOD(C1644,Pemetaan!$B$4)</f>
        <v>17</v>
      </c>
      <c r="F1644" s="0" t="n">
        <f aca="false">IF(B1644="PRODUKSI",Pemetaan!$B$5,Pemetaan!$B$6)</f>
        <v>46</v>
      </c>
      <c r="G1644" s="0" t="n">
        <f aca="false">F1644+2+D1644</f>
        <v>77</v>
      </c>
      <c r="H1644" s="0" t="n">
        <f aca="false">Pemetaan!$B$2+E1644</f>
        <v>22</v>
      </c>
      <c r="I1644" s="0" t="str">
        <f aca="false">INDEX(Laporan!$A$1:$AZ$300,G1644,1)</f>
        <v>Mixing</v>
      </c>
      <c r="J1644" s="0" t="str">
        <f aca="false">INDEX(Laporan!$A$1:$AZ$300,G1644,2)</f>
        <v>600 ml</v>
      </c>
      <c r="K1644" s="0" t="str">
        <f aca="false">INDEX(Laporan!$A$1:$AZ$300,G1644,3)</f>
        <v>Shift 2</v>
      </c>
      <c r="L1644" s="0" t="n">
        <f aca="false">INDEX(Laporan!$A$1:$AZ$300,G1644,4)</f>
        <v>3</v>
      </c>
      <c r="M1644" s="1" t="n">
        <f aca="false">DATE(Pemetaan!$B$1,VALUE(RIGHT(INDEX(Laporan!$A$1:$AZ$300,F1644+1,H1644),2)),VALUE(LEFT(INDEX(Laporan!$A$1:$AZ$300,F1644+1,H1644),2)))</f>
        <v>46106</v>
      </c>
      <c r="N1644" s="0" t="n">
        <f aca="false">INDEX(Laporan!$A$1:$AZ$300,G1644,H1644)</f>
        <v>19</v>
      </c>
      <c r="O1644" s="0" t="n">
        <f aca="false">IF(N1644="","",IFERROR(VALUE(SUBSTITUTE(SUBSTITUTE(N1644," btl",""),".","")),""))</f>
        <v>19</v>
      </c>
      <c r="P1644" s="0" t="str">
        <f aca="false">IF(B1644="PRODUKSI","produced","reject")</f>
        <v>reject</v>
      </c>
    </row>
    <row r="1645" customFormat="false" ht="15" hidden="false" customHeight="false" outlineLevel="0" collapsed="false">
      <c r="A1645" s="0" t="n">
        <v>1644</v>
      </c>
      <c r="B1645" s="0" t="str">
        <f aca="false">IF(A1645&lt;=36*25,"PRODUKSI","REJECT")</f>
        <v>REJECT</v>
      </c>
      <c r="C1645" s="0" t="n">
        <f aca="false">MOD(A1645-1,Pemetaan!$B$3*Pemetaan!$B$4)</f>
        <v>743</v>
      </c>
      <c r="D1645" s="0" t="n">
        <f aca="false">INT(C1645/Pemetaan!$B$4)</f>
        <v>29</v>
      </c>
      <c r="E1645" s="0" t="n">
        <f aca="false">MOD(C1645,Pemetaan!$B$4)</f>
        <v>18</v>
      </c>
      <c r="F1645" s="0" t="n">
        <f aca="false">IF(B1645="PRODUKSI",Pemetaan!$B$5,Pemetaan!$B$6)</f>
        <v>46</v>
      </c>
      <c r="G1645" s="0" t="n">
        <f aca="false">F1645+2+D1645</f>
        <v>77</v>
      </c>
      <c r="H1645" s="0" t="n">
        <f aca="false">Pemetaan!$B$2+E1645</f>
        <v>23</v>
      </c>
      <c r="I1645" s="0" t="str">
        <f aca="false">INDEX(Laporan!$A$1:$AZ$300,G1645,1)</f>
        <v>Mixing</v>
      </c>
      <c r="J1645" s="0" t="str">
        <f aca="false">INDEX(Laporan!$A$1:$AZ$300,G1645,2)</f>
        <v>600 ml</v>
      </c>
      <c r="K1645" s="0" t="str">
        <f aca="false">INDEX(Laporan!$A$1:$AZ$300,G1645,3)</f>
        <v>Shift 2</v>
      </c>
      <c r="L1645" s="0" t="n">
        <f aca="false">INDEX(Laporan!$A$1:$AZ$300,G1645,4)</f>
        <v>3</v>
      </c>
      <c r="M1645" s="1" t="n">
        <f aca="false">DATE(Pemetaan!$B$1,VALUE(RIGHT(INDEX(Laporan!$A$1:$AZ$300,F1645+1,H1645),2)),VALUE(LEFT(INDEX(Laporan!$A$1:$AZ$300,F1645+1,H1645),2)))</f>
        <v>46107</v>
      </c>
      <c r="N1645" s="0" t="n">
        <f aca="false">INDEX(Laporan!$A$1:$AZ$300,G1645,H1645)</f>
        <v>16</v>
      </c>
      <c r="O1645" s="0" t="n">
        <f aca="false">IF(N1645="","",IFERROR(VALUE(SUBSTITUTE(SUBSTITUTE(N1645," btl",""),".","")),""))</f>
        <v>16</v>
      </c>
      <c r="P1645" s="0" t="str">
        <f aca="false">IF(B1645="PRODUKSI","produced","reject")</f>
        <v>reject</v>
      </c>
    </row>
    <row r="1646" customFormat="false" ht="15" hidden="false" customHeight="false" outlineLevel="0" collapsed="false">
      <c r="A1646" s="0" t="n">
        <v>1645</v>
      </c>
      <c r="B1646" s="0" t="str">
        <f aca="false">IF(A1646&lt;=36*25,"PRODUKSI","REJECT")</f>
        <v>REJECT</v>
      </c>
      <c r="C1646" s="0" t="n">
        <f aca="false">MOD(A1646-1,Pemetaan!$B$3*Pemetaan!$B$4)</f>
        <v>744</v>
      </c>
      <c r="D1646" s="0" t="n">
        <f aca="false">INT(C1646/Pemetaan!$B$4)</f>
        <v>29</v>
      </c>
      <c r="E1646" s="0" t="n">
        <f aca="false">MOD(C1646,Pemetaan!$B$4)</f>
        <v>19</v>
      </c>
      <c r="F1646" s="0" t="n">
        <f aca="false">IF(B1646="PRODUKSI",Pemetaan!$B$5,Pemetaan!$B$6)</f>
        <v>46</v>
      </c>
      <c r="G1646" s="0" t="n">
        <f aca="false">F1646+2+D1646</f>
        <v>77</v>
      </c>
      <c r="H1646" s="0" t="n">
        <f aca="false">Pemetaan!$B$2+E1646</f>
        <v>24</v>
      </c>
      <c r="I1646" s="0" t="str">
        <f aca="false">INDEX(Laporan!$A$1:$AZ$300,G1646,1)</f>
        <v>Mixing</v>
      </c>
      <c r="J1646" s="0" t="str">
        <f aca="false">INDEX(Laporan!$A$1:$AZ$300,G1646,2)</f>
        <v>600 ml</v>
      </c>
      <c r="K1646" s="0" t="str">
        <f aca="false">INDEX(Laporan!$A$1:$AZ$300,G1646,3)</f>
        <v>Shift 2</v>
      </c>
      <c r="L1646" s="0" t="n">
        <f aca="false">INDEX(Laporan!$A$1:$AZ$300,G1646,4)</f>
        <v>3</v>
      </c>
      <c r="M1646" s="1" t="n">
        <f aca="false">DATE(Pemetaan!$B$1,VALUE(RIGHT(INDEX(Laporan!$A$1:$AZ$300,F1646+1,H1646),2)),VALUE(LEFT(INDEX(Laporan!$A$1:$AZ$300,F1646+1,H1646),2)))</f>
        <v>46108</v>
      </c>
      <c r="N1646" s="0" t="n">
        <f aca="false">INDEX(Laporan!$A$1:$AZ$300,G1646,H1646)</f>
        <v>13</v>
      </c>
      <c r="O1646" s="0" t="n">
        <f aca="false">IF(N1646="","",IFERROR(VALUE(SUBSTITUTE(SUBSTITUTE(N1646," btl",""),".","")),""))</f>
        <v>13</v>
      </c>
      <c r="P1646" s="0" t="str">
        <f aca="false">IF(B1646="PRODUKSI","produced","reject")</f>
        <v>reject</v>
      </c>
    </row>
    <row r="1647" customFormat="false" ht="15" hidden="false" customHeight="false" outlineLevel="0" collapsed="false">
      <c r="A1647" s="0" t="n">
        <v>1646</v>
      </c>
      <c r="B1647" s="0" t="str">
        <f aca="false">IF(A1647&lt;=36*25,"PRODUKSI","REJECT")</f>
        <v>REJECT</v>
      </c>
      <c r="C1647" s="0" t="n">
        <f aca="false">MOD(A1647-1,Pemetaan!$B$3*Pemetaan!$B$4)</f>
        <v>745</v>
      </c>
      <c r="D1647" s="0" t="n">
        <f aca="false">INT(C1647/Pemetaan!$B$4)</f>
        <v>29</v>
      </c>
      <c r="E1647" s="0" t="n">
        <f aca="false">MOD(C1647,Pemetaan!$B$4)</f>
        <v>20</v>
      </c>
      <c r="F1647" s="0" t="n">
        <f aca="false">IF(B1647="PRODUKSI",Pemetaan!$B$5,Pemetaan!$B$6)</f>
        <v>46</v>
      </c>
      <c r="G1647" s="0" t="n">
        <f aca="false">F1647+2+D1647</f>
        <v>77</v>
      </c>
      <c r="H1647" s="0" t="n">
        <f aca="false">Pemetaan!$B$2+E1647</f>
        <v>25</v>
      </c>
      <c r="I1647" s="0" t="str">
        <f aca="false">INDEX(Laporan!$A$1:$AZ$300,G1647,1)</f>
        <v>Mixing</v>
      </c>
      <c r="J1647" s="0" t="str">
        <f aca="false">INDEX(Laporan!$A$1:$AZ$300,G1647,2)</f>
        <v>600 ml</v>
      </c>
      <c r="K1647" s="0" t="str">
        <f aca="false">INDEX(Laporan!$A$1:$AZ$300,G1647,3)</f>
        <v>Shift 2</v>
      </c>
      <c r="L1647" s="0" t="n">
        <f aca="false">INDEX(Laporan!$A$1:$AZ$300,G1647,4)</f>
        <v>3</v>
      </c>
      <c r="M1647" s="1" t="n">
        <f aca="false">DATE(Pemetaan!$B$1,VALUE(RIGHT(INDEX(Laporan!$A$1:$AZ$300,F1647+1,H1647),2)),VALUE(LEFT(INDEX(Laporan!$A$1:$AZ$300,F1647+1,H1647),2)))</f>
        <v>46111</v>
      </c>
      <c r="N1647" s="0" t="n">
        <f aca="false">INDEX(Laporan!$A$1:$AZ$300,G1647,H1647)</f>
        <v>15</v>
      </c>
      <c r="O1647" s="0" t="n">
        <f aca="false">IF(N1647="","",IFERROR(VALUE(SUBSTITUTE(SUBSTITUTE(N1647," btl",""),".","")),""))</f>
        <v>15</v>
      </c>
      <c r="P1647" s="0" t="str">
        <f aca="false">IF(B1647="PRODUKSI","produced","reject")</f>
        <v>reject</v>
      </c>
    </row>
    <row r="1648" customFormat="false" ht="15" hidden="false" customHeight="false" outlineLevel="0" collapsed="false">
      <c r="A1648" s="0" t="n">
        <v>1647</v>
      </c>
      <c r="B1648" s="0" t="str">
        <f aca="false">IF(A1648&lt;=36*25,"PRODUKSI","REJECT")</f>
        <v>REJECT</v>
      </c>
      <c r="C1648" s="0" t="n">
        <f aca="false">MOD(A1648-1,Pemetaan!$B$3*Pemetaan!$B$4)</f>
        <v>746</v>
      </c>
      <c r="D1648" s="0" t="n">
        <f aca="false">INT(C1648/Pemetaan!$B$4)</f>
        <v>29</v>
      </c>
      <c r="E1648" s="0" t="n">
        <f aca="false">MOD(C1648,Pemetaan!$B$4)</f>
        <v>21</v>
      </c>
      <c r="F1648" s="0" t="n">
        <f aca="false">IF(B1648="PRODUKSI",Pemetaan!$B$5,Pemetaan!$B$6)</f>
        <v>46</v>
      </c>
      <c r="G1648" s="0" t="n">
        <f aca="false">F1648+2+D1648</f>
        <v>77</v>
      </c>
      <c r="H1648" s="0" t="n">
        <f aca="false">Pemetaan!$B$2+E1648</f>
        <v>26</v>
      </c>
      <c r="I1648" s="0" t="str">
        <f aca="false">INDEX(Laporan!$A$1:$AZ$300,G1648,1)</f>
        <v>Mixing</v>
      </c>
      <c r="J1648" s="0" t="str">
        <f aca="false">INDEX(Laporan!$A$1:$AZ$300,G1648,2)</f>
        <v>600 ml</v>
      </c>
      <c r="K1648" s="0" t="str">
        <f aca="false">INDEX(Laporan!$A$1:$AZ$300,G1648,3)</f>
        <v>Shift 2</v>
      </c>
      <c r="L1648" s="0" t="n">
        <f aca="false">INDEX(Laporan!$A$1:$AZ$300,G1648,4)</f>
        <v>3</v>
      </c>
      <c r="M1648" s="1" t="n">
        <f aca="false">DATE(Pemetaan!$B$1,VALUE(RIGHT(INDEX(Laporan!$A$1:$AZ$300,F1648+1,H1648),2)),VALUE(LEFT(INDEX(Laporan!$A$1:$AZ$300,F1648+1,H1648),2)))</f>
        <v>46112</v>
      </c>
      <c r="N1648" s="0" t="n">
        <f aca="false">INDEX(Laporan!$A$1:$AZ$300,G1648,H1648)</f>
        <v>14</v>
      </c>
      <c r="O1648" s="0" t="n">
        <f aca="false">IF(N1648="","",IFERROR(VALUE(SUBSTITUTE(SUBSTITUTE(N1648," btl",""),".","")),""))</f>
        <v>14</v>
      </c>
      <c r="P1648" s="0" t="str">
        <f aca="false">IF(B1648="PRODUKSI","produced","reject")</f>
        <v>reject</v>
      </c>
    </row>
    <row r="1649" customFormat="false" ht="15" hidden="false" customHeight="false" outlineLevel="0" collapsed="false">
      <c r="A1649" s="0" t="n">
        <v>1648</v>
      </c>
      <c r="B1649" s="0" t="str">
        <f aca="false">IF(A1649&lt;=36*25,"PRODUKSI","REJECT")</f>
        <v>REJECT</v>
      </c>
      <c r="C1649" s="0" t="n">
        <f aca="false">MOD(A1649-1,Pemetaan!$B$3*Pemetaan!$B$4)</f>
        <v>747</v>
      </c>
      <c r="D1649" s="0" t="n">
        <f aca="false">INT(C1649/Pemetaan!$B$4)</f>
        <v>29</v>
      </c>
      <c r="E1649" s="0" t="n">
        <f aca="false">MOD(C1649,Pemetaan!$B$4)</f>
        <v>22</v>
      </c>
      <c r="F1649" s="0" t="n">
        <f aca="false">IF(B1649="PRODUKSI",Pemetaan!$B$5,Pemetaan!$B$6)</f>
        <v>46</v>
      </c>
      <c r="G1649" s="0" t="n">
        <f aca="false">F1649+2+D1649</f>
        <v>77</v>
      </c>
      <c r="H1649" s="0" t="n">
        <f aca="false">Pemetaan!$B$2+E1649</f>
        <v>27</v>
      </c>
      <c r="I1649" s="0" t="str">
        <f aca="false">INDEX(Laporan!$A$1:$AZ$300,G1649,1)</f>
        <v>Mixing</v>
      </c>
      <c r="J1649" s="0" t="str">
        <f aca="false">INDEX(Laporan!$A$1:$AZ$300,G1649,2)</f>
        <v>600 ml</v>
      </c>
      <c r="K1649" s="0" t="str">
        <f aca="false">INDEX(Laporan!$A$1:$AZ$300,G1649,3)</f>
        <v>Shift 2</v>
      </c>
      <c r="L1649" s="0" t="n">
        <f aca="false">INDEX(Laporan!$A$1:$AZ$300,G1649,4)</f>
        <v>3</v>
      </c>
      <c r="M1649" s="1" t="n">
        <f aca="false">DATE(Pemetaan!$B$1,VALUE(RIGHT(INDEX(Laporan!$A$1:$AZ$300,F1649+1,H1649),2)),VALUE(LEFT(INDEX(Laporan!$A$1:$AZ$300,F1649+1,H1649),2)))</f>
        <v>46113</v>
      </c>
      <c r="N1649" s="0" t="n">
        <f aca="false">INDEX(Laporan!$A$1:$AZ$300,G1649,H1649)</f>
        <v>9</v>
      </c>
      <c r="O1649" s="0" t="n">
        <f aca="false">IF(N1649="","",IFERROR(VALUE(SUBSTITUTE(SUBSTITUTE(N1649," btl",""),".","")),""))</f>
        <v>9</v>
      </c>
      <c r="P1649" s="0" t="str">
        <f aca="false">IF(B1649="PRODUKSI","produced","reject")</f>
        <v>reject</v>
      </c>
    </row>
    <row r="1650" customFormat="false" ht="15" hidden="false" customHeight="false" outlineLevel="0" collapsed="false">
      <c r="A1650" s="0" t="n">
        <v>1649</v>
      </c>
      <c r="B1650" s="0" t="str">
        <f aca="false">IF(A1650&lt;=36*25,"PRODUKSI","REJECT")</f>
        <v>REJECT</v>
      </c>
      <c r="C1650" s="0" t="n">
        <f aca="false">MOD(A1650-1,Pemetaan!$B$3*Pemetaan!$B$4)</f>
        <v>748</v>
      </c>
      <c r="D1650" s="0" t="n">
        <f aca="false">INT(C1650/Pemetaan!$B$4)</f>
        <v>29</v>
      </c>
      <c r="E1650" s="0" t="n">
        <f aca="false">MOD(C1650,Pemetaan!$B$4)</f>
        <v>23</v>
      </c>
      <c r="F1650" s="0" t="n">
        <f aca="false">IF(B1650="PRODUKSI",Pemetaan!$B$5,Pemetaan!$B$6)</f>
        <v>46</v>
      </c>
      <c r="G1650" s="0" t="n">
        <f aca="false">F1650+2+D1650</f>
        <v>77</v>
      </c>
      <c r="H1650" s="0" t="n">
        <f aca="false">Pemetaan!$B$2+E1650</f>
        <v>28</v>
      </c>
      <c r="I1650" s="0" t="str">
        <f aca="false">INDEX(Laporan!$A$1:$AZ$300,G1650,1)</f>
        <v>Mixing</v>
      </c>
      <c r="J1650" s="0" t="str">
        <f aca="false">INDEX(Laporan!$A$1:$AZ$300,G1650,2)</f>
        <v>600 ml</v>
      </c>
      <c r="K1650" s="0" t="str">
        <f aca="false">INDEX(Laporan!$A$1:$AZ$300,G1650,3)</f>
        <v>Shift 2</v>
      </c>
      <c r="L1650" s="0" t="n">
        <f aca="false">INDEX(Laporan!$A$1:$AZ$300,G1650,4)</f>
        <v>3</v>
      </c>
      <c r="M1650" s="1" t="n">
        <f aca="false">DATE(Pemetaan!$B$1,VALUE(RIGHT(INDEX(Laporan!$A$1:$AZ$300,F1650+1,H1650),2)),VALUE(LEFT(INDEX(Laporan!$A$1:$AZ$300,F1650+1,H1650),2)))</f>
        <v>46114</v>
      </c>
      <c r="N1650" s="0" t="n">
        <f aca="false">INDEX(Laporan!$A$1:$AZ$300,G1650,H1650)</f>
        <v>17</v>
      </c>
      <c r="O1650" s="0" t="n">
        <f aca="false">IF(N1650="","",IFERROR(VALUE(SUBSTITUTE(SUBSTITUTE(N1650," btl",""),".","")),""))</f>
        <v>17</v>
      </c>
      <c r="P1650" s="0" t="str">
        <f aca="false">IF(B1650="PRODUKSI","produced","reject")</f>
        <v>reject</v>
      </c>
    </row>
    <row r="1651" customFormat="false" ht="15" hidden="false" customHeight="false" outlineLevel="0" collapsed="false">
      <c r="A1651" s="0" t="n">
        <v>1650</v>
      </c>
      <c r="B1651" s="0" t="str">
        <f aca="false">IF(A1651&lt;=36*25,"PRODUKSI","REJECT")</f>
        <v>REJECT</v>
      </c>
      <c r="C1651" s="0" t="n">
        <f aca="false">MOD(A1651-1,Pemetaan!$B$3*Pemetaan!$B$4)</f>
        <v>749</v>
      </c>
      <c r="D1651" s="0" t="n">
        <f aca="false">INT(C1651/Pemetaan!$B$4)</f>
        <v>29</v>
      </c>
      <c r="E1651" s="0" t="n">
        <f aca="false">MOD(C1651,Pemetaan!$B$4)</f>
        <v>24</v>
      </c>
      <c r="F1651" s="0" t="n">
        <f aca="false">IF(B1651="PRODUKSI",Pemetaan!$B$5,Pemetaan!$B$6)</f>
        <v>46</v>
      </c>
      <c r="G1651" s="0" t="n">
        <f aca="false">F1651+2+D1651</f>
        <v>77</v>
      </c>
      <c r="H1651" s="0" t="n">
        <f aca="false">Pemetaan!$B$2+E1651</f>
        <v>29</v>
      </c>
      <c r="I1651" s="0" t="str">
        <f aca="false">INDEX(Laporan!$A$1:$AZ$300,G1651,1)</f>
        <v>Mixing</v>
      </c>
      <c r="J1651" s="0" t="str">
        <f aca="false">INDEX(Laporan!$A$1:$AZ$300,G1651,2)</f>
        <v>600 ml</v>
      </c>
      <c r="K1651" s="0" t="str">
        <f aca="false">INDEX(Laporan!$A$1:$AZ$300,G1651,3)</f>
        <v>Shift 2</v>
      </c>
      <c r="L1651" s="0" t="n">
        <f aca="false">INDEX(Laporan!$A$1:$AZ$300,G1651,4)</f>
        <v>3</v>
      </c>
      <c r="M1651" s="1" t="n">
        <f aca="false">DATE(Pemetaan!$B$1,VALUE(RIGHT(INDEX(Laporan!$A$1:$AZ$300,F1651+1,H1651),2)),VALUE(LEFT(INDEX(Laporan!$A$1:$AZ$300,F1651+1,H1651),2)))</f>
        <v>46115</v>
      </c>
      <c r="N1651" s="0" t="n">
        <f aca="false">INDEX(Laporan!$A$1:$AZ$300,G1651,H1651)</f>
        <v>16</v>
      </c>
      <c r="O1651" s="0" t="n">
        <f aca="false">IF(N1651="","",IFERROR(VALUE(SUBSTITUTE(SUBSTITUTE(N1651," btl",""),".","")),""))</f>
        <v>16</v>
      </c>
      <c r="P1651" s="0" t="str">
        <f aca="false">IF(B1651="PRODUKSI","produced","reject")</f>
        <v>reject</v>
      </c>
    </row>
    <row r="1652" customFormat="false" ht="15" hidden="false" customHeight="false" outlineLevel="0" collapsed="false">
      <c r="A1652" s="0" t="n">
        <v>1651</v>
      </c>
      <c r="B1652" s="0" t="str">
        <f aca="false">IF(A1652&lt;=36*25,"PRODUKSI","REJECT")</f>
        <v>REJECT</v>
      </c>
      <c r="C1652" s="0" t="n">
        <f aca="false">MOD(A1652-1,Pemetaan!$B$3*Pemetaan!$B$4)</f>
        <v>750</v>
      </c>
      <c r="D1652" s="0" t="n">
        <f aca="false">INT(C1652/Pemetaan!$B$4)</f>
        <v>30</v>
      </c>
      <c r="E1652" s="0" t="n">
        <f aca="false">MOD(C1652,Pemetaan!$B$4)</f>
        <v>0</v>
      </c>
      <c r="F1652" s="0" t="n">
        <f aca="false">IF(B1652="PRODUKSI",Pemetaan!$B$5,Pemetaan!$B$6)</f>
        <v>46</v>
      </c>
      <c r="G1652" s="0" t="n">
        <f aca="false">F1652+2+D1652</f>
        <v>78</v>
      </c>
      <c r="H1652" s="0" t="n">
        <f aca="false">Pemetaan!$B$2+E1652</f>
        <v>5</v>
      </c>
      <c r="I1652" s="0" t="str">
        <f aca="false">INDEX(Laporan!$A$1:$AZ$300,G1652,1)</f>
        <v>Mixing</v>
      </c>
      <c r="J1652" s="0" t="str">
        <f aca="false">INDEX(Laporan!$A$1:$AZ$300,G1652,2)</f>
        <v>1,5 L</v>
      </c>
      <c r="K1652" s="0" t="str">
        <f aca="false">INDEX(Laporan!$A$1:$AZ$300,G1652,3)</f>
        <v>Shift 1</v>
      </c>
      <c r="L1652" s="0" t="n">
        <f aca="false">INDEX(Laporan!$A$1:$AZ$300,G1652,4)</f>
        <v>1</v>
      </c>
      <c r="M1652" s="1" t="n">
        <f aca="false">DATE(Pemetaan!$B$1,VALUE(RIGHT(INDEX(Laporan!$A$1:$AZ$300,F1652+1,H1652),2)),VALUE(LEFT(INDEX(Laporan!$A$1:$AZ$300,F1652+1,H1652),2)))</f>
        <v>46083</v>
      </c>
      <c r="N1652" s="0" t="n">
        <f aca="false">INDEX(Laporan!$A$1:$AZ$300,G1652,H1652)</f>
        <v>11</v>
      </c>
      <c r="O1652" s="0" t="n">
        <f aca="false">IF(N1652="","",IFERROR(VALUE(SUBSTITUTE(SUBSTITUTE(N1652," btl",""),".","")),""))</f>
        <v>11</v>
      </c>
      <c r="P1652" s="0" t="str">
        <f aca="false">IF(B1652="PRODUKSI","produced","reject")</f>
        <v>reject</v>
      </c>
    </row>
    <row r="1653" customFormat="false" ht="15" hidden="false" customHeight="false" outlineLevel="0" collapsed="false">
      <c r="A1653" s="0" t="n">
        <v>1652</v>
      </c>
      <c r="B1653" s="0" t="str">
        <f aca="false">IF(A1653&lt;=36*25,"PRODUKSI","REJECT")</f>
        <v>REJECT</v>
      </c>
      <c r="C1653" s="0" t="n">
        <f aca="false">MOD(A1653-1,Pemetaan!$B$3*Pemetaan!$B$4)</f>
        <v>751</v>
      </c>
      <c r="D1653" s="0" t="n">
        <f aca="false">INT(C1653/Pemetaan!$B$4)</f>
        <v>30</v>
      </c>
      <c r="E1653" s="0" t="n">
        <f aca="false">MOD(C1653,Pemetaan!$B$4)</f>
        <v>1</v>
      </c>
      <c r="F1653" s="0" t="n">
        <f aca="false">IF(B1653="PRODUKSI",Pemetaan!$B$5,Pemetaan!$B$6)</f>
        <v>46</v>
      </c>
      <c r="G1653" s="0" t="n">
        <f aca="false">F1653+2+D1653</f>
        <v>78</v>
      </c>
      <c r="H1653" s="0" t="n">
        <f aca="false">Pemetaan!$B$2+E1653</f>
        <v>6</v>
      </c>
      <c r="I1653" s="0" t="str">
        <f aca="false">INDEX(Laporan!$A$1:$AZ$300,G1653,1)</f>
        <v>Mixing</v>
      </c>
      <c r="J1653" s="0" t="str">
        <f aca="false">INDEX(Laporan!$A$1:$AZ$300,G1653,2)</f>
        <v>1,5 L</v>
      </c>
      <c r="K1653" s="0" t="str">
        <f aca="false">INDEX(Laporan!$A$1:$AZ$300,G1653,3)</f>
        <v>Shift 1</v>
      </c>
      <c r="L1653" s="0" t="n">
        <f aca="false">INDEX(Laporan!$A$1:$AZ$300,G1653,4)</f>
        <v>1</v>
      </c>
      <c r="M1653" s="1" t="n">
        <f aca="false">DATE(Pemetaan!$B$1,VALUE(RIGHT(INDEX(Laporan!$A$1:$AZ$300,F1653+1,H1653),2)),VALUE(LEFT(INDEX(Laporan!$A$1:$AZ$300,F1653+1,H1653),2)))</f>
        <v>46084</v>
      </c>
      <c r="N1653" s="0" t="n">
        <f aca="false">INDEX(Laporan!$A$1:$AZ$300,G1653,H1653)</f>
        <v>6</v>
      </c>
      <c r="O1653" s="0" t="n">
        <f aca="false">IF(N1653="","",IFERROR(VALUE(SUBSTITUTE(SUBSTITUTE(N1653," btl",""),".","")),""))</f>
        <v>6</v>
      </c>
      <c r="P1653" s="0" t="str">
        <f aca="false">IF(B1653="PRODUKSI","produced","reject")</f>
        <v>reject</v>
      </c>
    </row>
    <row r="1654" customFormat="false" ht="15" hidden="false" customHeight="false" outlineLevel="0" collapsed="false">
      <c r="A1654" s="0" t="n">
        <v>1653</v>
      </c>
      <c r="B1654" s="0" t="str">
        <f aca="false">IF(A1654&lt;=36*25,"PRODUKSI","REJECT")</f>
        <v>REJECT</v>
      </c>
      <c r="C1654" s="0" t="n">
        <f aca="false">MOD(A1654-1,Pemetaan!$B$3*Pemetaan!$B$4)</f>
        <v>752</v>
      </c>
      <c r="D1654" s="0" t="n">
        <f aca="false">INT(C1654/Pemetaan!$B$4)</f>
        <v>30</v>
      </c>
      <c r="E1654" s="0" t="n">
        <f aca="false">MOD(C1654,Pemetaan!$B$4)</f>
        <v>2</v>
      </c>
      <c r="F1654" s="0" t="n">
        <f aca="false">IF(B1654="PRODUKSI",Pemetaan!$B$5,Pemetaan!$B$6)</f>
        <v>46</v>
      </c>
      <c r="G1654" s="0" t="n">
        <f aca="false">F1654+2+D1654</f>
        <v>78</v>
      </c>
      <c r="H1654" s="0" t="n">
        <f aca="false">Pemetaan!$B$2+E1654</f>
        <v>7</v>
      </c>
      <c r="I1654" s="0" t="str">
        <f aca="false">INDEX(Laporan!$A$1:$AZ$300,G1654,1)</f>
        <v>Mixing</v>
      </c>
      <c r="J1654" s="0" t="str">
        <f aca="false">INDEX(Laporan!$A$1:$AZ$300,G1654,2)</f>
        <v>1,5 L</v>
      </c>
      <c r="K1654" s="0" t="str">
        <f aca="false">INDEX(Laporan!$A$1:$AZ$300,G1654,3)</f>
        <v>Shift 1</v>
      </c>
      <c r="L1654" s="0" t="n">
        <f aca="false">INDEX(Laporan!$A$1:$AZ$300,G1654,4)</f>
        <v>1</v>
      </c>
      <c r="M1654" s="1" t="n">
        <f aca="false">DATE(Pemetaan!$B$1,VALUE(RIGHT(INDEX(Laporan!$A$1:$AZ$300,F1654+1,H1654),2)),VALUE(LEFT(INDEX(Laporan!$A$1:$AZ$300,F1654+1,H1654),2)))</f>
        <v>46085</v>
      </c>
      <c r="N1654" s="0" t="n">
        <f aca="false">INDEX(Laporan!$A$1:$AZ$300,G1654,H1654)</f>
        <v>7</v>
      </c>
      <c r="O1654" s="0" t="n">
        <f aca="false">IF(N1654="","",IFERROR(VALUE(SUBSTITUTE(SUBSTITUTE(N1654," btl",""),".","")),""))</f>
        <v>7</v>
      </c>
      <c r="P1654" s="0" t="str">
        <f aca="false">IF(B1654="PRODUKSI","produced","reject")</f>
        <v>reject</v>
      </c>
    </row>
    <row r="1655" customFormat="false" ht="15" hidden="false" customHeight="false" outlineLevel="0" collapsed="false">
      <c r="A1655" s="0" t="n">
        <v>1654</v>
      </c>
      <c r="B1655" s="0" t="str">
        <f aca="false">IF(A1655&lt;=36*25,"PRODUKSI","REJECT")</f>
        <v>REJECT</v>
      </c>
      <c r="C1655" s="0" t="n">
        <f aca="false">MOD(A1655-1,Pemetaan!$B$3*Pemetaan!$B$4)</f>
        <v>753</v>
      </c>
      <c r="D1655" s="0" t="n">
        <f aca="false">INT(C1655/Pemetaan!$B$4)</f>
        <v>30</v>
      </c>
      <c r="E1655" s="0" t="n">
        <f aca="false">MOD(C1655,Pemetaan!$B$4)</f>
        <v>3</v>
      </c>
      <c r="F1655" s="0" t="n">
        <f aca="false">IF(B1655="PRODUKSI",Pemetaan!$B$5,Pemetaan!$B$6)</f>
        <v>46</v>
      </c>
      <c r="G1655" s="0" t="n">
        <f aca="false">F1655+2+D1655</f>
        <v>78</v>
      </c>
      <c r="H1655" s="0" t="n">
        <f aca="false">Pemetaan!$B$2+E1655</f>
        <v>8</v>
      </c>
      <c r="I1655" s="0" t="str">
        <f aca="false">INDEX(Laporan!$A$1:$AZ$300,G1655,1)</f>
        <v>Mixing</v>
      </c>
      <c r="J1655" s="0" t="str">
        <f aca="false">INDEX(Laporan!$A$1:$AZ$300,G1655,2)</f>
        <v>1,5 L</v>
      </c>
      <c r="K1655" s="0" t="str">
        <f aca="false">INDEX(Laporan!$A$1:$AZ$300,G1655,3)</f>
        <v>Shift 1</v>
      </c>
      <c r="L1655" s="0" t="n">
        <f aca="false">INDEX(Laporan!$A$1:$AZ$300,G1655,4)</f>
        <v>1</v>
      </c>
      <c r="M1655" s="1" t="n">
        <f aca="false">DATE(Pemetaan!$B$1,VALUE(RIGHT(INDEX(Laporan!$A$1:$AZ$300,F1655+1,H1655),2)),VALUE(LEFT(INDEX(Laporan!$A$1:$AZ$300,F1655+1,H1655),2)))</f>
        <v>46086</v>
      </c>
      <c r="N1655" s="0" t="n">
        <f aca="false">INDEX(Laporan!$A$1:$AZ$300,G1655,H1655)</f>
        <v>8</v>
      </c>
      <c r="O1655" s="0" t="n">
        <f aca="false">IF(N1655="","",IFERROR(VALUE(SUBSTITUTE(SUBSTITUTE(N1655," btl",""),".","")),""))</f>
        <v>8</v>
      </c>
      <c r="P1655" s="0" t="str">
        <f aca="false">IF(B1655="PRODUKSI","produced","reject")</f>
        <v>reject</v>
      </c>
    </row>
    <row r="1656" customFormat="false" ht="15" hidden="false" customHeight="false" outlineLevel="0" collapsed="false">
      <c r="A1656" s="0" t="n">
        <v>1655</v>
      </c>
      <c r="B1656" s="0" t="str">
        <f aca="false">IF(A1656&lt;=36*25,"PRODUKSI","REJECT")</f>
        <v>REJECT</v>
      </c>
      <c r="C1656" s="0" t="n">
        <f aca="false">MOD(A1656-1,Pemetaan!$B$3*Pemetaan!$B$4)</f>
        <v>754</v>
      </c>
      <c r="D1656" s="0" t="n">
        <f aca="false">INT(C1656/Pemetaan!$B$4)</f>
        <v>30</v>
      </c>
      <c r="E1656" s="0" t="n">
        <f aca="false">MOD(C1656,Pemetaan!$B$4)</f>
        <v>4</v>
      </c>
      <c r="F1656" s="0" t="n">
        <f aca="false">IF(B1656="PRODUKSI",Pemetaan!$B$5,Pemetaan!$B$6)</f>
        <v>46</v>
      </c>
      <c r="G1656" s="0" t="n">
        <f aca="false">F1656+2+D1656</f>
        <v>78</v>
      </c>
      <c r="H1656" s="0" t="n">
        <f aca="false">Pemetaan!$B$2+E1656</f>
        <v>9</v>
      </c>
      <c r="I1656" s="0" t="str">
        <f aca="false">INDEX(Laporan!$A$1:$AZ$300,G1656,1)</f>
        <v>Mixing</v>
      </c>
      <c r="J1656" s="0" t="str">
        <f aca="false">INDEX(Laporan!$A$1:$AZ$300,G1656,2)</f>
        <v>1,5 L</v>
      </c>
      <c r="K1656" s="0" t="str">
        <f aca="false">INDEX(Laporan!$A$1:$AZ$300,G1656,3)</f>
        <v>Shift 1</v>
      </c>
      <c r="L1656" s="0" t="n">
        <f aca="false">INDEX(Laporan!$A$1:$AZ$300,G1656,4)</f>
        <v>1</v>
      </c>
      <c r="M1656" s="1" t="n">
        <f aca="false">DATE(Pemetaan!$B$1,VALUE(RIGHT(INDEX(Laporan!$A$1:$AZ$300,F1656+1,H1656),2)),VALUE(LEFT(INDEX(Laporan!$A$1:$AZ$300,F1656+1,H1656),2)))</f>
        <v>46087</v>
      </c>
      <c r="N1656" s="0" t="n">
        <f aca="false">INDEX(Laporan!$A$1:$AZ$300,G1656,H1656)</f>
        <v>6</v>
      </c>
      <c r="O1656" s="0" t="n">
        <f aca="false">IF(N1656="","",IFERROR(VALUE(SUBSTITUTE(SUBSTITUTE(N1656," btl",""),".","")),""))</f>
        <v>6</v>
      </c>
      <c r="P1656" s="0" t="str">
        <f aca="false">IF(B1656="PRODUKSI","produced","reject")</f>
        <v>reject</v>
      </c>
    </row>
    <row r="1657" customFormat="false" ht="15" hidden="false" customHeight="false" outlineLevel="0" collapsed="false">
      <c r="A1657" s="0" t="n">
        <v>1656</v>
      </c>
      <c r="B1657" s="0" t="str">
        <f aca="false">IF(A1657&lt;=36*25,"PRODUKSI","REJECT")</f>
        <v>REJECT</v>
      </c>
      <c r="C1657" s="0" t="n">
        <f aca="false">MOD(A1657-1,Pemetaan!$B$3*Pemetaan!$B$4)</f>
        <v>755</v>
      </c>
      <c r="D1657" s="0" t="n">
        <f aca="false">INT(C1657/Pemetaan!$B$4)</f>
        <v>30</v>
      </c>
      <c r="E1657" s="0" t="n">
        <f aca="false">MOD(C1657,Pemetaan!$B$4)</f>
        <v>5</v>
      </c>
      <c r="F1657" s="0" t="n">
        <f aca="false">IF(B1657="PRODUKSI",Pemetaan!$B$5,Pemetaan!$B$6)</f>
        <v>46</v>
      </c>
      <c r="G1657" s="0" t="n">
        <f aca="false">F1657+2+D1657</f>
        <v>78</v>
      </c>
      <c r="H1657" s="0" t="n">
        <f aca="false">Pemetaan!$B$2+E1657</f>
        <v>10</v>
      </c>
      <c r="I1657" s="0" t="str">
        <f aca="false">INDEX(Laporan!$A$1:$AZ$300,G1657,1)</f>
        <v>Mixing</v>
      </c>
      <c r="J1657" s="0" t="str">
        <f aca="false">INDEX(Laporan!$A$1:$AZ$300,G1657,2)</f>
        <v>1,5 L</v>
      </c>
      <c r="K1657" s="0" t="str">
        <f aca="false">INDEX(Laporan!$A$1:$AZ$300,G1657,3)</f>
        <v>Shift 1</v>
      </c>
      <c r="L1657" s="0" t="n">
        <f aca="false">INDEX(Laporan!$A$1:$AZ$300,G1657,4)</f>
        <v>1</v>
      </c>
      <c r="M1657" s="1" t="n">
        <f aca="false">DATE(Pemetaan!$B$1,VALUE(RIGHT(INDEX(Laporan!$A$1:$AZ$300,F1657+1,H1657),2)),VALUE(LEFT(INDEX(Laporan!$A$1:$AZ$300,F1657+1,H1657),2)))</f>
        <v>46090</v>
      </c>
      <c r="N1657" s="0" t="n">
        <f aca="false">INDEX(Laporan!$A$1:$AZ$300,G1657,H1657)</f>
        <v>9</v>
      </c>
      <c r="O1657" s="0" t="n">
        <f aca="false">IF(N1657="","",IFERROR(VALUE(SUBSTITUTE(SUBSTITUTE(N1657," btl",""),".","")),""))</f>
        <v>9</v>
      </c>
      <c r="P1657" s="0" t="str">
        <f aca="false">IF(B1657="PRODUKSI","produced","reject")</f>
        <v>reject</v>
      </c>
    </row>
    <row r="1658" customFormat="false" ht="15" hidden="false" customHeight="false" outlineLevel="0" collapsed="false">
      <c r="A1658" s="0" t="n">
        <v>1657</v>
      </c>
      <c r="B1658" s="0" t="str">
        <f aca="false">IF(A1658&lt;=36*25,"PRODUKSI","REJECT")</f>
        <v>REJECT</v>
      </c>
      <c r="C1658" s="0" t="n">
        <f aca="false">MOD(A1658-1,Pemetaan!$B$3*Pemetaan!$B$4)</f>
        <v>756</v>
      </c>
      <c r="D1658" s="0" t="n">
        <f aca="false">INT(C1658/Pemetaan!$B$4)</f>
        <v>30</v>
      </c>
      <c r="E1658" s="0" t="n">
        <f aca="false">MOD(C1658,Pemetaan!$B$4)</f>
        <v>6</v>
      </c>
      <c r="F1658" s="0" t="n">
        <f aca="false">IF(B1658="PRODUKSI",Pemetaan!$B$5,Pemetaan!$B$6)</f>
        <v>46</v>
      </c>
      <c r="G1658" s="0" t="n">
        <f aca="false">F1658+2+D1658</f>
        <v>78</v>
      </c>
      <c r="H1658" s="0" t="n">
        <f aca="false">Pemetaan!$B$2+E1658</f>
        <v>11</v>
      </c>
      <c r="I1658" s="0" t="str">
        <f aca="false">INDEX(Laporan!$A$1:$AZ$300,G1658,1)</f>
        <v>Mixing</v>
      </c>
      <c r="J1658" s="0" t="str">
        <f aca="false">INDEX(Laporan!$A$1:$AZ$300,G1658,2)</f>
        <v>1,5 L</v>
      </c>
      <c r="K1658" s="0" t="str">
        <f aca="false">INDEX(Laporan!$A$1:$AZ$300,G1658,3)</f>
        <v>Shift 1</v>
      </c>
      <c r="L1658" s="0" t="n">
        <f aca="false">INDEX(Laporan!$A$1:$AZ$300,G1658,4)</f>
        <v>1</v>
      </c>
      <c r="M1658" s="1" t="n">
        <f aca="false">DATE(Pemetaan!$B$1,VALUE(RIGHT(INDEX(Laporan!$A$1:$AZ$300,F1658+1,H1658),2)),VALUE(LEFT(INDEX(Laporan!$A$1:$AZ$300,F1658+1,H1658),2)))</f>
        <v>46091</v>
      </c>
      <c r="N1658" s="0" t="n">
        <f aca="false">INDEX(Laporan!$A$1:$AZ$300,G1658,H1658)</f>
        <v>10</v>
      </c>
      <c r="O1658" s="0" t="n">
        <f aca="false">IF(N1658="","",IFERROR(VALUE(SUBSTITUTE(SUBSTITUTE(N1658," btl",""),".","")),""))</f>
        <v>10</v>
      </c>
      <c r="P1658" s="0" t="str">
        <f aca="false">IF(B1658="PRODUKSI","produced","reject")</f>
        <v>reject</v>
      </c>
    </row>
    <row r="1659" customFormat="false" ht="15" hidden="false" customHeight="false" outlineLevel="0" collapsed="false">
      <c r="A1659" s="0" t="n">
        <v>1658</v>
      </c>
      <c r="B1659" s="0" t="str">
        <f aca="false">IF(A1659&lt;=36*25,"PRODUKSI","REJECT")</f>
        <v>REJECT</v>
      </c>
      <c r="C1659" s="0" t="n">
        <f aca="false">MOD(A1659-1,Pemetaan!$B$3*Pemetaan!$B$4)</f>
        <v>757</v>
      </c>
      <c r="D1659" s="0" t="n">
        <f aca="false">INT(C1659/Pemetaan!$B$4)</f>
        <v>30</v>
      </c>
      <c r="E1659" s="0" t="n">
        <f aca="false">MOD(C1659,Pemetaan!$B$4)</f>
        <v>7</v>
      </c>
      <c r="F1659" s="0" t="n">
        <f aca="false">IF(B1659="PRODUKSI",Pemetaan!$B$5,Pemetaan!$B$6)</f>
        <v>46</v>
      </c>
      <c r="G1659" s="0" t="n">
        <f aca="false">F1659+2+D1659</f>
        <v>78</v>
      </c>
      <c r="H1659" s="0" t="n">
        <f aca="false">Pemetaan!$B$2+E1659</f>
        <v>12</v>
      </c>
      <c r="I1659" s="0" t="str">
        <f aca="false">INDEX(Laporan!$A$1:$AZ$300,G1659,1)</f>
        <v>Mixing</v>
      </c>
      <c r="J1659" s="0" t="str">
        <f aca="false">INDEX(Laporan!$A$1:$AZ$300,G1659,2)</f>
        <v>1,5 L</v>
      </c>
      <c r="K1659" s="0" t="str">
        <f aca="false">INDEX(Laporan!$A$1:$AZ$300,G1659,3)</f>
        <v>Shift 1</v>
      </c>
      <c r="L1659" s="0" t="n">
        <f aca="false">INDEX(Laporan!$A$1:$AZ$300,G1659,4)</f>
        <v>1</v>
      </c>
      <c r="M1659" s="1" t="n">
        <f aca="false">DATE(Pemetaan!$B$1,VALUE(RIGHT(INDEX(Laporan!$A$1:$AZ$300,F1659+1,H1659),2)),VALUE(LEFT(INDEX(Laporan!$A$1:$AZ$300,F1659+1,H1659),2)))</f>
        <v>46092</v>
      </c>
      <c r="N1659" s="0" t="n">
        <f aca="false">INDEX(Laporan!$A$1:$AZ$300,G1659,H1659)</f>
        <v>10</v>
      </c>
      <c r="O1659" s="0" t="n">
        <f aca="false">IF(N1659="","",IFERROR(VALUE(SUBSTITUTE(SUBSTITUTE(N1659," btl",""),".","")),""))</f>
        <v>10</v>
      </c>
      <c r="P1659" s="0" t="str">
        <f aca="false">IF(B1659="PRODUKSI","produced","reject")</f>
        <v>reject</v>
      </c>
    </row>
    <row r="1660" customFormat="false" ht="15" hidden="false" customHeight="false" outlineLevel="0" collapsed="false">
      <c r="A1660" s="0" t="n">
        <v>1659</v>
      </c>
      <c r="B1660" s="0" t="str">
        <f aca="false">IF(A1660&lt;=36*25,"PRODUKSI","REJECT")</f>
        <v>REJECT</v>
      </c>
      <c r="C1660" s="0" t="n">
        <f aca="false">MOD(A1660-1,Pemetaan!$B$3*Pemetaan!$B$4)</f>
        <v>758</v>
      </c>
      <c r="D1660" s="0" t="n">
        <f aca="false">INT(C1660/Pemetaan!$B$4)</f>
        <v>30</v>
      </c>
      <c r="E1660" s="0" t="n">
        <f aca="false">MOD(C1660,Pemetaan!$B$4)</f>
        <v>8</v>
      </c>
      <c r="F1660" s="0" t="n">
        <f aca="false">IF(B1660="PRODUKSI",Pemetaan!$B$5,Pemetaan!$B$6)</f>
        <v>46</v>
      </c>
      <c r="G1660" s="0" t="n">
        <f aca="false">F1660+2+D1660</f>
        <v>78</v>
      </c>
      <c r="H1660" s="0" t="n">
        <f aca="false">Pemetaan!$B$2+E1660</f>
        <v>13</v>
      </c>
      <c r="I1660" s="0" t="str">
        <f aca="false">INDEX(Laporan!$A$1:$AZ$300,G1660,1)</f>
        <v>Mixing</v>
      </c>
      <c r="J1660" s="0" t="str">
        <f aca="false">INDEX(Laporan!$A$1:$AZ$300,G1660,2)</f>
        <v>1,5 L</v>
      </c>
      <c r="K1660" s="0" t="str">
        <f aca="false">INDEX(Laporan!$A$1:$AZ$300,G1660,3)</f>
        <v>Shift 1</v>
      </c>
      <c r="L1660" s="0" t="n">
        <f aca="false">INDEX(Laporan!$A$1:$AZ$300,G1660,4)</f>
        <v>1</v>
      </c>
      <c r="M1660" s="1" t="n">
        <f aca="false">DATE(Pemetaan!$B$1,VALUE(RIGHT(INDEX(Laporan!$A$1:$AZ$300,F1660+1,H1660),2)),VALUE(LEFT(INDEX(Laporan!$A$1:$AZ$300,F1660+1,H1660),2)))</f>
        <v>46093</v>
      </c>
      <c r="N1660" s="0" t="n">
        <f aca="false">INDEX(Laporan!$A$1:$AZ$300,G1660,H1660)</f>
        <v>13</v>
      </c>
      <c r="O1660" s="0" t="n">
        <f aca="false">IF(N1660="","",IFERROR(VALUE(SUBSTITUTE(SUBSTITUTE(N1660," btl",""),".","")),""))</f>
        <v>13</v>
      </c>
      <c r="P1660" s="0" t="str">
        <f aca="false">IF(B1660="PRODUKSI","produced","reject")</f>
        <v>reject</v>
      </c>
    </row>
    <row r="1661" customFormat="false" ht="15" hidden="false" customHeight="false" outlineLevel="0" collapsed="false">
      <c r="A1661" s="0" t="n">
        <v>1660</v>
      </c>
      <c r="B1661" s="0" t="str">
        <f aca="false">IF(A1661&lt;=36*25,"PRODUKSI","REJECT")</f>
        <v>REJECT</v>
      </c>
      <c r="C1661" s="0" t="n">
        <f aca="false">MOD(A1661-1,Pemetaan!$B$3*Pemetaan!$B$4)</f>
        <v>759</v>
      </c>
      <c r="D1661" s="0" t="n">
        <f aca="false">INT(C1661/Pemetaan!$B$4)</f>
        <v>30</v>
      </c>
      <c r="E1661" s="0" t="n">
        <f aca="false">MOD(C1661,Pemetaan!$B$4)</f>
        <v>9</v>
      </c>
      <c r="F1661" s="0" t="n">
        <f aca="false">IF(B1661="PRODUKSI",Pemetaan!$B$5,Pemetaan!$B$6)</f>
        <v>46</v>
      </c>
      <c r="G1661" s="0" t="n">
        <f aca="false">F1661+2+D1661</f>
        <v>78</v>
      </c>
      <c r="H1661" s="0" t="n">
        <f aca="false">Pemetaan!$B$2+E1661</f>
        <v>14</v>
      </c>
      <c r="I1661" s="0" t="str">
        <f aca="false">INDEX(Laporan!$A$1:$AZ$300,G1661,1)</f>
        <v>Mixing</v>
      </c>
      <c r="J1661" s="0" t="str">
        <f aca="false">INDEX(Laporan!$A$1:$AZ$300,G1661,2)</f>
        <v>1,5 L</v>
      </c>
      <c r="K1661" s="0" t="str">
        <f aca="false">INDEX(Laporan!$A$1:$AZ$300,G1661,3)</f>
        <v>Shift 1</v>
      </c>
      <c r="L1661" s="0" t="n">
        <f aca="false">INDEX(Laporan!$A$1:$AZ$300,G1661,4)</f>
        <v>1</v>
      </c>
      <c r="M1661" s="1" t="n">
        <f aca="false">DATE(Pemetaan!$B$1,VALUE(RIGHT(INDEX(Laporan!$A$1:$AZ$300,F1661+1,H1661),2)),VALUE(LEFT(INDEX(Laporan!$A$1:$AZ$300,F1661+1,H1661),2)))</f>
        <v>46094</v>
      </c>
      <c r="N1661" s="0" t="n">
        <f aca="false">INDEX(Laporan!$A$1:$AZ$300,G1661,H1661)</f>
        <v>7</v>
      </c>
      <c r="O1661" s="0" t="n">
        <f aca="false">IF(N1661="","",IFERROR(VALUE(SUBSTITUTE(SUBSTITUTE(N1661," btl",""),".","")),""))</f>
        <v>7</v>
      </c>
      <c r="P1661" s="0" t="str">
        <f aca="false">IF(B1661="PRODUKSI","produced","reject")</f>
        <v>reject</v>
      </c>
    </row>
    <row r="1662" customFormat="false" ht="15" hidden="false" customHeight="false" outlineLevel="0" collapsed="false">
      <c r="A1662" s="0" t="n">
        <v>1661</v>
      </c>
      <c r="B1662" s="0" t="str">
        <f aca="false">IF(A1662&lt;=36*25,"PRODUKSI","REJECT")</f>
        <v>REJECT</v>
      </c>
      <c r="C1662" s="0" t="n">
        <f aca="false">MOD(A1662-1,Pemetaan!$B$3*Pemetaan!$B$4)</f>
        <v>760</v>
      </c>
      <c r="D1662" s="0" t="n">
        <f aca="false">INT(C1662/Pemetaan!$B$4)</f>
        <v>30</v>
      </c>
      <c r="E1662" s="0" t="n">
        <f aca="false">MOD(C1662,Pemetaan!$B$4)</f>
        <v>10</v>
      </c>
      <c r="F1662" s="0" t="n">
        <f aca="false">IF(B1662="PRODUKSI",Pemetaan!$B$5,Pemetaan!$B$6)</f>
        <v>46</v>
      </c>
      <c r="G1662" s="0" t="n">
        <f aca="false">F1662+2+D1662</f>
        <v>78</v>
      </c>
      <c r="H1662" s="0" t="n">
        <f aca="false">Pemetaan!$B$2+E1662</f>
        <v>15</v>
      </c>
      <c r="I1662" s="0" t="str">
        <f aca="false">INDEX(Laporan!$A$1:$AZ$300,G1662,1)</f>
        <v>Mixing</v>
      </c>
      <c r="J1662" s="0" t="str">
        <f aca="false">INDEX(Laporan!$A$1:$AZ$300,G1662,2)</f>
        <v>1,5 L</v>
      </c>
      <c r="K1662" s="0" t="str">
        <f aca="false">INDEX(Laporan!$A$1:$AZ$300,G1662,3)</f>
        <v>Shift 1</v>
      </c>
      <c r="L1662" s="0" t="n">
        <f aca="false">INDEX(Laporan!$A$1:$AZ$300,G1662,4)</f>
        <v>1</v>
      </c>
      <c r="M1662" s="1" t="n">
        <f aca="false">DATE(Pemetaan!$B$1,VALUE(RIGHT(INDEX(Laporan!$A$1:$AZ$300,F1662+1,H1662),2)),VALUE(LEFT(INDEX(Laporan!$A$1:$AZ$300,F1662+1,H1662),2)))</f>
        <v>46097</v>
      </c>
      <c r="N1662" s="0" t="n">
        <f aca="false">INDEX(Laporan!$A$1:$AZ$300,G1662,H1662)</f>
        <v>12</v>
      </c>
      <c r="O1662" s="0" t="n">
        <f aca="false">IF(N1662="","",IFERROR(VALUE(SUBSTITUTE(SUBSTITUTE(N1662," btl",""),".","")),""))</f>
        <v>12</v>
      </c>
      <c r="P1662" s="0" t="str">
        <f aca="false">IF(B1662="PRODUKSI","produced","reject")</f>
        <v>reject</v>
      </c>
    </row>
    <row r="1663" customFormat="false" ht="15" hidden="false" customHeight="false" outlineLevel="0" collapsed="false">
      <c r="A1663" s="0" t="n">
        <v>1662</v>
      </c>
      <c r="B1663" s="0" t="str">
        <f aca="false">IF(A1663&lt;=36*25,"PRODUKSI","REJECT")</f>
        <v>REJECT</v>
      </c>
      <c r="C1663" s="0" t="n">
        <f aca="false">MOD(A1663-1,Pemetaan!$B$3*Pemetaan!$B$4)</f>
        <v>761</v>
      </c>
      <c r="D1663" s="0" t="n">
        <f aca="false">INT(C1663/Pemetaan!$B$4)</f>
        <v>30</v>
      </c>
      <c r="E1663" s="0" t="n">
        <f aca="false">MOD(C1663,Pemetaan!$B$4)</f>
        <v>11</v>
      </c>
      <c r="F1663" s="0" t="n">
        <f aca="false">IF(B1663="PRODUKSI",Pemetaan!$B$5,Pemetaan!$B$6)</f>
        <v>46</v>
      </c>
      <c r="G1663" s="0" t="n">
        <f aca="false">F1663+2+D1663</f>
        <v>78</v>
      </c>
      <c r="H1663" s="0" t="n">
        <f aca="false">Pemetaan!$B$2+E1663</f>
        <v>16</v>
      </c>
      <c r="I1663" s="0" t="str">
        <f aca="false">INDEX(Laporan!$A$1:$AZ$300,G1663,1)</f>
        <v>Mixing</v>
      </c>
      <c r="J1663" s="0" t="str">
        <f aca="false">INDEX(Laporan!$A$1:$AZ$300,G1663,2)</f>
        <v>1,5 L</v>
      </c>
      <c r="K1663" s="0" t="str">
        <f aca="false">INDEX(Laporan!$A$1:$AZ$300,G1663,3)</f>
        <v>Shift 1</v>
      </c>
      <c r="L1663" s="0" t="n">
        <f aca="false">INDEX(Laporan!$A$1:$AZ$300,G1663,4)</f>
        <v>1</v>
      </c>
      <c r="M1663" s="1" t="n">
        <f aca="false">DATE(Pemetaan!$B$1,VALUE(RIGHT(INDEX(Laporan!$A$1:$AZ$300,F1663+1,H1663),2)),VALUE(LEFT(INDEX(Laporan!$A$1:$AZ$300,F1663+1,H1663),2)))</f>
        <v>46098</v>
      </c>
      <c r="N1663" s="0" t="n">
        <f aca="false">INDEX(Laporan!$A$1:$AZ$300,G1663,H1663)</f>
        <v>7</v>
      </c>
      <c r="O1663" s="0" t="n">
        <f aca="false">IF(N1663="","",IFERROR(VALUE(SUBSTITUTE(SUBSTITUTE(N1663," btl",""),".","")),""))</f>
        <v>7</v>
      </c>
      <c r="P1663" s="0" t="str">
        <f aca="false">IF(B1663="PRODUKSI","produced","reject")</f>
        <v>reject</v>
      </c>
    </row>
    <row r="1664" customFormat="false" ht="15" hidden="false" customHeight="false" outlineLevel="0" collapsed="false">
      <c r="A1664" s="0" t="n">
        <v>1663</v>
      </c>
      <c r="B1664" s="0" t="str">
        <f aca="false">IF(A1664&lt;=36*25,"PRODUKSI","REJECT")</f>
        <v>REJECT</v>
      </c>
      <c r="C1664" s="0" t="n">
        <f aca="false">MOD(A1664-1,Pemetaan!$B$3*Pemetaan!$B$4)</f>
        <v>762</v>
      </c>
      <c r="D1664" s="0" t="n">
        <f aca="false">INT(C1664/Pemetaan!$B$4)</f>
        <v>30</v>
      </c>
      <c r="E1664" s="0" t="n">
        <f aca="false">MOD(C1664,Pemetaan!$B$4)</f>
        <v>12</v>
      </c>
      <c r="F1664" s="0" t="n">
        <f aca="false">IF(B1664="PRODUKSI",Pemetaan!$B$5,Pemetaan!$B$6)</f>
        <v>46</v>
      </c>
      <c r="G1664" s="0" t="n">
        <f aca="false">F1664+2+D1664</f>
        <v>78</v>
      </c>
      <c r="H1664" s="0" t="n">
        <f aca="false">Pemetaan!$B$2+E1664</f>
        <v>17</v>
      </c>
      <c r="I1664" s="0" t="str">
        <f aca="false">INDEX(Laporan!$A$1:$AZ$300,G1664,1)</f>
        <v>Mixing</v>
      </c>
      <c r="J1664" s="0" t="str">
        <f aca="false">INDEX(Laporan!$A$1:$AZ$300,G1664,2)</f>
        <v>1,5 L</v>
      </c>
      <c r="K1664" s="0" t="str">
        <f aca="false">INDEX(Laporan!$A$1:$AZ$300,G1664,3)</f>
        <v>Shift 1</v>
      </c>
      <c r="L1664" s="0" t="n">
        <f aca="false">INDEX(Laporan!$A$1:$AZ$300,G1664,4)</f>
        <v>1</v>
      </c>
      <c r="M1664" s="1" t="n">
        <f aca="false">DATE(Pemetaan!$B$1,VALUE(RIGHT(INDEX(Laporan!$A$1:$AZ$300,F1664+1,H1664),2)),VALUE(LEFT(INDEX(Laporan!$A$1:$AZ$300,F1664+1,H1664),2)))</f>
        <v>46099</v>
      </c>
      <c r="N1664" s="0" t="n">
        <f aca="false">INDEX(Laporan!$A$1:$AZ$300,G1664,H1664)</f>
        <v>12</v>
      </c>
      <c r="O1664" s="0" t="n">
        <f aca="false">IF(N1664="","",IFERROR(VALUE(SUBSTITUTE(SUBSTITUTE(N1664," btl",""),".","")),""))</f>
        <v>12</v>
      </c>
      <c r="P1664" s="0" t="str">
        <f aca="false">IF(B1664="PRODUKSI","produced","reject")</f>
        <v>reject</v>
      </c>
    </row>
    <row r="1665" customFormat="false" ht="15" hidden="false" customHeight="false" outlineLevel="0" collapsed="false">
      <c r="A1665" s="0" t="n">
        <v>1664</v>
      </c>
      <c r="B1665" s="0" t="str">
        <f aca="false">IF(A1665&lt;=36*25,"PRODUKSI","REJECT")</f>
        <v>REJECT</v>
      </c>
      <c r="C1665" s="0" t="n">
        <f aca="false">MOD(A1665-1,Pemetaan!$B$3*Pemetaan!$B$4)</f>
        <v>763</v>
      </c>
      <c r="D1665" s="0" t="n">
        <f aca="false">INT(C1665/Pemetaan!$B$4)</f>
        <v>30</v>
      </c>
      <c r="E1665" s="0" t="n">
        <f aca="false">MOD(C1665,Pemetaan!$B$4)</f>
        <v>13</v>
      </c>
      <c r="F1665" s="0" t="n">
        <f aca="false">IF(B1665="PRODUKSI",Pemetaan!$B$5,Pemetaan!$B$6)</f>
        <v>46</v>
      </c>
      <c r="G1665" s="0" t="n">
        <f aca="false">F1665+2+D1665</f>
        <v>78</v>
      </c>
      <c r="H1665" s="0" t="n">
        <f aca="false">Pemetaan!$B$2+E1665</f>
        <v>18</v>
      </c>
      <c r="I1665" s="0" t="str">
        <f aca="false">INDEX(Laporan!$A$1:$AZ$300,G1665,1)</f>
        <v>Mixing</v>
      </c>
      <c r="J1665" s="0" t="str">
        <f aca="false">INDEX(Laporan!$A$1:$AZ$300,G1665,2)</f>
        <v>1,5 L</v>
      </c>
      <c r="K1665" s="0" t="str">
        <f aca="false">INDEX(Laporan!$A$1:$AZ$300,G1665,3)</f>
        <v>Shift 1</v>
      </c>
      <c r="L1665" s="0" t="n">
        <f aca="false">INDEX(Laporan!$A$1:$AZ$300,G1665,4)</f>
        <v>1</v>
      </c>
      <c r="M1665" s="1" t="n">
        <f aca="false">DATE(Pemetaan!$B$1,VALUE(RIGHT(INDEX(Laporan!$A$1:$AZ$300,F1665+1,H1665),2)),VALUE(LEFT(INDEX(Laporan!$A$1:$AZ$300,F1665+1,H1665),2)))</f>
        <v>46100</v>
      </c>
      <c r="N1665" s="0" t="n">
        <f aca="false">INDEX(Laporan!$A$1:$AZ$300,G1665,H1665)</f>
        <v>10</v>
      </c>
      <c r="O1665" s="0" t="n">
        <f aca="false">IF(N1665="","",IFERROR(VALUE(SUBSTITUTE(SUBSTITUTE(N1665," btl",""),".","")),""))</f>
        <v>10</v>
      </c>
      <c r="P1665" s="0" t="str">
        <f aca="false">IF(B1665="PRODUKSI","produced","reject")</f>
        <v>reject</v>
      </c>
    </row>
    <row r="1666" customFormat="false" ht="15" hidden="false" customHeight="false" outlineLevel="0" collapsed="false">
      <c r="A1666" s="0" t="n">
        <v>1665</v>
      </c>
      <c r="B1666" s="0" t="str">
        <f aca="false">IF(A1666&lt;=36*25,"PRODUKSI","REJECT")</f>
        <v>REJECT</v>
      </c>
      <c r="C1666" s="0" t="n">
        <f aca="false">MOD(A1666-1,Pemetaan!$B$3*Pemetaan!$B$4)</f>
        <v>764</v>
      </c>
      <c r="D1666" s="0" t="n">
        <f aca="false">INT(C1666/Pemetaan!$B$4)</f>
        <v>30</v>
      </c>
      <c r="E1666" s="0" t="n">
        <f aca="false">MOD(C1666,Pemetaan!$B$4)</f>
        <v>14</v>
      </c>
      <c r="F1666" s="0" t="n">
        <f aca="false">IF(B1666="PRODUKSI",Pemetaan!$B$5,Pemetaan!$B$6)</f>
        <v>46</v>
      </c>
      <c r="G1666" s="0" t="n">
        <f aca="false">F1666+2+D1666</f>
        <v>78</v>
      </c>
      <c r="H1666" s="0" t="n">
        <f aca="false">Pemetaan!$B$2+E1666</f>
        <v>19</v>
      </c>
      <c r="I1666" s="0" t="str">
        <f aca="false">INDEX(Laporan!$A$1:$AZ$300,G1666,1)</f>
        <v>Mixing</v>
      </c>
      <c r="J1666" s="0" t="str">
        <f aca="false">INDEX(Laporan!$A$1:$AZ$300,G1666,2)</f>
        <v>1,5 L</v>
      </c>
      <c r="K1666" s="0" t="str">
        <f aca="false">INDEX(Laporan!$A$1:$AZ$300,G1666,3)</f>
        <v>Shift 1</v>
      </c>
      <c r="L1666" s="0" t="n">
        <f aca="false">INDEX(Laporan!$A$1:$AZ$300,G1666,4)</f>
        <v>1</v>
      </c>
      <c r="M1666" s="1" t="n">
        <f aca="false">DATE(Pemetaan!$B$1,VALUE(RIGHT(INDEX(Laporan!$A$1:$AZ$300,F1666+1,H1666),2)),VALUE(LEFT(INDEX(Laporan!$A$1:$AZ$300,F1666+1,H1666),2)))</f>
        <v>46101</v>
      </c>
      <c r="N1666" s="0" t="n">
        <f aca="false">INDEX(Laporan!$A$1:$AZ$300,G1666,H1666)</f>
        <v>15</v>
      </c>
      <c r="O1666" s="0" t="n">
        <f aca="false">IF(N1666="","",IFERROR(VALUE(SUBSTITUTE(SUBSTITUTE(N1666," btl",""),".","")),""))</f>
        <v>15</v>
      </c>
      <c r="P1666" s="0" t="str">
        <f aca="false">IF(B1666="PRODUKSI","produced","reject")</f>
        <v>reject</v>
      </c>
    </row>
    <row r="1667" customFormat="false" ht="15" hidden="false" customHeight="false" outlineLevel="0" collapsed="false">
      <c r="A1667" s="0" t="n">
        <v>1666</v>
      </c>
      <c r="B1667" s="0" t="str">
        <f aca="false">IF(A1667&lt;=36*25,"PRODUKSI","REJECT")</f>
        <v>REJECT</v>
      </c>
      <c r="C1667" s="0" t="n">
        <f aca="false">MOD(A1667-1,Pemetaan!$B$3*Pemetaan!$B$4)</f>
        <v>765</v>
      </c>
      <c r="D1667" s="0" t="n">
        <f aca="false">INT(C1667/Pemetaan!$B$4)</f>
        <v>30</v>
      </c>
      <c r="E1667" s="0" t="n">
        <f aca="false">MOD(C1667,Pemetaan!$B$4)</f>
        <v>15</v>
      </c>
      <c r="F1667" s="0" t="n">
        <f aca="false">IF(B1667="PRODUKSI",Pemetaan!$B$5,Pemetaan!$B$6)</f>
        <v>46</v>
      </c>
      <c r="G1667" s="0" t="n">
        <f aca="false">F1667+2+D1667</f>
        <v>78</v>
      </c>
      <c r="H1667" s="0" t="n">
        <f aca="false">Pemetaan!$B$2+E1667</f>
        <v>20</v>
      </c>
      <c r="I1667" s="0" t="str">
        <f aca="false">INDEX(Laporan!$A$1:$AZ$300,G1667,1)</f>
        <v>Mixing</v>
      </c>
      <c r="J1667" s="0" t="str">
        <f aca="false">INDEX(Laporan!$A$1:$AZ$300,G1667,2)</f>
        <v>1,5 L</v>
      </c>
      <c r="K1667" s="0" t="str">
        <f aca="false">INDEX(Laporan!$A$1:$AZ$300,G1667,3)</f>
        <v>Shift 1</v>
      </c>
      <c r="L1667" s="0" t="n">
        <f aca="false">INDEX(Laporan!$A$1:$AZ$300,G1667,4)</f>
        <v>1</v>
      </c>
      <c r="M1667" s="1" t="n">
        <f aca="false">DATE(Pemetaan!$B$1,VALUE(RIGHT(INDEX(Laporan!$A$1:$AZ$300,F1667+1,H1667),2)),VALUE(LEFT(INDEX(Laporan!$A$1:$AZ$300,F1667+1,H1667),2)))</f>
        <v>46104</v>
      </c>
      <c r="N1667" s="0" t="n">
        <f aca="false">INDEX(Laporan!$A$1:$AZ$300,G1667,H1667)</f>
        <v>7</v>
      </c>
      <c r="O1667" s="0" t="n">
        <f aca="false">IF(N1667="","",IFERROR(VALUE(SUBSTITUTE(SUBSTITUTE(N1667," btl",""),".","")),""))</f>
        <v>7</v>
      </c>
      <c r="P1667" s="0" t="str">
        <f aca="false">IF(B1667="PRODUKSI","produced","reject")</f>
        <v>reject</v>
      </c>
    </row>
    <row r="1668" customFormat="false" ht="15" hidden="false" customHeight="false" outlineLevel="0" collapsed="false">
      <c r="A1668" s="0" t="n">
        <v>1667</v>
      </c>
      <c r="B1668" s="0" t="str">
        <f aca="false">IF(A1668&lt;=36*25,"PRODUKSI","REJECT")</f>
        <v>REJECT</v>
      </c>
      <c r="C1668" s="0" t="n">
        <f aca="false">MOD(A1668-1,Pemetaan!$B$3*Pemetaan!$B$4)</f>
        <v>766</v>
      </c>
      <c r="D1668" s="0" t="n">
        <f aca="false">INT(C1668/Pemetaan!$B$4)</f>
        <v>30</v>
      </c>
      <c r="E1668" s="0" t="n">
        <f aca="false">MOD(C1668,Pemetaan!$B$4)</f>
        <v>16</v>
      </c>
      <c r="F1668" s="0" t="n">
        <f aca="false">IF(B1668="PRODUKSI",Pemetaan!$B$5,Pemetaan!$B$6)</f>
        <v>46</v>
      </c>
      <c r="G1668" s="0" t="n">
        <f aca="false">F1668+2+D1668</f>
        <v>78</v>
      </c>
      <c r="H1668" s="0" t="n">
        <f aca="false">Pemetaan!$B$2+E1668</f>
        <v>21</v>
      </c>
      <c r="I1668" s="0" t="str">
        <f aca="false">INDEX(Laporan!$A$1:$AZ$300,G1668,1)</f>
        <v>Mixing</v>
      </c>
      <c r="J1668" s="0" t="str">
        <f aca="false">INDEX(Laporan!$A$1:$AZ$300,G1668,2)</f>
        <v>1,5 L</v>
      </c>
      <c r="K1668" s="0" t="str">
        <f aca="false">INDEX(Laporan!$A$1:$AZ$300,G1668,3)</f>
        <v>Shift 1</v>
      </c>
      <c r="L1668" s="0" t="n">
        <f aca="false">INDEX(Laporan!$A$1:$AZ$300,G1668,4)</f>
        <v>1</v>
      </c>
      <c r="M1668" s="1" t="n">
        <f aca="false">DATE(Pemetaan!$B$1,VALUE(RIGHT(INDEX(Laporan!$A$1:$AZ$300,F1668+1,H1668),2)),VALUE(LEFT(INDEX(Laporan!$A$1:$AZ$300,F1668+1,H1668),2)))</f>
        <v>46105</v>
      </c>
      <c r="N1668" s="0" t="n">
        <f aca="false">INDEX(Laporan!$A$1:$AZ$300,G1668,H1668)</f>
        <v>9</v>
      </c>
      <c r="O1668" s="0" t="n">
        <f aca="false">IF(N1668="","",IFERROR(VALUE(SUBSTITUTE(SUBSTITUTE(N1668," btl",""),".","")),""))</f>
        <v>9</v>
      </c>
      <c r="P1668" s="0" t="str">
        <f aca="false">IF(B1668="PRODUKSI","produced","reject")</f>
        <v>reject</v>
      </c>
    </row>
    <row r="1669" customFormat="false" ht="15" hidden="false" customHeight="false" outlineLevel="0" collapsed="false">
      <c r="A1669" s="0" t="n">
        <v>1668</v>
      </c>
      <c r="B1669" s="0" t="str">
        <f aca="false">IF(A1669&lt;=36*25,"PRODUKSI","REJECT")</f>
        <v>REJECT</v>
      </c>
      <c r="C1669" s="0" t="n">
        <f aca="false">MOD(A1669-1,Pemetaan!$B$3*Pemetaan!$B$4)</f>
        <v>767</v>
      </c>
      <c r="D1669" s="0" t="n">
        <f aca="false">INT(C1669/Pemetaan!$B$4)</f>
        <v>30</v>
      </c>
      <c r="E1669" s="0" t="n">
        <f aca="false">MOD(C1669,Pemetaan!$B$4)</f>
        <v>17</v>
      </c>
      <c r="F1669" s="0" t="n">
        <f aca="false">IF(B1669="PRODUKSI",Pemetaan!$B$5,Pemetaan!$B$6)</f>
        <v>46</v>
      </c>
      <c r="G1669" s="0" t="n">
        <f aca="false">F1669+2+D1669</f>
        <v>78</v>
      </c>
      <c r="H1669" s="0" t="n">
        <f aca="false">Pemetaan!$B$2+E1669</f>
        <v>22</v>
      </c>
      <c r="I1669" s="0" t="str">
        <f aca="false">INDEX(Laporan!$A$1:$AZ$300,G1669,1)</f>
        <v>Mixing</v>
      </c>
      <c r="J1669" s="0" t="str">
        <f aca="false">INDEX(Laporan!$A$1:$AZ$300,G1669,2)</f>
        <v>1,5 L</v>
      </c>
      <c r="K1669" s="0" t="str">
        <f aca="false">INDEX(Laporan!$A$1:$AZ$300,G1669,3)</f>
        <v>Shift 1</v>
      </c>
      <c r="L1669" s="0" t="n">
        <f aca="false">INDEX(Laporan!$A$1:$AZ$300,G1669,4)</f>
        <v>1</v>
      </c>
      <c r="M1669" s="1" t="n">
        <f aca="false">DATE(Pemetaan!$B$1,VALUE(RIGHT(INDEX(Laporan!$A$1:$AZ$300,F1669+1,H1669),2)),VALUE(LEFT(INDEX(Laporan!$A$1:$AZ$300,F1669+1,H1669),2)))</f>
        <v>46106</v>
      </c>
      <c r="N1669" s="0" t="n">
        <f aca="false">INDEX(Laporan!$A$1:$AZ$300,G1669,H1669)</f>
        <v>11</v>
      </c>
      <c r="O1669" s="0" t="n">
        <f aca="false">IF(N1669="","",IFERROR(VALUE(SUBSTITUTE(SUBSTITUTE(N1669," btl",""),".","")),""))</f>
        <v>11</v>
      </c>
      <c r="P1669" s="0" t="str">
        <f aca="false">IF(B1669="PRODUKSI","produced","reject")</f>
        <v>reject</v>
      </c>
    </row>
    <row r="1670" customFormat="false" ht="15" hidden="false" customHeight="false" outlineLevel="0" collapsed="false">
      <c r="A1670" s="0" t="n">
        <v>1669</v>
      </c>
      <c r="B1670" s="0" t="str">
        <f aca="false">IF(A1670&lt;=36*25,"PRODUKSI","REJECT")</f>
        <v>REJECT</v>
      </c>
      <c r="C1670" s="0" t="n">
        <f aca="false">MOD(A1670-1,Pemetaan!$B$3*Pemetaan!$B$4)</f>
        <v>768</v>
      </c>
      <c r="D1670" s="0" t="n">
        <f aca="false">INT(C1670/Pemetaan!$B$4)</f>
        <v>30</v>
      </c>
      <c r="E1670" s="0" t="n">
        <f aca="false">MOD(C1670,Pemetaan!$B$4)</f>
        <v>18</v>
      </c>
      <c r="F1670" s="0" t="n">
        <f aca="false">IF(B1670="PRODUKSI",Pemetaan!$B$5,Pemetaan!$B$6)</f>
        <v>46</v>
      </c>
      <c r="G1670" s="0" t="n">
        <f aca="false">F1670+2+D1670</f>
        <v>78</v>
      </c>
      <c r="H1670" s="0" t="n">
        <f aca="false">Pemetaan!$B$2+E1670</f>
        <v>23</v>
      </c>
      <c r="I1670" s="0" t="str">
        <f aca="false">INDEX(Laporan!$A$1:$AZ$300,G1670,1)</f>
        <v>Mixing</v>
      </c>
      <c r="J1670" s="0" t="str">
        <f aca="false">INDEX(Laporan!$A$1:$AZ$300,G1670,2)</f>
        <v>1,5 L</v>
      </c>
      <c r="K1670" s="0" t="str">
        <f aca="false">INDEX(Laporan!$A$1:$AZ$300,G1670,3)</f>
        <v>Shift 1</v>
      </c>
      <c r="L1670" s="0" t="n">
        <f aca="false">INDEX(Laporan!$A$1:$AZ$300,G1670,4)</f>
        <v>1</v>
      </c>
      <c r="M1670" s="1" t="n">
        <f aca="false">DATE(Pemetaan!$B$1,VALUE(RIGHT(INDEX(Laporan!$A$1:$AZ$300,F1670+1,H1670),2)),VALUE(LEFT(INDEX(Laporan!$A$1:$AZ$300,F1670+1,H1670),2)))</f>
        <v>46107</v>
      </c>
      <c r="N1670" s="0" t="n">
        <f aca="false">INDEX(Laporan!$A$1:$AZ$300,G1670,H1670)</f>
        <v>9</v>
      </c>
      <c r="O1670" s="0" t="n">
        <f aca="false">IF(N1670="","",IFERROR(VALUE(SUBSTITUTE(SUBSTITUTE(N1670," btl",""),".","")),""))</f>
        <v>9</v>
      </c>
      <c r="P1670" s="0" t="str">
        <f aca="false">IF(B1670="PRODUKSI","produced","reject")</f>
        <v>reject</v>
      </c>
    </row>
    <row r="1671" customFormat="false" ht="15" hidden="false" customHeight="false" outlineLevel="0" collapsed="false">
      <c r="A1671" s="0" t="n">
        <v>1670</v>
      </c>
      <c r="B1671" s="0" t="str">
        <f aca="false">IF(A1671&lt;=36*25,"PRODUKSI","REJECT")</f>
        <v>REJECT</v>
      </c>
      <c r="C1671" s="0" t="n">
        <f aca="false">MOD(A1671-1,Pemetaan!$B$3*Pemetaan!$B$4)</f>
        <v>769</v>
      </c>
      <c r="D1671" s="0" t="n">
        <f aca="false">INT(C1671/Pemetaan!$B$4)</f>
        <v>30</v>
      </c>
      <c r="E1671" s="0" t="n">
        <f aca="false">MOD(C1671,Pemetaan!$B$4)</f>
        <v>19</v>
      </c>
      <c r="F1671" s="0" t="n">
        <f aca="false">IF(B1671="PRODUKSI",Pemetaan!$B$5,Pemetaan!$B$6)</f>
        <v>46</v>
      </c>
      <c r="G1671" s="0" t="n">
        <f aca="false">F1671+2+D1671</f>
        <v>78</v>
      </c>
      <c r="H1671" s="0" t="n">
        <f aca="false">Pemetaan!$B$2+E1671</f>
        <v>24</v>
      </c>
      <c r="I1671" s="0" t="str">
        <f aca="false">INDEX(Laporan!$A$1:$AZ$300,G1671,1)</f>
        <v>Mixing</v>
      </c>
      <c r="J1671" s="0" t="str">
        <f aca="false">INDEX(Laporan!$A$1:$AZ$300,G1671,2)</f>
        <v>1,5 L</v>
      </c>
      <c r="K1671" s="0" t="str">
        <f aca="false">INDEX(Laporan!$A$1:$AZ$300,G1671,3)</f>
        <v>Shift 1</v>
      </c>
      <c r="L1671" s="0" t="n">
        <f aca="false">INDEX(Laporan!$A$1:$AZ$300,G1671,4)</f>
        <v>1</v>
      </c>
      <c r="M1671" s="1" t="n">
        <f aca="false">DATE(Pemetaan!$B$1,VALUE(RIGHT(INDEX(Laporan!$A$1:$AZ$300,F1671+1,H1671),2)),VALUE(LEFT(INDEX(Laporan!$A$1:$AZ$300,F1671+1,H1671),2)))</f>
        <v>46108</v>
      </c>
      <c r="N1671" s="0" t="n">
        <f aca="false">INDEX(Laporan!$A$1:$AZ$300,G1671,H1671)</f>
        <v>12</v>
      </c>
      <c r="O1671" s="0" t="n">
        <f aca="false">IF(N1671="","",IFERROR(VALUE(SUBSTITUTE(SUBSTITUTE(N1671," btl",""),".","")),""))</f>
        <v>12</v>
      </c>
      <c r="P1671" s="0" t="str">
        <f aca="false">IF(B1671="PRODUKSI","produced","reject")</f>
        <v>reject</v>
      </c>
    </row>
    <row r="1672" customFormat="false" ht="15" hidden="false" customHeight="false" outlineLevel="0" collapsed="false">
      <c r="A1672" s="0" t="n">
        <v>1671</v>
      </c>
      <c r="B1672" s="0" t="str">
        <f aca="false">IF(A1672&lt;=36*25,"PRODUKSI","REJECT")</f>
        <v>REJECT</v>
      </c>
      <c r="C1672" s="0" t="n">
        <f aca="false">MOD(A1672-1,Pemetaan!$B$3*Pemetaan!$B$4)</f>
        <v>770</v>
      </c>
      <c r="D1672" s="0" t="n">
        <f aca="false">INT(C1672/Pemetaan!$B$4)</f>
        <v>30</v>
      </c>
      <c r="E1672" s="0" t="n">
        <f aca="false">MOD(C1672,Pemetaan!$B$4)</f>
        <v>20</v>
      </c>
      <c r="F1672" s="0" t="n">
        <f aca="false">IF(B1672="PRODUKSI",Pemetaan!$B$5,Pemetaan!$B$6)</f>
        <v>46</v>
      </c>
      <c r="G1672" s="0" t="n">
        <f aca="false">F1672+2+D1672</f>
        <v>78</v>
      </c>
      <c r="H1672" s="0" t="n">
        <f aca="false">Pemetaan!$B$2+E1672</f>
        <v>25</v>
      </c>
      <c r="I1672" s="0" t="str">
        <f aca="false">INDEX(Laporan!$A$1:$AZ$300,G1672,1)</f>
        <v>Mixing</v>
      </c>
      <c r="J1672" s="0" t="str">
        <f aca="false">INDEX(Laporan!$A$1:$AZ$300,G1672,2)</f>
        <v>1,5 L</v>
      </c>
      <c r="K1672" s="0" t="str">
        <f aca="false">INDEX(Laporan!$A$1:$AZ$300,G1672,3)</f>
        <v>Shift 1</v>
      </c>
      <c r="L1672" s="0" t="n">
        <f aca="false">INDEX(Laporan!$A$1:$AZ$300,G1672,4)</f>
        <v>1</v>
      </c>
      <c r="M1672" s="1" t="n">
        <f aca="false">DATE(Pemetaan!$B$1,VALUE(RIGHT(INDEX(Laporan!$A$1:$AZ$300,F1672+1,H1672),2)),VALUE(LEFT(INDEX(Laporan!$A$1:$AZ$300,F1672+1,H1672),2)))</f>
        <v>46111</v>
      </c>
      <c r="N1672" s="0" t="n">
        <f aca="false">INDEX(Laporan!$A$1:$AZ$300,G1672,H1672)</f>
        <v>8</v>
      </c>
      <c r="O1672" s="0" t="n">
        <f aca="false">IF(N1672="","",IFERROR(VALUE(SUBSTITUTE(SUBSTITUTE(N1672," btl",""),".","")),""))</f>
        <v>8</v>
      </c>
      <c r="P1672" s="0" t="str">
        <f aca="false">IF(B1672="PRODUKSI","produced","reject")</f>
        <v>reject</v>
      </c>
    </row>
    <row r="1673" customFormat="false" ht="15" hidden="false" customHeight="false" outlineLevel="0" collapsed="false">
      <c r="A1673" s="0" t="n">
        <v>1672</v>
      </c>
      <c r="B1673" s="0" t="str">
        <f aca="false">IF(A1673&lt;=36*25,"PRODUKSI","REJECT")</f>
        <v>REJECT</v>
      </c>
      <c r="C1673" s="0" t="n">
        <f aca="false">MOD(A1673-1,Pemetaan!$B$3*Pemetaan!$B$4)</f>
        <v>771</v>
      </c>
      <c r="D1673" s="0" t="n">
        <f aca="false">INT(C1673/Pemetaan!$B$4)</f>
        <v>30</v>
      </c>
      <c r="E1673" s="0" t="n">
        <f aca="false">MOD(C1673,Pemetaan!$B$4)</f>
        <v>21</v>
      </c>
      <c r="F1673" s="0" t="n">
        <f aca="false">IF(B1673="PRODUKSI",Pemetaan!$B$5,Pemetaan!$B$6)</f>
        <v>46</v>
      </c>
      <c r="G1673" s="0" t="n">
        <f aca="false">F1673+2+D1673</f>
        <v>78</v>
      </c>
      <c r="H1673" s="0" t="n">
        <f aca="false">Pemetaan!$B$2+E1673</f>
        <v>26</v>
      </c>
      <c r="I1673" s="0" t="str">
        <f aca="false">INDEX(Laporan!$A$1:$AZ$300,G1673,1)</f>
        <v>Mixing</v>
      </c>
      <c r="J1673" s="0" t="str">
        <f aca="false">INDEX(Laporan!$A$1:$AZ$300,G1673,2)</f>
        <v>1,5 L</v>
      </c>
      <c r="K1673" s="0" t="str">
        <f aca="false">INDEX(Laporan!$A$1:$AZ$300,G1673,3)</f>
        <v>Shift 1</v>
      </c>
      <c r="L1673" s="0" t="n">
        <f aca="false">INDEX(Laporan!$A$1:$AZ$300,G1673,4)</f>
        <v>1</v>
      </c>
      <c r="M1673" s="1" t="n">
        <f aca="false">DATE(Pemetaan!$B$1,VALUE(RIGHT(INDEX(Laporan!$A$1:$AZ$300,F1673+1,H1673),2)),VALUE(LEFT(INDEX(Laporan!$A$1:$AZ$300,F1673+1,H1673),2)))</f>
        <v>46112</v>
      </c>
      <c r="N1673" s="0" t="n">
        <f aca="false">INDEX(Laporan!$A$1:$AZ$300,G1673,H1673)</f>
        <v>18</v>
      </c>
      <c r="O1673" s="0" t="n">
        <f aca="false">IF(N1673="","",IFERROR(VALUE(SUBSTITUTE(SUBSTITUTE(N1673," btl",""),".","")),""))</f>
        <v>18</v>
      </c>
      <c r="P1673" s="0" t="str">
        <f aca="false">IF(B1673="PRODUKSI","produced","reject")</f>
        <v>reject</v>
      </c>
    </row>
    <row r="1674" customFormat="false" ht="15" hidden="false" customHeight="false" outlineLevel="0" collapsed="false">
      <c r="A1674" s="0" t="n">
        <v>1673</v>
      </c>
      <c r="B1674" s="0" t="str">
        <f aca="false">IF(A1674&lt;=36*25,"PRODUKSI","REJECT")</f>
        <v>REJECT</v>
      </c>
      <c r="C1674" s="0" t="n">
        <f aca="false">MOD(A1674-1,Pemetaan!$B$3*Pemetaan!$B$4)</f>
        <v>772</v>
      </c>
      <c r="D1674" s="0" t="n">
        <f aca="false">INT(C1674/Pemetaan!$B$4)</f>
        <v>30</v>
      </c>
      <c r="E1674" s="0" t="n">
        <f aca="false">MOD(C1674,Pemetaan!$B$4)</f>
        <v>22</v>
      </c>
      <c r="F1674" s="0" t="n">
        <f aca="false">IF(B1674="PRODUKSI",Pemetaan!$B$5,Pemetaan!$B$6)</f>
        <v>46</v>
      </c>
      <c r="G1674" s="0" t="n">
        <f aca="false">F1674+2+D1674</f>
        <v>78</v>
      </c>
      <c r="H1674" s="0" t="n">
        <f aca="false">Pemetaan!$B$2+E1674</f>
        <v>27</v>
      </c>
      <c r="I1674" s="0" t="str">
        <f aca="false">INDEX(Laporan!$A$1:$AZ$300,G1674,1)</f>
        <v>Mixing</v>
      </c>
      <c r="J1674" s="0" t="str">
        <f aca="false">INDEX(Laporan!$A$1:$AZ$300,G1674,2)</f>
        <v>1,5 L</v>
      </c>
      <c r="K1674" s="0" t="str">
        <f aca="false">INDEX(Laporan!$A$1:$AZ$300,G1674,3)</f>
        <v>Shift 1</v>
      </c>
      <c r="L1674" s="0" t="n">
        <f aca="false">INDEX(Laporan!$A$1:$AZ$300,G1674,4)</f>
        <v>1</v>
      </c>
      <c r="M1674" s="1" t="n">
        <f aca="false">DATE(Pemetaan!$B$1,VALUE(RIGHT(INDEX(Laporan!$A$1:$AZ$300,F1674+1,H1674),2)),VALUE(LEFT(INDEX(Laporan!$A$1:$AZ$300,F1674+1,H1674),2)))</f>
        <v>46113</v>
      </c>
      <c r="N1674" s="0" t="n">
        <f aca="false">INDEX(Laporan!$A$1:$AZ$300,G1674,H1674)</f>
        <v>9</v>
      </c>
      <c r="O1674" s="0" t="n">
        <f aca="false">IF(N1674="","",IFERROR(VALUE(SUBSTITUTE(SUBSTITUTE(N1674," btl",""),".","")),""))</f>
        <v>9</v>
      </c>
      <c r="P1674" s="0" t="str">
        <f aca="false">IF(B1674="PRODUKSI","produced","reject")</f>
        <v>reject</v>
      </c>
    </row>
    <row r="1675" customFormat="false" ht="15" hidden="false" customHeight="false" outlineLevel="0" collapsed="false">
      <c r="A1675" s="0" t="n">
        <v>1674</v>
      </c>
      <c r="B1675" s="0" t="str">
        <f aca="false">IF(A1675&lt;=36*25,"PRODUKSI","REJECT")</f>
        <v>REJECT</v>
      </c>
      <c r="C1675" s="0" t="n">
        <f aca="false">MOD(A1675-1,Pemetaan!$B$3*Pemetaan!$B$4)</f>
        <v>773</v>
      </c>
      <c r="D1675" s="0" t="n">
        <f aca="false">INT(C1675/Pemetaan!$B$4)</f>
        <v>30</v>
      </c>
      <c r="E1675" s="0" t="n">
        <f aca="false">MOD(C1675,Pemetaan!$B$4)</f>
        <v>23</v>
      </c>
      <c r="F1675" s="0" t="n">
        <f aca="false">IF(B1675="PRODUKSI",Pemetaan!$B$5,Pemetaan!$B$6)</f>
        <v>46</v>
      </c>
      <c r="G1675" s="0" t="n">
        <f aca="false">F1675+2+D1675</f>
        <v>78</v>
      </c>
      <c r="H1675" s="0" t="n">
        <f aca="false">Pemetaan!$B$2+E1675</f>
        <v>28</v>
      </c>
      <c r="I1675" s="0" t="str">
        <f aca="false">INDEX(Laporan!$A$1:$AZ$300,G1675,1)</f>
        <v>Mixing</v>
      </c>
      <c r="J1675" s="0" t="str">
        <f aca="false">INDEX(Laporan!$A$1:$AZ$300,G1675,2)</f>
        <v>1,5 L</v>
      </c>
      <c r="K1675" s="0" t="str">
        <f aca="false">INDEX(Laporan!$A$1:$AZ$300,G1675,3)</f>
        <v>Shift 1</v>
      </c>
      <c r="L1675" s="0" t="n">
        <f aca="false">INDEX(Laporan!$A$1:$AZ$300,G1675,4)</f>
        <v>1</v>
      </c>
      <c r="M1675" s="1" t="n">
        <f aca="false">DATE(Pemetaan!$B$1,VALUE(RIGHT(INDEX(Laporan!$A$1:$AZ$300,F1675+1,H1675),2)),VALUE(LEFT(INDEX(Laporan!$A$1:$AZ$300,F1675+1,H1675),2)))</f>
        <v>46114</v>
      </c>
      <c r="N1675" s="0" t="n">
        <f aca="false">INDEX(Laporan!$A$1:$AZ$300,G1675,H1675)</f>
        <v>10</v>
      </c>
      <c r="O1675" s="0" t="n">
        <f aca="false">IF(N1675="","",IFERROR(VALUE(SUBSTITUTE(SUBSTITUTE(N1675," btl",""),".","")),""))</f>
        <v>10</v>
      </c>
      <c r="P1675" s="0" t="str">
        <f aca="false">IF(B1675="PRODUKSI","produced","reject")</f>
        <v>reject</v>
      </c>
    </row>
    <row r="1676" customFormat="false" ht="15" hidden="false" customHeight="false" outlineLevel="0" collapsed="false">
      <c r="A1676" s="0" t="n">
        <v>1675</v>
      </c>
      <c r="B1676" s="0" t="str">
        <f aca="false">IF(A1676&lt;=36*25,"PRODUKSI","REJECT")</f>
        <v>REJECT</v>
      </c>
      <c r="C1676" s="0" t="n">
        <f aca="false">MOD(A1676-1,Pemetaan!$B$3*Pemetaan!$B$4)</f>
        <v>774</v>
      </c>
      <c r="D1676" s="0" t="n">
        <f aca="false">INT(C1676/Pemetaan!$B$4)</f>
        <v>30</v>
      </c>
      <c r="E1676" s="0" t="n">
        <f aca="false">MOD(C1676,Pemetaan!$B$4)</f>
        <v>24</v>
      </c>
      <c r="F1676" s="0" t="n">
        <f aca="false">IF(B1676="PRODUKSI",Pemetaan!$B$5,Pemetaan!$B$6)</f>
        <v>46</v>
      </c>
      <c r="G1676" s="0" t="n">
        <f aca="false">F1676+2+D1676</f>
        <v>78</v>
      </c>
      <c r="H1676" s="0" t="n">
        <f aca="false">Pemetaan!$B$2+E1676</f>
        <v>29</v>
      </c>
      <c r="I1676" s="0" t="str">
        <f aca="false">INDEX(Laporan!$A$1:$AZ$300,G1676,1)</f>
        <v>Mixing</v>
      </c>
      <c r="J1676" s="0" t="str">
        <f aca="false">INDEX(Laporan!$A$1:$AZ$300,G1676,2)</f>
        <v>1,5 L</v>
      </c>
      <c r="K1676" s="0" t="str">
        <f aca="false">INDEX(Laporan!$A$1:$AZ$300,G1676,3)</f>
        <v>Shift 1</v>
      </c>
      <c r="L1676" s="0" t="n">
        <f aca="false">INDEX(Laporan!$A$1:$AZ$300,G1676,4)</f>
        <v>1</v>
      </c>
      <c r="M1676" s="1" t="n">
        <f aca="false">DATE(Pemetaan!$B$1,VALUE(RIGHT(INDEX(Laporan!$A$1:$AZ$300,F1676+1,H1676),2)),VALUE(LEFT(INDEX(Laporan!$A$1:$AZ$300,F1676+1,H1676),2)))</f>
        <v>46115</v>
      </c>
      <c r="N1676" s="0" t="n">
        <f aca="false">INDEX(Laporan!$A$1:$AZ$300,G1676,H1676)</f>
        <v>13</v>
      </c>
      <c r="O1676" s="0" t="n">
        <f aca="false">IF(N1676="","",IFERROR(VALUE(SUBSTITUTE(SUBSTITUTE(N1676," btl",""),".","")),""))</f>
        <v>13</v>
      </c>
      <c r="P1676" s="0" t="str">
        <f aca="false">IF(B1676="PRODUKSI","produced","reject")</f>
        <v>reject</v>
      </c>
    </row>
    <row r="1677" customFormat="false" ht="15" hidden="false" customHeight="false" outlineLevel="0" collapsed="false">
      <c r="A1677" s="0" t="n">
        <v>1676</v>
      </c>
      <c r="B1677" s="0" t="str">
        <f aca="false">IF(A1677&lt;=36*25,"PRODUKSI","REJECT")</f>
        <v>REJECT</v>
      </c>
      <c r="C1677" s="0" t="n">
        <f aca="false">MOD(A1677-1,Pemetaan!$B$3*Pemetaan!$B$4)</f>
        <v>775</v>
      </c>
      <c r="D1677" s="0" t="n">
        <f aca="false">INT(C1677/Pemetaan!$B$4)</f>
        <v>31</v>
      </c>
      <c r="E1677" s="0" t="n">
        <f aca="false">MOD(C1677,Pemetaan!$B$4)</f>
        <v>0</v>
      </c>
      <c r="F1677" s="0" t="n">
        <f aca="false">IF(B1677="PRODUKSI",Pemetaan!$B$5,Pemetaan!$B$6)</f>
        <v>46</v>
      </c>
      <c r="G1677" s="0" t="n">
        <f aca="false">F1677+2+D1677</f>
        <v>79</v>
      </c>
      <c r="H1677" s="0" t="n">
        <f aca="false">Pemetaan!$B$2+E1677</f>
        <v>5</v>
      </c>
      <c r="I1677" s="0" t="str">
        <f aca="false">INDEX(Laporan!$A$1:$AZ$300,G1677,1)</f>
        <v>Mixing</v>
      </c>
      <c r="J1677" s="0" t="str">
        <f aca="false">INDEX(Laporan!$A$1:$AZ$300,G1677,2)</f>
        <v>1,5 L</v>
      </c>
      <c r="K1677" s="0" t="str">
        <f aca="false">INDEX(Laporan!$A$1:$AZ$300,G1677,3)</f>
        <v>Shift 1</v>
      </c>
      <c r="L1677" s="0" t="n">
        <f aca="false">INDEX(Laporan!$A$1:$AZ$300,G1677,4)</f>
        <v>2</v>
      </c>
      <c r="M1677" s="1" t="n">
        <f aca="false">DATE(Pemetaan!$B$1,VALUE(RIGHT(INDEX(Laporan!$A$1:$AZ$300,F1677+1,H1677),2)),VALUE(LEFT(INDEX(Laporan!$A$1:$AZ$300,F1677+1,H1677),2)))</f>
        <v>46083</v>
      </c>
      <c r="N1677" s="0" t="n">
        <f aca="false">INDEX(Laporan!$A$1:$AZ$300,G1677,H1677)</f>
        <v>10</v>
      </c>
      <c r="O1677" s="0" t="n">
        <f aca="false">IF(N1677="","",IFERROR(VALUE(SUBSTITUTE(SUBSTITUTE(N1677," btl",""),".","")),""))</f>
        <v>10</v>
      </c>
      <c r="P1677" s="0" t="str">
        <f aca="false">IF(B1677="PRODUKSI","produced","reject")</f>
        <v>reject</v>
      </c>
    </row>
    <row r="1678" customFormat="false" ht="15" hidden="false" customHeight="false" outlineLevel="0" collapsed="false">
      <c r="A1678" s="0" t="n">
        <v>1677</v>
      </c>
      <c r="B1678" s="0" t="str">
        <f aca="false">IF(A1678&lt;=36*25,"PRODUKSI","REJECT")</f>
        <v>REJECT</v>
      </c>
      <c r="C1678" s="0" t="n">
        <f aca="false">MOD(A1678-1,Pemetaan!$B$3*Pemetaan!$B$4)</f>
        <v>776</v>
      </c>
      <c r="D1678" s="0" t="n">
        <f aca="false">INT(C1678/Pemetaan!$B$4)</f>
        <v>31</v>
      </c>
      <c r="E1678" s="0" t="n">
        <f aca="false">MOD(C1678,Pemetaan!$B$4)</f>
        <v>1</v>
      </c>
      <c r="F1678" s="0" t="n">
        <f aca="false">IF(B1678="PRODUKSI",Pemetaan!$B$5,Pemetaan!$B$6)</f>
        <v>46</v>
      </c>
      <c r="G1678" s="0" t="n">
        <f aca="false">F1678+2+D1678</f>
        <v>79</v>
      </c>
      <c r="H1678" s="0" t="n">
        <f aca="false">Pemetaan!$B$2+E1678</f>
        <v>6</v>
      </c>
      <c r="I1678" s="0" t="str">
        <f aca="false">INDEX(Laporan!$A$1:$AZ$300,G1678,1)</f>
        <v>Mixing</v>
      </c>
      <c r="J1678" s="0" t="str">
        <f aca="false">INDEX(Laporan!$A$1:$AZ$300,G1678,2)</f>
        <v>1,5 L</v>
      </c>
      <c r="K1678" s="0" t="str">
        <f aca="false">INDEX(Laporan!$A$1:$AZ$300,G1678,3)</f>
        <v>Shift 1</v>
      </c>
      <c r="L1678" s="0" t="n">
        <f aca="false">INDEX(Laporan!$A$1:$AZ$300,G1678,4)</f>
        <v>2</v>
      </c>
      <c r="M1678" s="1" t="n">
        <f aca="false">DATE(Pemetaan!$B$1,VALUE(RIGHT(INDEX(Laporan!$A$1:$AZ$300,F1678+1,H1678),2)),VALUE(LEFT(INDEX(Laporan!$A$1:$AZ$300,F1678+1,H1678),2)))</f>
        <v>46084</v>
      </c>
      <c r="N1678" s="0" t="n">
        <f aca="false">INDEX(Laporan!$A$1:$AZ$300,G1678,H1678)</f>
        <v>6</v>
      </c>
      <c r="O1678" s="0" t="n">
        <f aca="false">IF(N1678="","",IFERROR(VALUE(SUBSTITUTE(SUBSTITUTE(N1678," btl",""),".","")),""))</f>
        <v>6</v>
      </c>
      <c r="P1678" s="0" t="str">
        <f aca="false">IF(B1678="PRODUKSI","produced","reject")</f>
        <v>reject</v>
      </c>
    </row>
    <row r="1679" customFormat="false" ht="15" hidden="false" customHeight="false" outlineLevel="0" collapsed="false">
      <c r="A1679" s="0" t="n">
        <v>1678</v>
      </c>
      <c r="B1679" s="0" t="str">
        <f aca="false">IF(A1679&lt;=36*25,"PRODUKSI","REJECT")</f>
        <v>REJECT</v>
      </c>
      <c r="C1679" s="0" t="n">
        <f aca="false">MOD(A1679-1,Pemetaan!$B$3*Pemetaan!$B$4)</f>
        <v>777</v>
      </c>
      <c r="D1679" s="0" t="n">
        <f aca="false">INT(C1679/Pemetaan!$B$4)</f>
        <v>31</v>
      </c>
      <c r="E1679" s="0" t="n">
        <f aca="false">MOD(C1679,Pemetaan!$B$4)</f>
        <v>2</v>
      </c>
      <c r="F1679" s="0" t="n">
        <f aca="false">IF(B1679="PRODUKSI",Pemetaan!$B$5,Pemetaan!$B$6)</f>
        <v>46</v>
      </c>
      <c r="G1679" s="0" t="n">
        <f aca="false">F1679+2+D1679</f>
        <v>79</v>
      </c>
      <c r="H1679" s="0" t="n">
        <f aca="false">Pemetaan!$B$2+E1679</f>
        <v>7</v>
      </c>
      <c r="I1679" s="0" t="str">
        <f aca="false">INDEX(Laporan!$A$1:$AZ$300,G1679,1)</f>
        <v>Mixing</v>
      </c>
      <c r="J1679" s="0" t="str">
        <f aca="false">INDEX(Laporan!$A$1:$AZ$300,G1679,2)</f>
        <v>1,5 L</v>
      </c>
      <c r="K1679" s="0" t="str">
        <f aca="false">INDEX(Laporan!$A$1:$AZ$300,G1679,3)</f>
        <v>Shift 1</v>
      </c>
      <c r="L1679" s="0" t="n">
        <f aca="false">INDEX(Laporan!$A$1:$AZ$300,G1679,4)</f>
        <v>2</v>
      </c>
      <c r="M1679" s="1" t="n">
        <f aca="false">DATE(Pemetaan!$B$1,VALUE(RIGHT(INDEX(Laporan!$A$1:$AZ$300,F1679+1,H1679),2)),VALUE(LEFT(INDEX(Laporan!$A$1:$AZ$300,F1679+1,H1679),2)))</f>
        <v>46085</v>
      </c>
      <c r="N1679" s="0" t="n">
        <f aca="false">INDEX(Laporan!$A$1:$AZ$300,G1679,H1679)</f>
        <v>6</v>
      </c>
      <c r="O1679" s="0" t="n">
        <f aca="false">IF(N1679="","",IFERROR(VALUE(SUBSTITUTE(SUBSTITUTE(N1679," btl",""),".","")),""))</f>
        <v>6</v>
      </c>
      <c r="P1679" s="0" t="str">
        <f aca="false">IF(B1679="PRODUKSI","produced","reject")</f>
        <v>reject</v>
      </c>
    </row>
    <row r="1680" customFormat="false" ht="15" hidden="false" customHeight="false" outlineLevel="0" collapsed="false">
      <c r="A1680" s="0" t="n">
        <v>1679</v>
      </c>
      <c r="B1680" s="0" t="str">
        <f aca="false">IF(A1680&lt;=36*25,"PRODUKSI","REJECT")</f>
        <v>REJECT</v>
      </c>
      <c r="C1680" s="0" t="n">
        <f aca="false">MOD(A1680-1,Pemetaan!$B$3*Pemetaan!$B$4)</f>
        <v>778</v>
      </c>
      <c r="D1680" s="0" t="n">
        <f aca="false">INT(C1680/Pemetaan!$B$4)</f>
        <v>31</v>
      </c>
      <c r="E1680" s="0" t="n">
        <f aca="false">MOD(C1680,Pemetaan!$B$4)</f>
        <v>3</v>
      </c>
      <c r="F1680" s="0" t="n">
        <f aca="false">IF(B1680="PRODUKSI",Pemetaan!$B$5,Pemetaan!$B$6)</f>
        <v>46</v>
      </c>
      <c r="G1680" s="0" t="n">
        <f aca="false">F1680+2+D1680</f>
        <v>79</v>
      </c>
      <c r="H1680" s="0" t="n">
        <f aca="false">Pemetaan!$B$2+E1680</f>
        <v>8</v>
      </c>
      <c r="I1680" s="0" t="str">
        <f aca="false">INDEX(Laporan!$A$1:$AZ$300,G1680,1)</f>
        <v>Mixing</v>
      </c>
      <c r="J1680" s="0" t="str">
        <f aca="false">INDEX(Laporan!$A$1:$AZ$300,G1680,2)</f>
        <v>1,5 L</v>
      </c>
      <c r="K1680" s="0" t="str">
        <f aca="false">INDEX(Laporan!$A$1:$AZ$300,G1680,3)</f>
        <v>Shift 1</v>
      </c>
      <c r="L1680" s="0" t="n">
        <f aca="false">INDEX(Laporan!$A$1:$AZ$300,G1680,4)</f>
        <v>2</v>
      </c>
      <c r="M1680" s="1" t="n">
        <f aca="false">DATE(Pemetaan!$B$1,VALUE(RIGHT(INDEX(Laporan!$A$1:$AZ$300,F1680+1,H1680),2)),VALUE(LEFT(INDEX(Laporan!$A$1:$AZ$300,F1680+1,H1680),2)))</f>
        <v>46086</v>
      </c>
      <c r="N1680" s="0" t="n">
        <f aca="false">INDEX(Laporan!$A$1:$AZ$300,G1680,H1680)</f>
        <v>7</v>
      </c>
      <c r="O1680" s="0" t="n">
        <f aca="false">IF(N1680="","",IFERROR(VALUE(SUBSTITUTE(SUBSTITUTE(N1680," btl",""),".","")),""))</f>
        <v>7</v>
      </c>
      <c r="P1680" s="0" t="str">
        <f aca="false">IF(B1680="PRODUKSI","produced","reject")</f>
        <v>reject</v>
      </c>
    </row>
    <row r="1681" customFormat="false" ht="15" hidden="false" customHeight="false" outlineLevel="0" collapsed="false">
      <c r="A1681" s="0" t="n">
        <v>1680</v>
      </c>
      <c r="B1681" s="0" t="str">
        <f aca="false">IF(A1681&lt;=36*25,"PRODUKSI","REJECT")</f>
        <v>REJECT</v>
      </c>
      <c r="C1681" s="0" t="n">
        <f aca="false">MOD(A1681-1,Pemetaan!$B$3*Pemetaan!$B$4)</f>
        <v>779</v>
      </c>
      <c r="D1681" s="0" t="n">
        <f aca="false">INT(C1681/Pemetaan!$B$4)</f>
        <v>31</v>
      </c>
      <c r="E1681" s="0" t="n">
        <f aca="false">MOD(C1681,Pemetaan!$B$4)</f>
        <v>4</v>
      </c>
      <c r="F1681" s="0" t="n">
        <f aca="false">IF(B1681="PRODUKSI",Pemetaan!$B$5,Pemetaan!$B$6)</f>
        <v>46</v>
      </c>
      <c r="G1681" s="0" t="n">
        <f aca="false">F1681+2+D1681</f>
        <v>79</v>
      </c>
      <c r="H1681" s="0" t="n">
        <f aca="false">Pemetaan!$B$2+E1681</f>
        <v>9</v>
      </c>
      <c r="I1681" s="0" t="str">
        <f aca="false">INDEX(Laporan!$A$1:$AZ$300,G1681,1)</f>
        <v>Mixing</v>
      </c>
      <c r="J1681" s="0" t="str">
        <f aca="false">INDEX(Laporan!$A$1:$AZ$300,G1681,2)</f>
        <v>1,5 L</v>
      </c>
      <c r="K1681" s="0" t="str">
        <f aca="false">INDEX(Laporan!$A$1:$AZ$300,G1681,3)</f>
        <v>Shift 1</v>
      </c>
      <c r="L1681" s="0" t="n">
        <f aca="false">INDEX(Laporan!$A$1:$AZ$300,G1681,4)</f>
        <v>2</v>
      </c>
      <c r="M1681" s="1" t="n">
        <f aca="false">DATE(Pemetaan!$B$1,VALUE(RIGHT(INDEX(Laporan!$A$1:$AZ$300,F1681+1,H1681),2)),VALUE(LEFT(INDEX(Laporan!$A$1:$AZ$300,F1681+1,H1681),2)))</f>
        <v>46087</v>
      </c>
      <c r="N1681" s="0" t="n">
        <f aca="false">INDEX(Laporan!$A$1:$AZ$300,G1681,H1681)</f>
        <v>9</v>
      </c>
      <c r="O1681" s="0" t="n">
        <f aca="false">IF(N1681="","",IFERROR(VALUE(SUBSTITUTE(SUBSTITUTE(N1681," btl",""),".","")),""))</f>
        <v>9</v>
      </c>
      <c r="P1681" s="0" t="str">
        <f aca="false">IF(B1681="PRODUKSI","produced","reject")</f>
        <v>reject</v>
      </c>
    </row>
    <row r="1682" customFormat="false" ht="15" hidden="false" customHeight="false" outlineLevel="0" collapsed="false">
      <c r="A1682" s="0" t="n">
        <v>1681</v>
      </c>
      <c r="B1682" s="0" t="str">
        <f aca="false">IF(A1682&lt;=36*25,"PRODUKSI","REJECT")</f>
        <v>REJECT</v>
      </c>
      <c r="C1682" s="0" t="n">
        <f aca="false">MOD(A1682-1,Pemetaan!$B$3*Pemetaan!$B$4)</f>
        <v>780</v>
      </c>
      <c r="D1682" s="0" t="n">
        <f aca="false">INT(C1682/Pemetaan!$B$4)</f>
        <v>31</v>
      </c>
      <c r="E1682" s="0" t="n">
        <f aca="false">MOD(C1682,Pemetaan!$B$4)</f>
        <v>5</v>
      </c>
      <c r="F1682" s="0" t="n">
        <f aca="false">IF(B1682="PRODUKSI",Pemetaan!$B$5,Pemetaan!$B$6)</f>
        <v>46</v>
      </c>
      <c r="G1682" s="0" t="n">
        <f aca="false">F1682+2+D1682</f>
        <v>79</v>
      </c>
      <c r="H1682" s="0" t="n">
        <f aca="false">Pemetaan!$B$2+E1682</f>
        <v>10</v>
      </c>
      <c r="I1682" s="0" t="str">
        <f aca="false">INDEX(Laporan!$A$1:$AZ$300,G1682,1)</f>
        <v>Mixing</v>
      </c>
      <c r="J1682" s="0" t="str">
        <f aca="false">INDEX(Laporan!$A$1:$AZ$300,G1682,2)</f>
        <v>1,5 L</v>
      </c>
      <c r="K1682" s="0" t="str">
        <f aca="false">INDEX(Laporan!$A$1:$AZ$300,G1682,3)</f>
        <v>Shift 1</v>
      </c>
      <c r="L1682" s="0" t="n">
        <f aca="false">INDEX(Laporan!$A$1:$AZ$300,G1682,4)</f>
        <v>2</v>
      </c>
      <c r="M1682" s="1" t="n">
        <f aca="false">DATE(Pemetaan!$B$1,VALUE(RIGHT(INDEX(Laporan!$A$1:$AZ$300,F1682+1,H1682),2)),VALUE(LEFT(INDEX(Laporan!$A$1:$AZ$300,F1682+1,H1682),2)))</f>
        <v>46090</v>
      </c>
      <c r="N1682" s="0" t="n">
        <f aca="false">INDEX(Laporan!$A$1:$AZ$300,G1682,H1682)</f>
        <v>6</v>
      </c>
      <c r="O1682" s="0" t="n">
        <f aca="false">IF(N1682="","",IFERROR(VALUE(SUBSTITUTE(SUBSTITUTE(N1682," btl",""),".","")),""))</f>
        <v>6</v>
      </c>
      <c r="P1682" s="0" t="str">
        <f aca="false">IF(B1682="PRODUKSI","produced","reject")</f>
        <v>reject</v>
      </c>
    </row>
    <row r="1683" customFormat="false" ht="15" hidden="false" customHeight="false" outlineLevel="0" collapsed="false">
      <c r="A1683" s="0" t="n">
        <v>1682</v>
      </c>
      <c r="B1683" s="0" t="str">
        <f aca="false">IF(A1683&lt;=36*25,"PRODUKSI","REJECT")</f>
        <v>REJECT</v>
      </c>
      <c r="C1683" s="0" t="n">
        <f aca="false">MOD(A1683-1,Pemetaan!$B$3*Pemetaan!$B$4)</f>
        <v>781</v>
      </c>
      <c r="D1683" s="0" t="n">
        <f aca="false">INT(C1683/Pemetaan!$B$4)</f>
        <v>31</v>
      </c>
      <c r="E1683" s="0" t="n">
        <f aca="false">MOD(C1683,Pemetaan!$B$4)</f>
        <v>6</v>
      </c>
      <c r="F1683" s="0" t="n">
        <f aca="false">IF(B1683="PRODUKSI",Pemetaan!$B$5,Pemetaan!$B$6)</f>
        <v>46</v>
      </c>
      <c r="G1683" s="0" t="n">
        <f aca="false">F1683+2+D1683</f>
        <v>79</v>
      </c>
      <c r="H1683" s="0" t="n">
        <f aca="false">Pemetaan!$B$2+E1683</f>
        <v>11</v>
      </c>
      <c r="I1683" s="0" t="str">
        <f aca="false">INDEX(Laporan!$A$1:$AZ$300,G1683,1)</f>
        <v>Mixing</v>
      </c>
      <c r="J1683" s="0" t="str">
        <f aca="false">INDEX(Laporan!$A$1:$AZ$300,G1683,2)</f>
        <v>1,5 L</v>
      </c>
      <c r="K1683" s="0" t="str">
        <f aca="false">INDEX(Laporan!$A$1:$AZ$300,G1683,3)</f>
        <v>Shift 1</v>
      </c>
      <c r="L1683" s="0" t="n">
        <f aca="false">INDEX(Laporan!$A$1:$AZ$300,G1683,4)</f>
        <v>2</v>
      </c>
      <c r="M1683" s="1" t="n">
        <f aca="false">DATE(Pemetaan!$B$1,VALUE(RIGHT(INDEX(Laporan!$A$1:$AZ$300,F1683+1,H1683),2)),VALUE(LEFT(INDEX(Laporan!$A$1:$AZ$300,F1683+1,H1683),2)))</f>
        <v>46091</v>
      </c>
      <c r="N1683" s="0" t="n">
        <f aca="false">INDEX(Laporan!$A$1:$AZ$300,G1683,H1683)</f>
        <v>9</v>
      </c>
      <c r="O1683" s="0" t="n">
        <f aca="false">IF(N1683="","",IFERROR(VALUE(SUBSTITUTE(SUBSTITUTE(N1683," btl",""),".","")),""))</f>
        <v>9</v>
      </c>
      <c r="P1683" s="0" t="str">
        <f aca="false">IF(B1683="PRODUKSI","produced","reject")</f>
        <v>reject</v>
      </c>
    </row>
    <row r="1684" customFormat="false" ht="15" hidden="false" customHeight="false" outlineLevel="0" collapsed="false">
      <c r="A1684" s="0" t="n">
        <v>1683</v>
      </c>
      <c r="B1684" s="0" t="str">
        <f aca="false">IF(A1684&lt;=36*25,"PRODUKSI","REJECT")</f>
        <v>REJECT</v>
      </c>
      <c r="C1684" s="0" t="n">
        <f aca="false">MOD(A1684-1,Pemetaan!$B$3*Pemetaan!$B$4)</f>
        <v>782</v>
      </c>
      <c r="D1684" s="0" t="n">
        <f aca="false">INT(C1684/Pemetaan!$B$4)</f>
        <v>31</v>
      </c>
      <c r="E1684" s="0" t="n">
        <f aca="false">MOD(C1684,Pemetaan!$B$4)</f>
        <v>7</v>
      </c>
      <c r="F1684" s="0" t="n">
        <f aca="false">IF(B1684="PRODUKSI",Pemetaan!$B$5,Pemetaan!$B$6)</f>
        <v>46</v>
      </c>
      <c r="G1684" s="0" t="n">
        <f aca="false">F1684+2+D1684</f>
        <v>79</v>
      </c>
      <c r="H1684" s="0" t="n">
        <f aca="false">Pemetaan!$B$2+E1684</f>
        <v>12</v>
      </c>
      <c r="I1684" s="0" t="str">
        <f aca="false">INDEX(Laporan!$A$1:$AZ$300,G1684,1)</f>
        <v>Mixing</v>
      </c>
      <c r="J1684" s="0" t="str">
        <f aca="false">INDEX(Laporan!$A$1:$AZ$300,G1684,2)</f>
        <v>1,5 L</v>
      </c>
      <c r="K1684" s="0" t="str">
        <f aca="false">INDEX(Laporan!$A$1:$AZ$300,G1684,3)</f>
        <v>Shift 1</v>
      </c>
      <c r="L1684" s="0" t="n">
        <f aca="false">INDEX(Laporan!$A$1:$AZ$300,G1684,4)</f>
        <v>2</v>
      </c>
      <c r="M1684" s="1" t="n">
        <f aca="false">DATE(Pemetaan!$B$1,VALUE(RIGHT(INDEX(Laporan!$A$1:$AZ$300,F1684+1,H1684),2)),VALUE(LEFT(INDEX(Laporan!$A$1:$AZ$300,F1684+1,H1684),2)))</f>
        <v>46092</v>
      </c>
      <c r="N1684" s="0" t="n">
        <f aca="false">INDEX(Laporan!$A$1:$AZ$300,G1684,H1684)</f>
        <v>13</v>
      </c>
      <c r="O1684" s="0" t="n">
        <f aca="false">IF(N1684="","",IFERROR(VALUE(SUBSTITUTE(SUBSTITUTE(N1684," btl",""),".","")),""))</f>
        <v>13</v>
      </c>
      <c r="P1684" s="0" t="str">
        <f aca="false">IF(B1684="PRODUKSI","produced","reject")</f>
        <v>reject</v>
      </c>
    </row>
    <row r="1685" customFormat="false" ht="15" hidden="false" customHeight="false" outlineLevel="0" collapsed="false">
      <c r="A1685" s="0" t="n">
        <v>1684</v>
      </c>
      <c r="B1685" s="0" t="str">
        <f aca="false">IF(A1685&lt;=36*25,"PRODUKSI","REJECT")</f>
        <v>REJECT</v>
      </c>
      <c r="C1685" s="0" t="n">
        <f aca="false">MOD(A1685-1,Pemetaan!$B$3*Pemetaan!$B$4)</f>
        <v>783</v>
      </c>
      <c r="D1685" s="0" t="n">
        <f aca="false">INT(C1685/Pemetaan!$B$4)</f>
        <v>31</v>
      </c>
      <c r="E1685" s="0" t="n">
        <f aca="false">MOD(C1685,Pemetaan!$B$4)</f>
        <v>8</v>
      </c>
      <c r="F1685" s="0" t="n">
        <f aca="false">IF(B1685="PRODUKSI",Pemetaan!$B$5,Pemetaan!$B$6)</f>
        <v>46</v>
      </c>
      <c r="G1685" s="0" t="n">
        <f aca="false">F1685+2+D1685</f>
        <v>79</v>
      </c>
      <c r="H1685" s="0" t="n">
        <f aca="false">Pemetaan!$B$2+E1685</f>
        <v>13</v>
      </c>
      <c r="I1685" s="0" t="str">
        <f aca="false">INDEX(Laporan!$A$1:$AZ$300,G1685,1)</f>
        <v>Mixing</v>
      </c>
      <c r="J1685" s="0" t="str">
        <f aca="false">INDEX(Laporan!$A$1:$AZ$300,G1685,2)</f>
        <v>1,5 L</v>
      </c>
      <c r="K1685" s="0" t="str">
        <f aca="false">INDEX(Laporan!$A$1:$AZ$300,G1685,3)</f>
        <v>Shift 1</v>
      </c>
      <c r="L1685" s="0" t="n">
        <f aca="false">INDEX(Laporan!$A$1:$AZ$300,G1685,4)</f>
        <v>2</v>
      </c>
      <c r="M1685" s="1" t="n">
        <f aca="false">DATE(Pemetaan!$B$1,VALUE(RIGHT(INDEX(Laporan!$A$1:$AZ$300,F1685+1,H1685),2)),VALUE(LEFT(INDEX(Laporan!$A$1:$AZ$300,F1685+1,H1685),2)))</f>
        <v>46093</v>
      </c>
      <c r="N1685" s="0" t="n">
        <f aca="false">INDEX(Laporan!$A$1:$AZ$300,G1685,H1685)</f>
        <v>14</v>
      </c>
      <c r="O1685" s="0" t="n">
        <f aca="false">IF(N1685="","",IFERROR(VALUE(SUBSTITUTE(SUBSTITUTE(N1685," btl",""),".","")),""))</f>
        <v>14</v>
      </c>
      <c r="P1685" s="0" t="str">
        <f aca="false">IF(B1685="PRODUKSI","produced","reject")</f>
        <v>reject</v>
      </c>
    </row>
    <row r="1686" customFormat="false" ht="15" hidden="false" customHeight="false" outlineLevel="0" collapsed="false">
      <c r="A1686" s="0" t="n">
        <v>1685</v>
      </c>
      <c r="B1686" s="0" t="str">
        <f aca="false">IF(A1686&lt;=36*25,"PRODUKSI","REJECT")</f>
        <v>REJECT</v>
      </c>
      <c r="C1686" s="0" t="n">
        <f aca="false">MOD(A1686-1,Pemetaan!$B$3*Pemetaan!$B$4)</f>
        <v>784</v>
      </c>
      <c r="D1686" s="0" t="n">
        <f aca="false">INT(C1686/Pemetaan!$B$4)</f>
        <v>31</v>
      </c>
      <c r="E1686" s="0" t="n">
        <f aca="false">MOD(C1686,Pemetaan!$B$4)</f>
        <v>9</v>
      </c>
      <c r="F1686" s="0" t="n">
        <f aca="false">IF(B1686="PRODUKSI",Pemetaan!$B$5,Pemetaan!$B$6)</f>
        <v>46</v>
      </c>
      <c r="G1686" s="0" t="n">
        <f aca="false">F1686+2+D1686</f>
        <v>79</v>
      </c>
      <c r="H1686" s="0" t="n">
        <f aca="false">Pemetaan!$B$2+E1686</f>
        <v>14</v>
      </c>
      <c r="I1686" s="0" t="str">
        <f aca="false">INDEX(Laporan!$A$1:$AZ$300,G1686,1)</f>
        <v>Mixing</v>
      </c>
      <c r="J1686" s="0" t="str">
        <f aca="false">INDEX(Laporan!$A$1:$AZ$300,G1686,2)</f>
        <v>1,5 L</v>
      </c>
      <c r="K1686" s="0" t="str">
        <f aca="false">INDEX(Laporan!$A$1:$AZ$300,G1686,3)</f>
        <v>Shift 1</v>
      </c>
      <c r="L1686" s="0" t="n">
        <f aca="false">INDEX(Laporan!$A$1:$AZ$300,G1686,4)</f>
        <v>2</v>
      </c>
      <c r="M1686" s="1" t="n">
        <f aca="false">DATE(Pemetaan!$B$1,VALUE(RIGHT(INDEX(Laporan!$A$1:$AZ$300,F1686+1,H1686),2)),VALUE(LEFT(INDEX(Laporan!$A$1:$AZ$300,F1686+1,H1686),2)))</f>
        <v>46094</v>
      </c>
      <c r="N1686" s="0" t="n">
        <f aca="false">INDEX(Laporan!$A$1:$AZ$300,G1686,H1686)</f>
        <v>7</v>
      </c>
      <c r="O1686" s="0" t="n">
        <f aca="false">IF(N1686="","",IFERROR(VALUE(SUBSTITUTE(SUBSTITUTE(N1686," btl",""),".","")),""))</f>
        <v>7</v>
      </c>
      <c r="P1686" s="0" t="str">
        <f aca="false">IF(B1686="PRODUKSI","produced","reject")</f>
        <v>reject</v>
      </c>
    </row>
    <row r="1687" customFormat="false" ht="15" hidden="false" customHeight="false" outlineLevel="0" collapsed="false">
      <c r="A1687" s="0" t="n">
        <v>1686</v>
      </c>
      <c r="B1687" s="0" t="str">
        <f aca="false">IF(A1687&lt;=36*25,"PRODUKSI","REJECT")</f>
        <v>REJECT</v>
      </c>
      <c r="C1687" s="0" t="n">
        <f aca="false">MOD(A1687-1,Pemetaan!$B$3*Pemetaan!$B$4)</f>
        <v>785</v>
      </c>
      <c r="D1687" s="0" t="n">
        <f aca="false">INT(C1687/Pemetaan!$B$4)</f>
        <v>31</v>
      </c>
      <c r="E1687" s="0" t="n">
        <f aca="false">MOD(C1687,Pemetaan!$B$4)</f>
        <v>10</v>
      </c>
      <c r="F1687" s="0" t="n">
        <f aca="false">IF(B1687="PRODUKSI",Pemetaan!$B$5,Pemetaan!$B$6)</f>
        <v>46</v>
      </c>
      <c r="G1687" s="0" t="n">
        <f aca="false">F1687+2+D1687</f>
        <v>79</v>
      </c>
      <c r="H1687" s="0" t="n">
        <f aca="false">Pemetaan!$B$2+E1687</f>
        <v>15</v>
      </c>
      <c r="I1687" s="0" t="str">
        <f aca="false">INDEX(Laporan!$A$1:$AZ$300,G1687,1)</f>
        <v>Mixing</v>
      </c>
      <c r="J1687" s="0" t="str">
        <f aca="false">INDEX(Laporan!$A$1:$AZ$300,G1687,2)</f>
        <v>1,5 L</v>
      </c>
      <c r="K1687" s="0" t="str">
        <f aca="false">INDEX(Laporan!$A$1:$AZ$300,G1687,3)</f>
        <v>Shift 1</v>
      </c>
      <c r="L1687" s="0" t="n">
        <f aca="false">INDEX(Laporan!$A$1:$AZ$300,G1687,4)</f>
        <v>2</v>
      </c>
      <c r="M1687" s="1" t="n">
        <f aca="false">DATE(Pemetaan!$B$1,VALUE(RIGHT(INDEX(Laporan!$A$1:$AZ$300,F1687+1,H1687),2)),VALUE(LEFT(INDEX(Laporan!$A$1:$AZ$300,F1687+1,H1687),2)))</f>
        <v>46097</v>
      </c>
      <c r="N1687" s="0" t="n">
        <f aca="false">INDEX(Laporan!$A$1:$AZ$300,G1687,H1687)</f>
        <v>9</v>
      </c>
      <c r="O1687" s="0" t="n">
        <f aca="false">IF(N1687="","",IFERROR(VALUE(SUBSTITUTE(SUBSTITUTE(N1687," btl",""),".","")),""))</f>
        <v>9</v>
      </c>
      <c r="P1687" s="0" t="str">
        <f aca="false">IF(B1687="PRODUKSI","produced","reject")</f>
        <v>reject</v>
      </c>
    </row>
    <row r="1688" customFormat="false" ht="15" hidden="false" customHeight="false" outlineLevel="0" collapsed="false">
      <c r="A1688" s="0" t="n">
        <v>1687</v>
      </c>
      <c r="B1688" s="0" t="str">
        <f aca="false">IF(A1688&lt;=36*25,"PRODUKSI","REJECT")</f>
        <v>REJECT</v>
      </c>
      <c r="C1688" s="0" t="n">
        <f aca="false">MOD(A1688-1,Pemetaan!$B$3*Pemetaan!$B$4)</f>
        <v>786</v>
      </c>
      <c r="D1688" s="0" t="n">
        <f aca="false">INT(C1688/Pemetaan!$B$4)</f>
        <v>31</v>
      </c>
      <c r="E1688" s="0" t="n">
        <f aca="false">MOD(C1688,Pemetaan!$B$4)</f>
        <v>11</v>
      </c>
      <c r="F1688" s="0" t="n">
        <f aca="false">IF(B1688="PRODUKSI",Pemetaan!$B$5,Pemetaan!$B$6)</f>
        <v>46</v>
      </c>
      <c r="G1688" s="0" t="n">
        <f aca="false">F1688+2+D1688</f>
        <v>79</v>
      </c>
      <c r="H1688" s="0" t="n">
        <f aca="false">Pemetaan!$B$2+E1688</f>
        <v>16</v>
      </c>
      <c r="I1688" s="0" t="str">
        <f aca="false">INDEX(Laporan!$A$1:$AZ$300,G1688,1)</f>
        <v>Mixing</v>
      </c>
      <c r="J1688" s="0" t="str">
        <f aca="false">INDEX(Laporan!$A$1:$AZ$300,G1688,2)</f>
        <v>1,5 L</v>
      </c>
      <c r="K1688" s="0" t="str">
        <f aca="false">INDEX(Laporan!$A$1:$AZ$300,G1688,3)</f>
        <v>Shift 1</v>
      </c>
      <c r="L1688" s="0" t="n">
        <f aca="false">INDEX(Laporan!$A$1:$AZ$300,G1688,4)</f>
        <v>2</v>
      </c>
      <c r="M1688" s="1" t="n">
        <f aca="false">DATE(Pemetaan!$B$1,VALUE(RIGHT(INDEX(Laporan!$A$1:$AZ$300,F1688+1,H1688),2)),VALUE(LEFT(INDEX(Laporan!$A$1:$AZ$300,F1688+1,H1688),2)))</f>
        <v>46098</v>
      </c>
      <c r="N1688" s="0" t="n">
        <f aca="false">INDEX(Laporan!$A$1:$AZ$300,G1688,H1688)</f>
        <v>10</v>
      </c>
      <c r="O1688" s="0" t="n">
        <f aca="false">IF(N1688="","",IFERROR(VALUE(SUBSTITUTE(SUBSTITUTE(N1688," btl",""),".","")),""))</f>
        <v>10</v>
      </c>
      <c r="P1688" s="0" t="str">
        <f aca="false">IF(B1688="PRODUKSI","produced","reject")</f>
        <v>reject</v>
      </c>
    </row>
    <row r="1689" customFormat="false" ht="15" hidden="false" customHeight="false" outlineLevel="0" collapsed="false">
      <c r="A1689" s="0" t="n">
        <v>1688</v>
      </c>
      <c r="B1689" s="0" t="str">
        <f aca="false">IF(A1689&lt;=36*25,"PRODUKSI","REJECT")</f>
        <v>REJECT</v>
      </c>
      <c r="C1689" s="0" t="n">
        <f aca="false">MOD(A1689-1,Pemetaan!$B$3*Pemetaan!$B$4)</f>
        <v>787</v>
      </c>
      <c r="D1689" s="0" t="n">
        <f aca="false">INT(C1689/Pemetaan!$B$4)</f>
        <v>31</v>
      </c>
      <c r="E1689" s="0" t="n">
        <f aca="false">MOD(C1689,Pemetaan!$B$4)</f>
        <v>12</v>
      </c>
      <c r="F1689" s="0" t="n">
        <f aca="false">IF(B1689="PRODUKSI",Pemetaan!$B$5,Pemetaan!$B$6)</f>
        <v>46</v>
      </c>
      <c r="G1689" s="0" t="n">
        <f aca="false">F1689+2+D1689</f>
        <v>79</v>
      </c>
      <c r="H1689" s="0" t="n">
        <f aca="false">Pemetaan!$B$2+E1689</f>
        <v>17</v>
      </c>
      <c r="I1689" s="0" t="str">
        <f aca="false">INDEX(Laporan!$A$1:$AZ$300,G1689,1)</f>
        <v>Mixing</v>
      </c>
      <c r="J1689" s="0" t="str">
        <f aca="false">INDEX(Laporan!$A$1:$AZ$300,G1689,2)</f>
        <v>1,5 L</v>
      </c>
      <c r="K1689" s="0" t="str">
        <f aca="false">INDEX(Laporan!$A$1:$AZ$300,G1689,3)</f>
        <v>Shift 1</v>
      </c>
      <c r="L1689" s="0" t="n">
        <f aca="false">INDEX(Laporan!$A$1:$AZ$300,G1689,4)</f>
        <v>2</v>
      </c>
      <c r="M1689" s="1" t="n">
        <f aca="false">DATE(Pemetaan!$B$1,VALUE(RIGHT(INDEX(Laporan!$A$1:$AZ$300,F1689+1,H1689),2)),VALUE(LEFT(INDEX(Laporan!$A$1:$AZ$300,F1689+1,H1689),2)))</f>
        <v>46099</v>
      </c>
      <c r="N1689" s="0" t="n">
        <f aca="false">INDEX(Laporan!$A$1:$AZ$300,G1689,H1689)</f>
        <v>7</v>
      </c>
      <c r="O1689" s="0" t="n">
        <f aca="false">IF(N1689="","",IFERROR(VALUE(SUBSTITUTE(SUBSTITUTE(N1689," btl",""),".","")),""))</f>
        <v>7</v>
      </c>
      <c r="P1689" s="0" t="str">
        <f aca="false">IF(B1689="PRODUKSI","produced","reject")</f>
        <v>reject</v>
      </c>
    </row>
    <row r="1690" customFormat="false" ht="15" hidden="false" customHeight="false" outlineLevel="0" collapsed="false">
      <c r="A1690" s="0" t="n">
        <v>1689</v>
      </c>
      <c r="B1690" s="0" t="str">
        <f aca="false">IF(A1690&lt;=36*25,"PRODUKSI","REJECT")</f>
        <v>REJECT</v>
      </c>
      <c r="C1690" s="0" t="n">
        <f aca="false">MOD(A1690-1,Pemetaan!$B$3*Pemetaan!$B$4)</f>
        <v>788</v>
      </c>
      <c r="D1690" s="0" t="n">
        <f aca="false">INT(C1690/Pemetaan!$B$4)</f>
        <v>31</v>
      </c>
      <c r="E1690" s="0" t="n">
        <f aca="false">MOD(C1690,Pemetaan!$B$4)</f>
        <v>13</v>
      </c>
      <c r="F1690" s="0" t="n">
        <f aca="false">IF(B1690="PRODUKSI",Pemetaan!$B$5,Pemetaan!$B$6)</f>
        <v>46</v>
      </c>
      <c r="G1690" s="0" t="n">
        <f aca="false">F1690+2+D1690</f>
        <v>79</v>
      </c>
      <c r="H1690" s="0" t="n">
        <f aca="false">Pemetaan!$B$2+E1690</f>
        <v>18</v>
      </c>
      <c r="I1690" s="0" t="str">
        <f aca="false">INDEX(Laporan!$A$1:$AZ$300,G1690,1)</f>
        <v>Mixing</v>
      </c>
      <c r="J1690" s="0" t="str">
        <f aca="false">INDEX(Laporan!$A$1:$AZ$300,G1690,2)</f>
        <v>1,5 L</v>
      </c>
      <c r="K1690" s="0" t="str">
        <f aca="false">INDEX(Laporan!$A$1:$AZ$300,G1690,3)</f>
        <v>Shift 1</v>
      </c>
      <c r="L1690" s="0" t="n">
        <f aca="false">INDEX(Laporan!$A$1:$AZ$300,G1690,4)</f>
        <v>2</v>
      </c>
      <c r="M1690" s="1" t="n">
        <f aca="false">DATE(Pemetaan!$B$1,VALUE(RIGHT(INDEX(Laporan!$A$1:$AZ$300,F1690+1,H1690),2)),VALUE(LEFT(INDEX(Laporan!$A$1:$AZ$300,F1690+1,H1690),2)))</f>
        <v>46100</v>
      </c>
      <c r="N1690" s="0" t="n">
        <f aca="false">INDEX(Laporan!$A$1:$AZ$300,G1690,H1690)</f>
        <v>11</v>
      </c>
      <c r="O1690" s="0" t="n">
        <f aca="false">IF(N1690="","",IFERROR(VALUE(SUBSTITUTE(SUBSTITUTE(N1690," btl",""),".","")),""))</f>
        <v>11</v>
      </c>
      <c r="P1690" s="0" t="str">
        <f aca="false">IF(B1690="PRODUKSI","produced","reject")</f>
        <v>reject</v>
      </c>
    </row>
    <row r="1691" customFormat="false" ht="15" hidden="false" customHeight="false" outlineLevel="0" collapsed="false">
      <c r="A1691" s="0" t="n">
        <v>1690</v>
      </c>
      <c r="B1691" s="0" t="str">
        <f aca="false">IF(A1691&lt;=36*25,"PRODUKSI","REJECT")</f>
        <v>REJECT</v>
      </c>
      <c r="C1691" s="0" t="n">
        <f aca="false">MOD(A1691-1,Pemetaan!$B$3*Pemetaan!$B$4)</f>
        <v>789</v>
      </c>
      <c r="D1691" s="0" t="n">
        <f aca="false">INT(C1691/Pemetaan!$B$4)</f>
        <v>31</v>
      </c>
      <c r="E1691" s="0" t="n">
        <f aca="false">MOD(C1691,Pemetaan!$B$4)</f>
        <v>14</v>
      </c>
      <c r="F1691" s="0" t="n">
        <f aca="false">IF(B1691="PRODUKSI",Pemetaan!$B$5,Pemetaan!$B$6)</f>
        <v>46</v>
      </c>
      <c r="G1691" s="0" t="n">
        <f aca="false">F1691+2+D1691</f>
        <v>79</v>
      </c>
      <c r="H1691" s="0" t="n">
        <f aca="false">Pemetaan!$B$2+E1691</f>
        <v>19</v>
      </c>
      <c r="I1691" s="0" t="str">
        <f aca="false">INDEX(Laporan!$A$1:$AZ$300,G1691,1)</f>
        <v>Mixing</v>
      </c>
      <c r="J1691" s="0" t="str">
        <f aca="false">INDEX(Laporan!$A$1:$AZ$300,G1691,2)</f>
        <v>1,5 L</v>
      </c>
      <c r="K1691" s="0" t="str">
        <f aca="false">INDEX(Laporan!$A$1:$AZ$300,G1691,3)</f>
        <v>Shift 1</v>
      </c>
      <c r="L1691" s="0" t="n">
        <f aca="false">INDEX(Laporan!$A$1:$AZ$300,G1691,4)</f>
        <v>2</v>
      </c>
      <c r="M1691" s="1" t="n">
        <f aca="false">DATE(Pemetaan!$B$1,VALUE(RIGHT(INDEX(Laporan!$A$1:$AZ$300,F1691+1,H1691),2)),VALUE(LEFT(INDEX(Laporan!$A$1:$AZ$300,F1691+1,H1691),2)))</f>
        <v>46101</v>
      </c>
      <c r="N1691" s="0" t="n">
        <f aca="false">INDEX(Laporan!$A$1:$AZ$300,G1691,H1691)</f>
        <v>6</v>
      </c>
      <c r="O1691" s="0" t="n">
        <f aca="false">IF(N1691="","",IFERROR(VALUE(SUBSTITUTE(SUBSTITUTE(N1691," btl",""),".","")),""))</f>
        <v>6</v>
      </c>
      <c r="P1691" s="0" t="str">
        <f aca="false">IF(B1691="PRODUKSI","produced","reject")</f>
        <v>reject</v>
      </c>
    </row>
    <row r="1692" customFormat="false" ht="15" hidden="false" customHeight="false" outlineLevel="0" collapsed="false">
      <c r="A1692" s="0" t="n">
        <v>1691</v>
      </c>
      <c r="B1692" s="0" t="str">
        <f aca="false">IF(A1692&lt;=36*25,"PRODUKSI","REJECT")</f>
        <v>REJECT</v>
      </c>
      <c r="C1692" s="0" t="n">
        <f aca="false">MOD(A1692-1,Pemetaan!$B$3*Pemetaan!$B$4)</f>
        <v>790</v>
      </c>
      <c r="D1692" s="0" t="n">
        <f aca="false">INT(C1692/Pemetaan!$B$4)</f>
        <v>31</v>
      </c>
      <c r="E1692" s="0" t="n">
        <f aca="false">MOD(C1692,Pemetaan!$B$4)</f>
        <v>15</v>
      </c>
      <c r="F1692" s="0" t="n">
        <f aca="false">IF(B1692="PRODUKSI",Pemetaan!$B$5,Pemetaan!$B$6)</f>
        <v>46</v>
      </c>
      <c r="G1692" s="0" t="n">
        <f aca="false">F1692+2+D1692</f>
        <v>79</v>
      </c>
      <c r="H1692" s="0" t="n">
        <f aca="false">Pemetaan!$B$2+E1692</f>
        <v>20</v>
      </c>
      <c r="I1692" s="0" t="str">
        <f aca="false">INDEX(Laporan!$A$1:$AZ$300,G1692,1)</f>
        <v>Mixing</v>
      </c>
      <c r="J1692" s="0" t="str">
        <f aca="false">INDEX(Laporan!$A$1:$AZ$300,G1692,2)</f>
        <v>1,5 L</v>
      </c>
      <c r="K1692" s="0" t="str">
        <f aca="false">INDEX(Laporan!$A$1:$AZ$300,G1692,3)</f>
        <v>Shift 1</v>
      </c>
      <c r="L1692" s="0" t="n">
        <f aca="false">INDEX(Laporan!$A$1:$AZ$300,G1692,4)</f>
        <v>2</v>
      </c>
      <c r="M1692" s="1" t="n">
        <f aca="false">DATE(Pemetaan!$B$1,VALUE(RIGHT(INDEX(Laporan!$A$1:$AZ$300,F1692+1,H1692),2)),VALUE(LEFT(INDEX(Laporan!$A$1:$AZ$300,F1692+1,H1692),2)))</f>
        <v>46104</v>
      </c>
      <c r="N1692" s="0" t="n">
        <f aca="false">INDEX(Laporan!$A$1:$AZ$300,G1692,H1692)</f>
        <v>9</v>
      </c>
      <c r="O1692" s="0" t="n">
        <f aca="false">IF(N1692="","",IFERROR(VALUE(SUBSTITUTE(SUBSTITUTE(N1692," btl",""),".","")),""))</f>
        <v>9</v>
      </c>
      <c r="P1692" s="0" t="str">
        <f aca="false">IF(B1692="PRODUKSI","produced","reject")</f>
        <v>reject</v>
      </c>
    </row>
    <row r="1693" customFormat="false" ht="15" hidden="false" customHeight="false" outlineLevel="0" collapsed="false">
      <c r="A1693" s="0" t="n">
        <v>1692</v>
      </c>
      <c r="B1693" s="0" t="str">
        <f aca="false">IF(A1693&lt;=36*25,"PRODUKSI","REJECT")</f>
        <v>REJECT</v>
      </c>
      <c r="C1693" s="0" t="n">
        <f aca="false">MOD(A1693-1,Pemetaan!$B$3*Pemetaan!$B$4)</f>
        <v>791</v>
      </c>
      <c r="D1693" s="0" t="n">
        <f aca="false">INT(C1693/Pemetaan!$B$4)</f>
        <v>31</v>
      </c>
      <c r="E1693" s="0" t="n">
        <f aca="false">MOD(C1693,Pemetaan!$B$4)</f>
        <v>16</v>
      </c>
      <c r="F1693" s="0" t="n">
        <f aca="false">IF(B1693="PRODUKSI",Pemetaan!$B$5,Pemetaan!$B$6)</f>
        <v>46</v>
      </c>
      <c r="G1693" s="0" t="n">
        <f aca="false">F1693+2+D1693</f>
        <v>79</v>
      </c>
      <c r="H1693" s="0" t="n">
        <f aca="false">Pemetaan!$B$2+E1693</f>
        <v>21</v>
      </c>
      <c r="I1693" s="0" t="str">
        <f aca="false">INDEX(Laporan!$A$1:$AZ$300,G1693,1)</f>
        <v>Mixing</v>
      </c>
      <c r="J1693" s="0" t="str">
        <f aca="false">INDEX(Laporan!$A$1:$AZ$300,G1693,2)</f>
        <v>1,5 L</v>
      </c>
      <c r="K1693" s="0" t="str">
        <f aca="false">INDEX(Laporan!$A$1:$AZ$300,G1693,3)</f>
        <v>Shift 1</v>
      </c>
      <c r="L1693" s="0" t="n">
        <f aca="false">INDEX(Laporan!$A$1:$AZ$300,G1693,4)</f>
        <v>2</v>
      </c>
      <c r="M1693" s="1" t="n">
        <f aca="false">DATE(Pemetaan!$B$1,VALUE(RIGHT(INDEX(Laporan!$A$1:$AZ$300,F1693+1,H1693),2)),VALUE(LEFT(INDEX(Laporan!$A$1:$AZ$300,F1693+1,H1693),2)))</f>
        <v>46105</v>
      </c>
      <c r="N1693" s="0" t="n">
        <f aca="false">INDEX(Laporan!$A$1:$AZ$300,G1693,H1693)</f>
        <v>6</v>
      </c>
      <c r="O1693" s="0" t="n">
        <f aca="false">IF(N1693="","",IFERROR(VALUE(SUBSTITUTE(SUBSTITUTE(N1693," btl",""),".","")),""))</f>
        <v>6</v>
      </c>
      <c r="P1693" s="0" t="str">
        <f aca="false">IF(B1693="PRODUKSI","produced","reject")</f>
        <v>reject</v>
      </c>
    </row>
    <row r="1694" customFormat="false" ht="15" hidden="false" customHeight="false" outlineLevel="0" collapsed="false">
      <c r="A1694" s="0" t="n">
        <v>1693</v>
      </c>
      <c r="B1694" s="0" t="str">
        <f aca="false">IF(A1694&lt;=36*25,"PRODUKSI","REJECT")</f>
        <v>REJECT</v>
      </c>
      <c r="C1694" s="0" t="n">
        <f aca="false">MOD(A1694-1,Pemetaan!$B$3*Pemetaan!$B$4)</f>
        <v>792</v>
      </c>
      <c r="D1694" s="0" t="n">
        <f aca="false">INT(C1694/Pemetaan!$B$4)</f>
        <v>31</v>
      </c>
      <c r="E1694" s="0" t="n">
        <f aca="false">MOD(C1694,Pemetaan!$B$4)</f>
        <v>17</v>
      </c>
      <c r="F1694" s="0" t="n">
        <f aca="false">IF(B1694="PRODUKSI",Pemetaan!$B$5,Pemetaan!$B$6)</f>
        <v>46</v>
      </c>
      <c r="G1694" s="0" t="n">
        <f aca="false">F1694+2+D1694</f>
        <v>79</v>
      </c>
      <c r="H1694" s="0" t="n">
        <f aca="false">Pemetaan!$B$2+E1694</f>
        <v>22</v>
      </c>
      <c r="I1694" s="0" t="str">
        <f aca="false">INDEX(Laporan!$A$1:$AZ$300,G1694,1)</f>
        <v>Mixing</v>
      </c>
      <c r="J1694" s="0" t="str">
        <f aca="false">INDEX(Laporan!$A$1:$AZ$300,G1694,2)</f>
        <v>1,5 L</v>
      </c>
      <c r="K1694" s="0" t="str">
        <f aca="false">INDEX(Laporan!$A$1:$AZ$300,G1694,3)</f>
        <v>Shift 1</v>
      </c>
      <c r="L1694" s="0" t="n">
        <f aca="false">INDEX(Laporan!$A$1:$AZ$300,G1694,4)</f>
        <v>2</v>
      </c>
      <c r="M1694" s="1" t="n">
        <f aca="false">DATE(Pemetaan!$B$1,VALUE(RIGHT(INDEX(Laporan!$A$1:$AZ$300,F1694+1,H1694),2)),VALUE(LEFT(INDEX(Laporan!$A$1:$AZ$300,F1694+1,H1694),2)))</f>
        <v>46106</v>
      </c>
      <c r="N1694" s="0" t="n">
        <f aca="false">INDEX(Laporan!$A$1:$AZ$300,G1694,H1694)</f>
        <v>8</v>
      </c>
      <c r="O1694" s="0" t="n">
        <f aca="false">IF(N1694="","",IFERROR(VALUE(SUBSTITUTE(SUBSTITUTE(N1694," btl",""),".","")),""))</f>
        <v>8</v>
      </c>
      <c r="P1694" s="0" t="str">
        <f aca="false">IF(B1694="PRODUKSI","produced","reject")</f>
        <v>reject</v>
      </c>
    </row>
    <row r="1695" customFormat="false" ht="15" hidden="false" customHeight="false" outlineLevel="0" collapsed="false">
      <c r="A1695" s="0" t="n">
        <v>1694</v>
      </c>
      <c r="B1695" s="0" t="str">
        <f aca="false">IF(A1695&lt;=36*25,"PRODUKSI","REJECT")</f>
        <v>REJECT</v>
      </c>
      <c r="C1695" s="0" t="n">
        <f aca="false">MOD(A1695-1,Pemetaan!$B$3*Pemetaan!$B$4)</f>
        <v>793</v>
      </c>
      <c r="D1695" s="0" t="n">
        <f aca="false">INT(C1695/Pemetaan!$B$4)</f>
        <v>31</v>
      </c>
      <c r="E1695" s="0" t="n">
        <f aca="false">MOD(C1695,Pemetaan!$B$4)</f>
        <v>18</v>
      </c>
      <c r="F1695" s="0" t="n">
        <f aca="false">IF(B1695="PRODUKSI",Pemetaan!$B$5,Pemetaan!$B$6)</f>
        <v>46</v>
      </c>
      <c r="G1695" s="0" t="n">
        <f aca="false">F1695+2+D1695</f>
        <v>79</v>
      </c>
      <c r="H1695" s="0" t="n">
        <f aca="false">Pemetaan!$B$2+E1695</f>
        <v>23</v>
      </c>
      <c r="I1695" s="0" t="str">
        <f aca="false">INDEX(Laporan!$A$1:$AZ$300,G1695,1)</f>
        <v>Mixing</v>
      </c>
      <c r="J1695" s="0" t="str">
        <f aca="false">INDEX(Laporan!$A$1:$AZ$300,G1695,2)</f>
        <v>1,5 L</v>
      </c>
      <c r="K1695" s="0" t="str">
        <f aca="false">INDEX(Laporan!$A$1:$AZ$300,G1695,3)</f>
        <v>Shift 1</v>
      </c>
      <c r="L1695" s="0" t="n">
        <f aca="false">INDEX(Laporan!$A$1:$AZ$300,G1695,4)</f>
        <v>2</v>
      </c>
      <c r="M1695" s="1" t="n">
        <f aca="false">DATE(Pemetaan!$B$1,VALUE(RIGHT(INDEX(Laporan!$A$1:$AZ$300,F1695+1,H1695),2)),VALUE(LEFT(INDEX(Laporan!$A$1:$AZ$300,F1695+1,H1695),2)))</f>
        <v>46107</v>
      </c>
      <c r="N1695" s="0" t="n">
        <f aca="false">INDEX(Laporan!$A$1:$AZ$300,G1695,H1695)</f>
        <v>9</v>
      </c>
      <c r="O1695" s="0" t="n">
        <f aca="false">IF(N1695="","",IFERROR(VALUE(SUBSTITUTE(SUBSTITUTE(N1695," btl",""),".","")),""))</f>
        <v>9</v>
      </c>
      <c r="P1695" s="0" t="str">
        <f aca="false">IF(B1695="PRODUKSI","produced","reject")</f>
        <v>reject</v>
      </c>
    </row>
    <row r="1696" customFormat="false" ht="15" hidden="false" customHeight="false" outlineLevel="0" collapsed="false">
      <c r="A1696" s="0" t="n">
        <v>1695</v>
      </c>
      <c r="B1696" s="0" t="str">
        <f aca="false">IF(A1696&lt;=36*25,"PRODUKSI","REJECT")</f>
        <v>REJECT</v>
      </c>
      <c r="C1696" s="0" t="n">
        <f aca="false">MOD(A1696-1,Pemetaan!$B$3*Pemetaan!$B$4)</f>
        <v>794</v>
      </c>
      <c r="D1696" s="0" t="n">
        <f aca="false">INT(C1696/Pemetaan!$B$4)</f>
        <v>31</v>
      </c>
      <c r="E1696" s="0" t="n">
        <f aca="false">MOD(C1696,Pemetaan!$B$4)</f>
        <v>19</v>
      </c>
      <c r="F1696" s="0" t="n">
        <f aca="false">IF(B1696="PRODUKSI",Pemetaan!$B$5,Pemetaan!$B$6)</f>
        <v>46</v>
      </c>
      <c r="G1696" s="0" t="n">
        <f aca="false">F1696+2+D1696</f>
        <v>79</v>
      </c>
      <c r="H1696" s="0" t="n">
        <f aca="false">Pemetaan!$B$2+E1696</f>
        <v>24</v>
      </c>
      <c r="I1696" s="0" t="str">
        <f aca="false">INDEX(Laporan!$A$1:$AZ$300,G1696,1)</f>
        <v>Mixing</v>
      </c>
      <c r="J1696" s="0" t="str">
        <f aca="false">INDEX(Laporan!$A$1:$AZ$300,G1696,2)</f>
        <v>1,5 L</v>
      </c>
      <c r="K1696" s="0" t="str">
        <f aca="false">INDEX(Laporan!$A$1:$AZ$300,G1696,3)</f>
        <v>Shift 1</v>
      </c>
      <c r="L1696" s="0" t="n">
        <f aca="false">INDEX(Laporan!$A$1:$AZ$300,G1696,4)</f>
        <v>2</v>
      </c>
      <c r="M1696" s="1" t="n">
        <f aca="false">DATE(Pemetaan!$B$1,VALUE(RIGHT(INDEX(Laporan!$A$1:$AZ$300,F1696+1,H1696),2)),VALUE(LEFT(INDEX(Laporan!$A$1:$AZ$300,F1696+1,H1696),2)))</f>
        <v>46108</v>
      </c>
      <c r="N1696" s="0" t="n">
        <f aca="false">INDEX(Laporan!$A$1:$AZ$300,G1696,H1696)</f>
        <v>13</v>
      </c>
      <c r="O1696" s="0" t="n">
        <f aca="false">IF(N1696="","",IFERROR(VALUE(SUBSTITUTE(SUBSTITUTE(N1696," btl",""),".","")),""))</f>
        <v>13</v>
      </c>
      <c r="P1696" s="0" t="str">
        <f aca="false">IF(B1696="PRODUKSI","produced","reject")</f>
        <v>reject</v>
      </c>
    </row>
    <row r="1697" customFormat="false" ht="15" hidden="false" customHeight="false" outlineLevel="0" collapsed="false">
      <c r="A1697" s="0" t="n">
        <v>1696</v>
      </c>
      <c r="B1697" s="0" t="str">
        <f aca="false">IF(A1697&lt;=36*25,"PRODUKSI","REJECT")</f>
        <v>REJECT</v>
      </c>
      <c r="C1697" s="0" t="n">
        <f aca="false">MOD(A1697-1,Pemetaan!$B$3*Pemetaan!$B$4)</f>
        <v>795</v>
      </c>
      <c r="D1697" s="0" t="n">
        <f aca="false">INT(C1697/Pemetaan!$B$4)</f>
        <v>31</v>
      </c>
      <c r="E1697" s="0" t="n">
        <f aca="false">MOD(C1697,Pemetaan!$B$4)</f>
        <v>20</v>
      </c>
      <c r="F1697" s="0" t="n">
        <f aca="false">IF(B1697="PRODUKSI",Pemetaan!$B$5,Pemetaan!$B$6)</f>
        <v>46</v>
      </c>
      <c r="G1697" s="0" t="n">
        <f aca="false">F1697+2+D1697</f>
        <v>79</v>
      </c>
      <c r="H1697" s="0" t="n">
        <f aca="false">Pemetaan!$B$2+E1697</f>
        <v>25</v>
      </c>
      <c r="I1697" s="0" t="str">
        <f aca="false">INDEX(Laporan!$A$1:$AZ$300,G1697,1)</f>
        <v>Mixing</v>
      </c>
      <c r="J1697" s="0" t="str">
        <f aca="false">INDEX(Laporan!$A$1:$AZ$300,G1697,2)</f>
        <v>1,5 L</v>
      </c>
      <c r="K1697" s="0" t="str">
        <f aca="false">INDEX(Laporan!$A$1:$AZ$300,G1697,3)</f>
        <v>Shift 1</v>
      </c>
      <c r="L1697" s="0" t="n">
        <f aca="false">INDEX(Laporan!$A$1:$AZ$300,G1697,4)</f>
        <v>2</v>
      </c>
      <c r="M1697" s="1" t="n">
        <f aca="false">DATE(Pemetaan!$B$1,VALUE(RIGHT(INDEX(Laporan!$A$1:$AZ$300,F1697+1,H1697),2)),VALUE(LEFT(INDEX(Laporan!$A$1:$AZ$300,F1697+1,H1697),2)))</f>
        <v>46111</v>
      </c>
      <c r="N1697" s="0" t="n">
        <f aca="false">INDEX(Laporan!$A$1:$AZ$300,G1697,H1697)</f>
        <v>7</v>
      </c>
      <c r="O1697" s="0" t="n">
        <f aca="false">IF(N1697="","",IFERROR(VALUE(SUBSTITUTE(SUBSTITUTE(N1697," btl",""),".","")),""))</f>
        <v>7</v>
      </c>
      <c r="P1697" s="0" t="str">
        <f aca="false">IF(B1697="PRODUKSI","produced","reject")</f>
        <v>reject</v>
      </c>
    </row>
    <row r="1698" customFormat="false" ht="15" hidden="false" customHeight="false" outlineLevel="0" collapsed="false">
      <c r="A1698" s="0" t="n">
        <v>1697</v>
      </c>
      <c r="B1698" s="0" t="str">
        <f aca="false">IF(A1698&lt;=36*25,"PRODUKSI","REJECT")</f>
        <v>REJECT</v>
      </c>
      <c r="C1698" s="0" t="n">
        <f aca="false">MOD(A1698-1,Pemetaan!$B$3*Pemetaan!$B$4)</f>
        <v>796</v>
      </c>
      <c r="D1698" s="0" t="n">
        <f aca="false">INT(C1698/Pemetaan!$B$4)</f>
        <v>31</v>
      </c>
      <c r="E1698" s="0" t="n">
        <f aca="false">MOD(C1698,Pemetaan!$B$4)</f>
        <v>21</v>
      </c>
      <c r="F1698" s="0" t="n">
        <f aca="false">IF(B1698="PRODUKSI",Pemetaan!$B$5,Pemetaan!$B$6)</f>
        <v>46</v>
      </c>
      <c r="G1698" s="0" t="n">
        <f aca="false">F1698+2+D1698</f>
        <v>79</v>
      </c>
      <c r="H1698" s="0" t="n">
        <f aca="false">Pemetaan!$B$2+E1698</f>
        <v>26</v>
      </c>
      <c r="I1698" s="0" t="str">
        <f aca="false">INDEX(Laporan!$A$1:$AZ$300,G1698,1)</f>
        <v>Mixing</v>
      </c>
      <c r="J1698" s="0" t="str">
        <f aca="false">INDEX(Laporan!$A$1:$AZ$300,G1698,2)</f>
        <v>1,5 L</v>
      </c>
      <c r="K1698" s="0" t="str">
        <f aca="false">INDEX(Laporan!$A$1:$AZ$300,G1698,3)</f>
        <v>Shift 1</v>
      </c>
      <c r="L1698" s="0" t="n">
        <f aca="false">INDEX(Laporan!$A$1:$AZ$300,G1698,4)</f>
        <v>2</v>
      </c>
      <c r="M1698" s="1" t="n">
        <f aca="false">DATE(Pemetaan!$B$1,VALUE(RIGHT(INDEX(Laporan!$A$1:$AZ$300,F1698+1,H1698),2)),VALUE(LEFT(INDEX(Laporan!$A$1:$AZ$300,F1698+1,H1698),2)))</f>
        <v>46112</v>
      </c>
      <c r="N1698" s="0" t="n">
        <f aca="false">INDEX(Laporan!$A$1:$AZ$300,G1698,H1698)</f>
        <v>9</v>
      </c>
      <c r="O1698" s="0" t="n">
        <f aca="false">IF(N1698="","",IFERROR(VALUE(SUBSTITUTE(SUBSTITUTE(N1698," btl",""),".","")),""))</f>
        <v>9</v>
      </c>
      <c r="P1698" s="0" t="str">
        <f aca="false">IF(B1698="PRODUKSI","produced","reject")</f>
        <v>reject</v>
      </c>
    </row>
    <row r="1699" customFormat="false" ht="15" hidden="false" customHeight="false" outlineLevel="0" collapsed="false">
      <c r="A1699" s="0" t="n">
        <v>1698</v>
      </c>
      <c r="B1699" s="0" t="str">
        <f aca="false">IF(A1699&lt;=36*25,"PRODUKSI","REJECT")</f>
        <v>REJECT</v>
      </c>
      <c r="C1699" s="0" t="n">
        <f aca="false">MOD(A1699-1,Pemetaan!$B$3*Pemetaan!$B$4)</f>
        <v>797</v>
      </c>
      <c r="D1699" s="0" t="n">
        <f aca="false">INT(C1699/Pemetaan!$B$4)</f>
        <v>31</v>
      </c>
      <c r="E1699" s="0" t="n">
        <f aca="false">MOD(C1699,Pemetaan!$B$4)</f>
        <v>22</v>
      </c>
      <c r="F1699" s="0" t="n">
        <f aca="false">IF(B1699="PRODUKSI",Pemetaan!$B$5,Pemetaan!$B$6)</f>
        <v>46</v>
      </c>
      <c r="G1699" s="0" t="n">
        <f aca="false">F1699+2+D1699</f>
        <v>79</v>
      </c>
      <c r="H1699" s="0" t="n">
        <f aca="false">Pemetaan!$B$2+E1699</f>
        <v>27</v>
      </c>
      <c r="I1699" s="0" t="str">
        <f aca="false">INDEX(Laporan!$A$1:$AZ$300,G1699,1)</f>
        <v>Mixing</v>
      </c>
      <c r="J1699" s="0" t="str">
        <f aca="false">INDEX(Laporan!$A$1:$AZ$300,G1699,2)</f>
        <v>1,5 L</v>
      </c>
      <c r="K1699" s="0" t="str">
        <f aca="false">INDEX(Laporan!$A$1:$AZ$300,G1699,3)</f>
        <v>Shift 1</v>
      </c>
      <c r="L1699" s="0" t="n">
        <f aca="false">INDEX(Laporan!$A$1:$AZ$300,G1699,4)</f>
        <v>2</v>
      </c>
      <c r="M1699" s="1" t="n">
        <f aca="false">DATE(Pemetaan!$B$1,VALUE(RIGHT(INDEX(Laporan!$A$1:$AZ$300,F1699+1,H1699),2)),VALUE(LEFT(INDEX(Laporan!$A$1:$AZ$300,F1699+1,H1699),2)))</f>
        <v>46113</v>
      </c>
      <c r="N1699" s="0" t="n">
        <f aca="false">INDEX(Laporan!$A$1:$AZ$300,G1699,H1699)</f>
        <v>17</v>
      </c>
      <c r="O1699" s="0" t="n">
        <f aca="false">IF(N1699="","",IFERROR(VALUE(SUBSTITUTE(SUBSTITUTE(N1699," btl",""),".","")),""))</f>
        <v>17</v>
      </c>
      <c r="P1699" s="0" t="str">
        <f aca="false">IF(B1699="PRODUKSI","produced","reject")</f>
        <v>reject</v>
      </c>
    </row>
    <row r="1700" customFormat="false" ht="15" hidden="false" customHeight="false" outlineLevel="0" collapsed="false">
      <c r="A1700" s="0" t="n">
        <v>1699</v>
      </c>
      <c r="B1700" s="0" t="str">
        <f aca="false">IF(A1700&lt;=36*25,"PRODUKSI","REJECT")</f>
        <v>REJECT</v>
      </c>
      <c r="C1700" s="0" t="n">
        <f aca="false">MOD(A1700-1,Pemetaan!$B$3*Pemetaan!$B$4)</f>
        <v>798</v>
      </c>
      <c r="D1700" s="0" t="n">
        <f aca="false">INT(C1700/Pemetaan!$B$4)</f>
        <v>31</v>
      </c>
      <c r="E1700" s="0" t="n">
        <f aca="false">MOD(C1700,Pemetaan!$B$4)</f>
        <v>23</v>
      </c>
      <c r="F1700" s="0" t="n">
        <f aca="false">IF(B1700="PRODUKSI",Pemetaan!$B$5,Pemetaan!$B$6)</f>
        <v>46</v>
      </c>
      <c r="G1700" s="0" t="n">
        <f aca="false">F1700+2+D1700</f>
        <v>79</v>
      </c>
      <c r="H1700" s="0" t="n">
        <f aca="false">Pemetaan!$B$2+E1700</f>
        <v>28</v>
      </c>
      <c r="I1700" s="0" t="str">
        <f aca="false">INDEX(Laporan!$A$1:$AZ$300,G1700,1)</f>
        <v>Mixing</v>
      </c>
      <c r="J1700" s="0" t="str">
        <f aca="false">INDEX(Laporan!$A$1:$AZ$300,G1700,2)</f>
        <v>1,5 L</v>
      </c>
      <c r="K1700" s="0" t="str">
        <f aca="false">INDEX(Laporan!$A$1:$AZ$300,G1700,3)</f>
        <v>Shift 1</v>
      </c>
      <c r="L1700" s="0" t="n">
        <f aca="false">INDEX(Laporan!$A$1:$AZ$300,G1700,4)</f>
        <v>2</v>
      </c>
      <c r="M1700" s="1" t="n">
        <f aca="false">DATE(Pemetaan!$B$1,VALUE(RIGHT(INDEX(Laporan!$A$1:$AZ$300,F1700+1,H1700),2)),VALUE(LEFT(INDEX(Laporan!$A$1:$AZ$300,F1700+1,H1700),2)))</f>
        <v>46114</v>
      </c>
      <c r="N1700" s="0" t="n">
        <f aca="false">INDEX(Laporan!$A$1:$AZ$300,G1700,H1700)</f>
        <v>11</v>
      </c>
      <c r="O1700" s="0" t="n">
        <f aca="false">IF(N1700="","",IFERROR(VALUE(SUBSTITUTE(SUBSTITUTE(N1700," btl",""),".","")),""))</f>
        <v>11</v>
      </c>
      <c r="P1700" s="0" t="str">
        <f aca="false">IF(B1700="PRODUKSI","produced","reject")</f>
        <v>reject</v>
      </c>
    </row>
    <row r="1701" customFormat="false" ht="15" hidden="false" customHeight="false" outlineLevel="0" collapsed="false">
      <c r="A1701" s="0" t="n">
        <v>1700</v>
      </c>
      <c r="B1701" s="0" t="str">
        <f aca="false">IF(A1701&lt;=36*25,"PRODUKSI","REJECT")</f>
        <v>REJECT</v>
      </c>
      <c r="C1701" s="0" t="n">
        <f aca="false">MOD(A1701-1,Pemetaan!$B$3*Pemetaan!$B$4)</f>
        <v>799</v>
      </c>
      <c r="D1701" s="0" t="n">
        <f aca="false">INT(C1701/Pemetaan!$B$4)</f>
        <v>31</v>
      </c>
      <c r="E1701" s="0" t="n">
        <f aca="false">MOD(C1701,Pemetaan!$B$4)</f>
        <v>24</v>
      </c>
      <c r="F1701" s="0" t="n">
        <f aca="false">IF(B1701="PRODUKSI",Pemetaan!$B$5,Pemetaan!$B$6)</f>
        <v>46</v>
      </c>
      <c r="G1701" s="0" t="n">
        <f aca="false">F1701+2+D1701</f>
        <v>79</v>
      </c>
      <c r="H1701" s="0" t="n">
        <f aca="false">Pemetaan!$B$2+E1701</f>
        <v>29</v>
      </c>
      <c r="I1701" s="0" t="str">
        <f aca="false">INDEX(Laporan!$A$1:$AZ$300,G1701,1)</f>
        <v>Mixing</v>
      </c>
      <c r="J1701" s="0" t="str">
        <f aca="false">INDEX(Laporan!$A$1:$AZ$300,G1701,2)</f>
        <v>1,5 L</v>
      </c>
      <c r="K1701" s="0" t="str">
        <f aca="false">INDEX(Laporan!$A$1:$AZ$300,G1701,3)</f>
        <v>Shift 1</v>
      </c>
      <c r="L1701" s="0" t="n">
        <f aca="false">INDEX(Laporan!$A$1:$AZ$300,G1701,4)</f>
        <v>2</v>
      </c>
      <c r="M1701" s="1" t="n">
        <f aca="false">DATE(Pemetaan!$B$1,VALUE(RIGHT(INDEX(Laporan!$A$1:$AZ$300,F1701+1,H1701),2)),VALUE(LEFT(INDEX(Laporan!$A$1:$AZ$300,F1701+1,H1701),2)))</f>
        <v>46115</v>
      </c>
      <c r="N1701" s="0" t="n">
        <f aca="false">INDEX(Laporan!$A$1:$AZ$300,G1701,H1701)</f>
        <v>10</v>
      </c>
      <c r="O1701" s="0" t="n">
        <f aca="false">IF(N1701="","",IFERROR(VALUE(SUBSTITUTE(SUBSTITUTE(N1701," btl",""),".","")),""))</f>
        <v>10</v>
      </c>
      <c r="P1701" s="0" t="str">
        <f aca="false">IF(B1701="PRODUKSI","produced","reject")</f>
        <v>reject</v>
      </c>
    </row>
    <row r="1702" customFormat="false" ht="15" hidden="false" customHeight="false" outlineLevel="0" collapsed="false">
      <c r="A1702" s="0" t="n">
        <v>1701</v>
      </c>
      <c r="B1702" s="0" t="str">
        <f aca="false">IF(A1702&lt;=36*25,"PRODUKSI","REJECT")</f>
        <v>REJECT</v>
      </c>
      <c r="C1702" s="0" t="n">
        <f aca="false">MOD(A1702-1,Pemetaan!$B$3*Pemetaan!$B$4)</f>
        <v>800</v>
      </c>
      <c r="D1702" s="0" t="n">
        <f aca="false">INT(C1702/Pemetaan!$B$4)</f>
        <v>32</v>
      </c>
      <c r="E1702" s="0" t="n">
        <f aca="false">MOD(C1702,Pemetaan!$B$4)</f>
        <v>0</v>
      </c>
      <c r="F1702" s="0" t="n">
        <f aca="false">IF(B1702="PRODUKSI",Pemetaan!$B$5,Pemetaan!$B$6)</f>
        <v>46</v>
      </c>
      <c r="G1702" s="0" t="n">
        <f aca="false">F1702+2+D1702</f>
        <v>80</v>
      </c>
      <c r="H1702" s="0" t="n">
        <f aca="false">Pemetaan!$B$2+E1702</f>
        <v>5</v>
      </c>
      <c r="I1702" s="0" t="str">
        <f aca="false">INDEX(Laporan!$A$1:$AZ$300,G1702,1)</f>
        <v>Mixing</v>
      </c>
      <c r="J1702" s="0" t="str">
        <f aca="false">INDEX(Laporan!$A$1:$AZ$300,G1702,2)</f>
        <v>1,5 L</v>
      </c>
      <c r="K1702" s="0" t="str">
        <f aca="false">INDEX(Laporan!$A$1:$AZ$300,G1702,3)</f>
        <v>Shift 1</v>
      </c>
      <c r="L1702" s="0" t="n">
        <f aca="false">INDEX(Laporan!$A$1:$AZ$300,G1702,4)</f>
        <v>3</v>
      </c>
      <c r="M1702" s="1" t="n">
        <f aca="false">DATE(Pemetaan!$B$1,VALUE(RIGHT(INDEX(Laporan!$A$1:$AZ$300,F1702+1,H1702),2)),VALUE(LEFT(INDEX(Laporan!$A$1:$AZ$300,F1702+1,H1702),2)))</f>
        <v>46083</v>
      </c>
      <c r="N1702" s="0" t="n">
        <f aca="false">INDEX(Laporan!$A$1:$AZ$300,G1702,H1702)</f>
        <v>14</v>
      </c>
      <c r="O1702" s="0" t="n">
        <f aca="false">IF(N1702="","",IFERROR(VALUE(SUBSTITUTE(SUBSTITUTE(N1702," btl",""),".","")),""))</f>
        <v>14</v>
      </c>
      <c r="P1702" s="0" t="str">
        <f aca="false">IF(B1702="PRODUKSI","produced","reject")</f>
        <v>reject</v>
      </c>
    </row>
    <row r="1703" customFormat="false" ht="15" hidden="false" customHeight="false" outlineLevel="0" collapsed="false">
      <c r="A1703" s="0" t="n">
        <v>1702</v>
      </c>
      <c r="B1703" s="0" t="str">
        <f aca="false">IF(A1703&lt;=36*25,"PRODUKSI","REJECT")</f>
        <v>REJECT</v>
      </c>
      <c r="C1703" s="0" t="n">
        <f aca="false">MOD(A1703-1,Pemetaan!$B$3*Pemetaan!$B$4)</f>
        <v>801</v>
      </c>
      <c r="D1703" s="0" t="n">
        <f aca="false">INT(C1703/Pemetaan!$B$4)</f>
        <v>32</v>
      </c>
      <c r="E1703" s="0" t="n">
        <f aca="false">MOD(C1703,Pemetaan!$B$4)</f>
        <v>1</v>
      </c>
      <c r="F1703" s="0" t="n">
        <f aca="false">IF(B1703="PRODUKSI",Pemetaan!$B$5,Pemetaan!$B$6)</f>
        <v>46</v>
      </c>
      <c r="G1703" s="0" t="n">
        <f aca="false">F1703+2+D1703</f>
        <v>80</v>
      </c>
      <c r="H1703" s="0" t="n">
        <f aca="false">Pemetaan!$B$2+E1703</f>
        <v>6</v>
      </c>
      <c r="I1703" s="0" t="str">
        <f aca="false">INDEX(Laporan!$A$1:$AZ$300,G1703,1)</f>
        <v>Mixing</v>
      </c>
      <c r="J1703" s="0" t="str">
        <f aca="false">INDEX(Laporan!$A$1:$AZ$300,G1703,2)</f>
        <v>1,5 L</v>
      </c>
      <c r="K1703" s="0" t="str">
        <f aca="false">INDEX(Laporan!$A$1:$AZ$300,G1703,3)</f>
        <v>Shift 1</v>
      </c>
      <c r="L1703" s="0" t="n">
        <f aca="false">INDEX(Laporan!$A$1:$AZ$300,G1703,4)</f>
        <v>3</v>
      </c>
      <c r="M1703" s="1" t="n">
        <f aca="false">DATE(Pemetaan!$B$1,VALUE(RIGHT(INDEX(Laporan!$A$1:$AZ$300,F1703+1,H1703),2)),VALUE(LEFT(INDEX(Laporan!$A$1:$AZ$300,F1703+1,H1703),2)))</f>
        <v>46084</v>
      </c>
      <c r="N1703" s="0" t="n">
        <f aca="false">INDEX(Laporan!$A$1:$AZ$300,G1703,H1703)</f>
        <v>11</v>
      </c>
      <c r="O1703" s="0" t="n">
        <f aca="false">IF(N1703="","",IFERROR(VALUE(SUBSTITUTE(SUBSTITUTE(N1703," btl",""),".","")),""))</f>
        <v>11</v>
      </c>
      <c r="P1703" s="0" t="str">
        <f aca="false">IF(B1703="PRODUKSI","produced","reject")</f>
        <v>reject</v>
      </c>
    </row>
    <row r="1704" customFormat="false" ht="15" hidden="false" customHeight="false" outlineLevel="0" collapsed="false">
      <c r="A1704" s="0" t="n">
        <v>1703</v>
      </c>
      <c r="B1704" s="0" t="str">
        <f aca="false">IF(A1704&lt;=36*25,"PRODUKSI","REJECT")</f>
        <v>REJECT</v>
      </c>
      <c r="C1704" s="0" t="n">
        <f aca="false">MOD(A1704-1,Pemetaan!$B$3*Pemetaan!$B$4)</f>
        <v>802</v>
      </c>
      <c r="D1704" s="0" t="n">
        <f aca="false">INT(C1704/Pemetaan!$B$4)</f>
        <v>32</v>
      </c>
      <c r="E1704" s="0" t="n">
        <f aca="false">MOD(C1704,Pemetaan!$B$4)</f>
        <v>2</v>
      </c>
      <c r="F1704" s="0" t="n">
        <f aca="false">IF(B1704="PRODUKSI",Pemetaan!$B$5,Pemetaan!$B$6)</f>
        <v>46</v>
      </c>
      <c r="G1704" s="0" t="n">
        <f aca="false">F1704+2+D1704</f>
        <v>80</v>
      </c>
      <c r="H1704" s="0" t="n">
        <f aca="false">Pemetaan!$B$2+E1704</f>
        <v>7</v>
      </c>
      <c r="I1704" s="0" t="str">
        <f aca="false">INDEX(Laporan!$A$1:$AZ$300,G1704,1)</f>
        <v>Mixing</v>
      </c>
      <c r="J1704" s="0" t="str">
        <f aca="false">INDEX(Laporan!$A$1:$AZ$300,G1704,2)</f>
        <v>1,5 L</v>
      </c>
      <c r="K1704" s="0" t="str">
        <f aca="false">INDEX(Laporan!$A$1:$AZ$300,G1704,3)</f>
        <v>Shift 1</v>
      </c>
      <c r="L1704" s="0" t="n">
        <f aca="false">INDEX(Laporan!$A$1:$AZ$300,G1704,4)</f>
        <v>3</v>
      </c>
      <c r="M1704" s="1" t="n">
        <f aca="false">DATE(Pemetaan!$B$1,VALUE(RIGHT(INDEX(Laporan!$A$1:$AZ$300,F1704+1,H1704),2)),VALUE(LEFT(INDEX(Laporan!$A$1:$AZ$300,F1704+1,H1704),2)))</f>
        <v>46085</v>
      </c>
      <c r="N1704" s="0" t="n">
        <f aca="false">INDEX(Laporan!$A$1:$AZ$300,G1704,H1704)</f>
        <v>3</v>
      </c>
      <c r="O1704" s="0" t="n">
        <f aca="false">IF(N1704="","",IFERROR(VALUE(SUBSTITUTE(SUBSTITUTE(N1704," btl",""),".","")),""))</f>
        <v>3</v>
      </c>
      <c r="P1704" s="0" t="str">
        <f aca="false">IF(B1704="PRODUKSI","produced","reject")</f>
        <v>reject</v>
      </c>
    </row>
    <row r="1705" customFormat="false" ht="15" hidden="false" customHeight="false" outlineLevel="0" collapsed="false">
      <c r="A1705" s="0" t="n">
        <v>1704</v>
      </c>
      <c r="B1705" s="0" t="str">
        <f aca="false">IF(A1705&lt;=36*25,"PRODUKSI","REJECT")</f>
        <v>REJECT</v>
      </c>
      <c r="C1705" s="0" t="n">
        <f aca="false">MOD(A1705-1,Pemetaan!$B$3*Pemetaan!$B$4)</f>
        <v>803</v>
      </c>
      <c r="D1705" s="0" t="n">
        <f aca="false">INT(C1705/Pemetaan!$B$4)</f>
        <v>32</v>
      </c>
      <c r="E1705" s="0" t="n">
        <f aca="false">MOD(C1705,Pemetaan!$B$4)</f>
        <v>3</v>
      </c>
      <c r="F1705" s="0" t="n">
        <f aca="false">IF(B1705="PRODUKSI",Pemetaan!$B$5,Pemetaan!$B$6)</f>
        <v>46</v>
      </c>
      <c r="G1705" s="0" t="n">
        <f aca="false">F1705+2+D1705</f>
        <v>80</v>
      </c>
      <c r="H1705" s="0" t="n">
        <f aca="false">Pemetaan!$B$2+E1705</f>
        <v>8</v>
      </c>
      <c r="I1705" s="0" t="str">
        <f aca="false">INDEX(Laporan!$A$1:$AZ$300,G1705,1)</f>
        <v>Mixing</v>
      </c>
      <c r="J1705" s="0" t="str">
        <f aca="false">INDEX(Laporan!$A$1:$AZ$300,G1705,2)</f>
        <v>1,5 L</v>
      </c>
      <c r="K1705" s="0" t="str">
        <f aca="false">INDEX(Laporan!$A$1:$AZ$300,G1705,3)</f>
        <v>Shift 1</v>
      </c>
      <c r="L1705" s="0" t="n">
        <f aca="false">INDEX(Laporan!$A$1:$AZ$300,G1705,4)</f>
        <v>3</v>
      </c>
      <c r="M1705" s="1" t="n">
        <f aca="false">DATE(Pemetaan!$B$1,VALUE(RIGHT(INDEX(Laporan!$A$1:$AZ$300,F1705+1,H1705),2)),VALUE(LEFT(INDEX(Laporan!$A$1:$AZ$300,F1705+1,H1705),2)))</f>
        <v>46086</v>
      </c>
      <c r="N1705" s="0" t="n">
        <f aca="false">INDEX(Laporan!$A$1:$AZ$300,G1705,H1705)</f>
        <v>9</v>
      </c>
      <c r="O1705" s="0" t="n">
        <f aca="false">IF(N1705="","",IFERROR(VALUE(SUBSTITUTE(SUBSTITUTE(N1705," btl",""),".","")),""))</f>
        <v>9</v>
      </c>
      <c r="P1705" s="0" t="str">
        <f aca="false">IF(B1705="PRODUKSI","produced","reject")</f>
        <v>reject</v>
      </c>
    </row>
    <row r="1706" customFormat="false" ht="15" hidden="false" customHeight="false" outlineLevel="0" collapsed="false">
      <c r="A1706" s="0" t="n">
        <v>1705</v>
      </c>
      <c r="B1706" s="0" t="str">
        <f aca="false">IF(A1706&lt;=36*25,"PRODUKSI","REJECT")</f>
        <v>REJECT</v>
      </c>
      <c r="C1706" s="0" t="n">
        <f aca="false">MOD(A1706-1,Pemetaan!$B$3*Pemetaan!$B$4)</f>
        <v>804</v>
      </c>
      <c r="D1706" s="0" t="n">
        <f aca="false">INT(C1706/Pemetaan!$B$4)</f>
        <v>32</v>
      </c>
      <c r="E1706" s="0" t="n">
        <f aca="false">MOD(C1706,Pemetaan!$B$4)</f>
        <v>4</v>
      </c>
      <c r="F1706" s="0" t="n">
        <f aca="false">IF(B1706="PRODUKSI",Pemetaan!$B$5,Pemetaan!$B$6)</f>
        <v>46</v>
      </c>
      <c r="G1706" s="0" t="n">
        <f aca="false">F1706+2+D1706</f>
        <v>80</v>
      </c>
      <c r="H1706" s="0" t="n">
        <f aca="false">Pemetaan!$B$2+E1706</f>
        <v>9</v>
      </c>
      <c r="I1706" s="0" t="str">
        <f aca="false">INDEX(Laporan!$A$1:$AZ$300,G1706,1)</f>
        <v>Mixing</v>
      </c>
      <c r="J1706" s="0" t="str">
        <f aca="false">INDEX(Laporan!$A$1:$AZ$300,G1706,2)</f>
        <v>1,5 L</v>
      </c>
      <c r="K1706" s="0" t="str">
        <f aca="false">INDEX(Laporan!$A$1:$AZ$300,G1706,3)</f>
        <v>Shift 1</v>
      </c>
      <c r="L1706" s="0" t="n">
        <f aca="false">INDEX(Laporan!$A$1:$AZ$300,G1706,4)</f>
        <v>3</v>
      </c>
      <c r="M1706" s="1" t="n">
        <f aca="false">DATE(Pemetaan!$B$1,VALUE(RIGHT(INDEX(Laporan!$A$1:$AZ$300,F1706+1,H1706),2)),VALUE(LEFT(INDEX(Laporan!$A$1:$AZ$300,F1706+1,H1706),2)))</f>
        <v>46087</v>
      </c>
      <c r="N1706" s="0" t="n">
        <f aca="false">INDEX(Laporan!$A$1:$AZ$300,G1706,H1706)</f>
        <v>12</v>
      </c>
      <c r="O1706" s="0" t="n">
        <f aca="false">IF(N1706="","",IFERROR(VALUE(SUBSTITUTE(SUBSTITUTE(N1706," btl",""),".","")),""))</f>
        <v>12</v>
      </c>
      <c r="P1706" s="0" t="str">
        <f aca="false">IF(B1706="PRODUKSI","produced","reject")</f>
        <v>reject</v>
      </c>
    </row>
    <row r="1707" customFormat="false" ht="15" hidden="false" customHeight="false" outlineLevel="0" collapsed="false">
      <c r="A1707" s="0" t="n">
        <v>1706</v>
      </c>
      <c r="B1707" s="0" t="str">
        <f aca="false">IF(A1707&lt;=36*25,"PRODUKSI","REJECT")</f>
        <v>REJECT</v>
      </c>
      <c r="C1707" s="0" t="n">
        <f aca="false">MOD(A1707-1,Pemetaan!$B$3*Pemetaan!$B$4)</f>
        <v>805</v>
      </c>
      <c r="D1707" s="0" t="n">
        <f aca="false">INT(C1707/Pemetaan!$B$4)</f>
        <v>32</v>
      </c>
      <c r="E1707" s="0" t="n">
        <f aca="false">MOD(C1707,Pemetaan!$B$4)</f>
        <v>5</v>
      </c>
      <c r="F1707" s="0" t="n">
        <f aca="false">IF(B1707="PRODUKSI",Pemetaan!$B$5,Pemetaan!$B$6)</f>
        <v>46</v>
      </c>
      <c r="G1707" s="0" t="n">
        <f aca="false">F1707+2+D1707</f>
        <v>80</v>
      </c>
      <c r="H1707" s="0" t="n">
        <f aca="false">Pemetaan!$B$2+E1707</f>
        <v>10</v>
      </c>
      <c r="I1707" s="0" t="str">
        <f aca="false">INDEX(Laporan!$A$1:$AZ$300,G1707,1)</f>
        <v>Mixing</v>
      </c>
      <c r="J1707" s="0" t="str">
        <f aca="false">INDEX(Laporan!$A$1:$AZ$300,G1707,2)</f>
        <v>1,5 L</v>
      </c>
      <c r="K1707" s="0" t="str">
        <f aca="false">INDEX(Laporan!$A$1:$AZ$300,G1707,3)</f>
        <v>Shift 1</v>
      </c>
      <c r="L1707" s="0" t="n">
        <f aca="false">INDEX(Laporan!$A$1:$AZ$300,G1707,4)</f>
        <v>3</v>
      </c>
      <c r="M1707" s="1" t="n">
        <f aca="false">DATE(Pemetaan!$B$1,VALUE(RIGHT(INDEX(Laporan!$A$1:$AZ$300,F1707+1,H1707),2)),VALUE(LEFT(INDEX(Laporan!$A$1:$AZ$300,F1707+1,H1707),2)))</f>
        <v>46090</v>
      </c>
      <c r="N1707" s="0" t="n">
        <f aca="false">INDEX(Laporan!$A$1:$AZ$300,G1707,H1707)</f>
        <v>11</v>
      </c>
      <c r="O1707" s="0" t="n">
        <f aca="false">IF(N1707="","",IFERROR(VALUE(SUBSTITUTE(SUBSTITUTE(N1707," btl",""),".","")),""))</f>
        <v>11</v>
      </c>
      <c r="P1707" s="0" t="str">
        <f aca="false">IF(B1707="PRODUKSI","produced","reject")</f>
        <v>reject</v>
      </c>
    </row>
    <row r="1708" customFormat="false" ht="15" hidden="false" customHeight="false" outlineLevel="0" collapsed="false">
      <c r="A1708" s="0" t="n">
        <v>1707</v>
      </c>
      <c r="B1708" s="0" t="str">
        <f aca="false">IF(A1708&lt;=36*25,"PRODUKSI","REJECT")</f>
        <v>REJECT</v>
      </c>
      <c r="C1708" s="0" t="n">
        <f aca="false">MOD(A1708-1,Pemetaan!$B$3*Pemetaan!$B$4)</f>
        <v>806</v>
      </c>
      <c r="D1708" s="0" t="n">
        <f aca="false">INT(C1708/Pemetaan!$B$4)</f>
        <v>32</v>
      </c>
      <c r="E1708" s="0" t="n">
        <f aca="false">MOD(C1708,Pemetaan!$B$4)</f>
        <v>6</v>
      </c>
      <c r="F1708" s="0" t="n">
        <f aca="false">IF(B1708="PRODUKSI",Pemetaan!$B$5,Pemetaan!$B$6)</f>
        <v>46</v>
      </c>
      <c r="G1708" s="0" t="n">
        <f aca="false">F1708+2+D1708</f>
        <v>80</v>
      </c>
      <c r="H1708" s="0" t="n">
        <f aca="false">Pemetaan!$B$2+E1708</f>
        <v>11</v>
      </c>
      <c r="I1708" s="0" t="str">
        <f aca="false">INDEX(Laporan!$A$1:$AZ$300,G1708,1)</f>
        <v>Mixing</v>
      </c>
      <c r="J1708" s="0" t="str">
        <f aca="false">INDEX(Laporan!$A$1:$AZ$300,G1708,2)</f>
        <v>1,5 L</v>
      </c>
      <c r="K1708" s="0" t="str">
        <f aca="false">INDEX(Laporan!$A$1:$AZ$300,G1708,3)</f>
        <v>Shift 1</v>
      </c>
      <c r="L1708" s="0" t="n">
        <f aca="false">INDEX(Laporan!$A$1:$AZ$300,G1708,4)</f>
        <v>3</v>
      </c>
      <c r="M1708" s="1" t="n">
        <f aca="false">DATE(Pemetaan!$B$1,VALUE(RIGHT(INDEX(Laporan!$A$1:$AZ$300,F1708+1,H1708),2)),VALUE(LEFT(INDEX(Laporan!$A$1:$AZ$300,F1708+1,H1708),2)))</f>
        <v>46091</v>
      </c>
      <c r="N1708" s="0" t="n">
        <f aca="false">INDEX(Laporan!$A$1:$AZ$300,G1708,H1708)</f>
        <v>7</v>
      </c>
      <c r="O1708" s="0" t="n">
        <f aca="false">IF(N1708="","",IFERROR(VALUE(SUBSTITUTE(SUBSTITUTE(N1708," btl",""),".","")),""))</f>
        <v>7</v>
      </c>
      <c r="P1708" s="0" t="str">
        <f aca="false">IF(B1708="PRODUKSI","produced","reject")</f>
        <v>reject</v>
      </c>
    </row>
    <row r="1709" customFormat="false" ht="15" hidden="false" customHeight="false" outlineLevel="0" collapsed="false">
      <c r="A1709" s="0" t="n">
        <v>1708</v>
      </c>
      <c r="B1709" s="0" t="str">
        <f aca="false">IF(A1709&lt;=36*25,"PRODUKSI","REJECT")</f>
        <v>REJECT</v>
      </c>
      <c r="C1709" s="0" t="n">
        <f aca="false">MOD(A1709-1,Pemetaan!$B$3*Pemetaan!$B$4)</f>
        <v>807</v>
      </c>
      <c r="D1709" s="0" t="n">
        <f aca="false">INT(C1709/Pemetaan!$B$4)</f>
        <v>32</v>
      </c>
      <c r="E1709" s="0" t="n">
        <f aca="false">MOD(C1709,Pemetaan!$B$4)</f>
        <v>7</v>
      </c>
      <c r="F1709" s="0" t="n">
        <f aca="false">IF(B1709="PRODUKSI",Pemetaan!$B$5,Pemetaan!$B$6)</f>
        <v>46</v>
      </c>
      <c r="G1709" s="0" t="n">
        <f aca="false">F1709+2+D1709</f>
        <v>80</v>
      </c>
      <c r="H1709" s="0" t="n">
        <f aca="false">Pemetaan!$B$2+E1709</f>
        <v>12</v>
      </c>
      <c r="I1709" s="0" t="str">
        <f aca="false">INDEX(Laporan!$A$1:$AZ$300,G1709,1)</f>
        <v>Mixing</v>
      </c>
      <c r="J1709" s="0" t="str">
        <f aca="false">INDEX(Laporan!$A$1:$AZ$300,G1709,2)</f>
        <v>1,5 L</v>
      </c>
      <c r="K1709" s="0" t="str">
        <f aca="false">INDEX(Laporan!$A$1:$AZ$300,G1709,3)</f>
        <v>Shift 1</v>
      </c>
      <c r="L1709" s="0" t="n">
        <f aca="false">INDEX(Laporan!$A$1:$AZ$300,G1709,4)</f>
        <v>3</v>
      </c>
      <c r="M1709" s="1" t="n">
        <f aca="false">DATE(Pemetaan!$B$1,VALUE(RIGHT(INDEX(Laporan!$A$1:$AZ$300,F1709+1,H1709),2)),VALUE(LEFT(INDEX(Laporan!$A$1:$AZ$300,F1709+1,H1709),2)))</f>
        <v>46092</v>
      </c>
      <c r="N1709" s="0" t="n">
        <f aca="false">INDEX(Laporan!$A$1:$AZ$300,G1709,H1709)</f>
        <v>14</v>
      </c>
      <c r="O1709" s="0" t="n">
        <f aca="false">IF(N1709="","",IFERROR(VALUE(SUBSTITUTE(SUBSTITUTE(N1709," btl",""),".","")),""))</f>
        <v>14</v>
      </c>
      <c r="P1709" s="0" t="str">
        <f aca="false">IF(B1709="PRODUKSI","produced","reject")</f>
        <v>reject</v>
      </c>
    </row>
    <row r="1710" customFormat="false" ht="15" hidden="false" customHeight="false" outlineLevel="0" collapsed="false">
      <c r="A1710" s="0" t="n">
        <v>1709</v>
      </c>
      <c r="B1710" s="0" t="str">
        <f aca="false">IF(A1710&lt;=36*25,"PRODUKSI","REJECT")</f>
        <v>REJECT</v>
      </c>
      <c r="C1710" s="0" t="n">
        <f aca="false">MOD(A1710-1,Pemetaan!$B$3*Pemetaan!$B$4)</f>
        <v>808</v>
      </c>
      <c r="D1710" s="0" t="n">
        <f aca="false">INT(C1710/Pemetaan!$B$4)</f>
        <v>32</v>
      </c>
      <c r="E1710" s="0" t="n">
        <f aca="false">MOD(C1710,Pemetaan!$B$4)</f>
        <v>8</v>
      </c>
      <c r="F1710" s="0" t="n">
        <f aca="false">IF(B1710="PRODUKSI",Pemetaan!$B$5,Pemetaan!$B$6)</f>
        <v>46</v>
      </c>
      <c r="G1710" s="0" t="n">
        <f aca="false">F1710+2+D1710</f>
        <v>80</v>
      </c>
      <c r="H1710" s="0" t="n">
        <f aca="false">Pemetaan!$B$2+E1710</f>
        <v>13</v>
      </c>
      <c r="I1710" s="0" t="str">
        <f aca="false">INDEX(Laporan!$A$1:$AZ$300,G1710,1)</f>
        <v>Mixing</v>
      </c>
      <c r="J1710" s="0" t="str">
        <f aca="false">INDEX(Laporan!$A$1:$AZ$300,G1710,2)</f>
        <v>1,5 L</v>
      </c>
      <c r="K1710" s="0" t="str">
        <f aca="false">INDEX(Laporan!$A$1:$AZ$300,G1710,3)</f>
        <v>Shift 1</v>
      </c>
      <c r="L1710" s="0" t="n">
        <f aca="false">INDEX(Laporan!$A$1:$AZ$300,G1710,4)</f>
        <v>3</v>
      </c>
      <c r="M1710" s="1" t="n">
        <f aca="false">DATE(Pemetaan!$B$1,VALUE(RIGHT(INDEX(Laporan!$A$1:$AZ$300,F1710+1,H1710),2)),VALUE(LEFT(INDEX(Laporan!$A$1:$AZ$300,F1710+1,H1710),2)))</f>
        <v>46093</v>
      </c>
      <c r="N1710" s="0" t="n">
        <f aca="false">INDEX(Laporan!$A$1:$AZ$300,G1710,H1710)</f>
        <v>7</v>
      </c>
      <c r="O1710" s="0" t="n">
        <f aca="false">IF(N1710="","",IFERROR(VALUE(SUBSTITUTE(SUBSTITUTE(N1710," btl",""),".","")),""))</f>
        <v>7</v>
      </c>
      <c r="P1710" s="0" t="str">
        <f aca="false">IF(B1710="PRODUKSI","produced","reject")</f>
        <v>reject</v>
      </c>
    </row>
    <row r="1711" customFormat="false" ht="15" hidden="false" customHeight="false" outlineLevel="0" collapsed="false">
      <c r="A1711" s="0" t="n">
        <v>1710</v>
      </c>
      <c r="B1711" s="0" t="str">
        <f aca="false">IF(A1711&lt;=36*25,"PRODUKSI","REJECT")</f>
        <v>REJECT</v>
      </c>
      <c r="C1711" s="0" t="n">
        <f aca="false">MOD(A1711-1,Pemetaan!$B$3*Pemetaan!$B$4)</f>
        <v>809</v>
      </c>
      <c r="D1711" s="0" t="n">
        <f aca="false">INT(C1711/Pemetaan!$B$4)</f>
        <v>32</v>
      </c>
      <c r="E1711" s="0" t="n">
        <f aca="false">MOD(C1711,Pemetaan!$B$4)</f>
        <v>9</v>
      </c>
      <c r="F1711" s="0" t="n">
        <f aca="false">IF(B1711="PRODUKSI",Pemetaan!$B$5,Pemetaan!$B$6)</f>
        <v>46</v>
      </c>
      <c r="G1711" s="0" t="n">
        <f aca="false">F1711+2+D1711</f>
        <v>80</v>
      </c>
      <c r="H1711" s="0" t="n">
        <f aca="false">Pemetaan!$B$2+E1711</f>
        <v>14</v>
      </c>
      <c r="I1711" s="0" t="str">
        <f aca="false">INDEX(Laporan!$A$1:$AZ$300,G1711,1)</f>
        <v>Mixing</v>
      </c>
      <c r="J1711" s="0" t="str">
        <f aca="false">INDEX(Laporan!$A$1:$AZ$300,G1711,2)</f>
        <v>1,5 L</v>
      </c>
      <c r="K1711" s="0" t="str">
        <f aca="false">INDEX(Laporan!$A$1:$AZ$300,G1711,3)</f>
        <v>Shift 1</v>
      </c>
      <c r="L1711" s="0" t="n">
        <f aca="false">INDEX(Laporan!$A$1:$AZ$300,G1711,4)</f>
        <v>3</v>
      </c>
      <c r="M1711" s="1" t="n">
        <f aca="false">DATE(Pemetaan!$B$1,VALUE(RIGHT(INDEX(Laporan!$A$1:$AZ$300,F1711+1,H1711),2)),VALUE(LEFT(INDEX(Laporan!$A$1:$AZ$300,F1711+1,H1711),2)))</f>
        <v>46094</v>
      </c>
      <c r="N1711" s="0" t="n">
        <f aca="false">INDEX(Laporan!$A$1:$AZ$300,G1711,H1711)</f>
        <v>12</v>
      </c>
      <c r="O1711" s="0" t="n">
        <f aca="false">IF(N1711="","",IFERROR(VALUE(SUBSTITUTE(SUBSTITUTE(N1711," btl",""),".","")),""))</f>
        <v>12</v>
      </c>
      <c r="P1711" s="0" t="str">
        <f aca="false">IF(B1711="PRODUKSI","produced","reject")</f>
        <v>reject</v>
      </c>
    </row>
    <row r="1712" customFormat="false" ht="15" hidden="false" customHeight="false" outlineLevel="0" collapsed="false">
      <c r="A1712" s="0" t="n">
        <v>1711</v>
      </c>
      <c r="B1712" s="0" t="str">
        <f aca="false">IF(A1712&lt;=36*25,"PRODUKSI","REJECT")</f>
        <v>REJECT</v>
      </c>
      <c r="C1712" s="0" t="n">
        <f aca="false">MOD(A1712-1,Pemetaan!$B$3*Pemetaan!$B$4)</f>
        <v>810</v>
      </c>
      <c r="D1712" s="0" t="n">
        <f aca="false">INT(C1712/Pemetaan!$B$4)</f>
        <v>32</v>
      </c>
      <c r="E1712" s="0" t="n">
        <f aca="false">MOD(C1712,Pemetaan!$B$4)</f>
        <v>10</v>
      </c>
      <c r="F1712" s="0" t="n">
        <f aca="false">IF(B1712="PRODUKSI",Pemetaan!$B$5,Pemetaan!$B$6)</f>
        <v>46</v>
      </c>
      <c r="G1712" s="0" t="n">
        <f aca="false">F1712+2+D1712</f>
        <v>80</v>
      </c>
      <c r="H1712" s="0" t="n">
        <f aca="false">Pemetaan!$B$2+E1712</f>
        <v>15</v>
      </c>
      <c r="I1712" s="0" t="str">
        <f aca="false">INDEX(Laporan!$A$1:$AZ$300,G1712,1)</f>
        <v>Mixing</v>
      </c>
      <c r="J1712" s="0" t="str">
        <f aca="false">INDEX(Laporan!$A$1:$AZ$300,G1712,2)</f>
        <v>1,5 L</v>
      </c>
      <c r="K1712" s="0" t="str">
        <f aca="false">INDEX(Laporan!$A$1:$AZ$300,G1712,3)</f>
        <v>Shift 1</v>
      </c>
      <c r="L1712" s="0" t="n">
        <f aca="false">INDEX(Laporan!$A$1:$AZ$300,G1712,4)</f>
        <v>3</v>
      </c>
      <c r="M1712" s="1" t="n">
        <f aca="false">DATE(Pemetaan!$B$1,VALUE(RIGHT(INDEX(Laporan!$A$1:$AZ$300,F1712+1,H1712),2)),VALUE(LEFT(INDEX(Laporan!$A$1:$AZ$300,F1712+1,H1712),2)))</f>
        <v>46097</v>
      </c>
      <c r="N1712" s="0" t="n">
        <f aca="false">INDEX(Laporan!$A$1:$AZ$300,G1712,H1712)</f>
        <v>6</v>
      </c>
      <c r="O1712" s="0" t="n">
        <f aca="false">IF(N1712="","",IFERROR(VALUE(SUBSTITUTE(SUBSTITUTE(N1712," btl",""),".","")),""))</f>
        <v>6</v>
      </c>
      <c r="P1712" s="0" t="str">
        <f aca="false">IF(B1712="PRODUKSI","produced","reject")</f>
        <v>reject</v>
      </c>
    </row>
    <row r="1713" customFormat="false" ht="15" hidden="false" customHeight="false" outlineLevel="0" collapsed="false">
      <c r="A1713" s="0" t="n">
        <v>1712</v>
      </c>
      <c r="B1713" s="0" t="str">
        <f aca="false">IF(A1713&lt;=36*25,"PRODUKSI","REJECT")</f>
        <v>REJECT</v>
      </c>
      <c r="C1713" s="0" t="n">
        <f aca="false">MOD(A1713-1,Pemetaan!$B$3*Pemetaan!$B$4)</f>
        <v>811</v>
      </c>
      <c r="D1713" s="0" t="n">
        <f aca="false">INT(C1713/Pemetaan!$B$4)</f>
        <v>32</v>
      </c>
      <c r="E1713" s="0" t="n">
        <f aca="false">MOD(C1713,Pemetaan!$B$4)</f>
        <v>11</v>
      </c>
      <c r="F1713" s="0" t="n">
        <f aca="false">IF(B1713="PRODUKSI",Pemetaan!$B$5,Pemetaan!$B$6)</f>
        <v>46</v>
      </c>
      <c r="G1713" s="0" t="n">
        <f aca="false">F1713+2+D1713</f>
        <v>80</v>
      </c>
      <c r="H1713" s="0" t="n">
        <f aca="false">Pemetaan!$B$2+E1713</f>
        <v>16</v>
      </c>
      <c r="I1713" s="0" t="str">
        <f aca="false">INDEX(Laporan!$A$1:$AZ$300,G1713,1)</f>
        <v>Mixing</v>
      </c>
      <c r="J1713" s="0" t="str">
        <f aca="false">INDEX(Laporan!$A$1:$AZ$300,G1713,2)</f>
        <v>1,5 L</v>
      </c>
      <c r="K1713" s="0" t="str">
        <f aca="false">INDEX(Laporan!$A$1:$AZ$300,G1713,3)</f>
        <v>Shift 1</v>
      </c>
      <c r="L1713" s="0" t="n">
        <f aca="false">INDEX(Laporan!$A$1:$AZ$300,G1713,4)</f>
        <v>3</v>
      </c>
      <c r="M1713" s="1" t="n">
        <f aca="false">DATE(Pemetaan!$B$1,VALUE(RIGHT(INDEX(Laporan!$A$1:$AZ$300,F1713+1,H1713),2)),VALUE(LEFT(INDEX(Laporan!$A$1:$AZ$300,F1713+1,H1713),2)))</f>
        <v>46098</v>
      </c>
      <c r="N1713" s="0" t="n">
        <f aca="false">INDEX(Laporan!$A$1:$AZ$300,G1713,H1713)</f>
        <v>9</v>
      </c>
      <c r="O1713" s="0" t="n">
        <f aca="false">IF(N1713="","",IFERROR(VALUE(SUBSTITUTE(SUBSTITUTE(N1713," btl",""),".","")),""))</f>
        <v>9</v>
      </c>
      <c r="P1713" s="0" t="str">
        <f aca="false">IF(B1713="PRODUKSI","produced","reject")</f>
        <v>reject</v>
      </c>
    </row>
    <row r="1714" customFormat="false" ht="15" hidden="false" customHeight="false" outlineLevel="0" collapsed="false">
      <c r="A1714" s="0" t="n">
        <v>1713</v>
      </c>
      <c r="B1714" s="0" t="str">
        <f aca="false">IF(A1714&lt;=36*25,"PRODUKSI","REJECT")</f>
        <v>REJECT</v>
      </c>
      <c r="C1714" s="0" t="n">
        <f aca="false">MOD(A1714-1,Pemetaan!$B$3*Pemetaan!$B$4)</f>
        <v>812</v>
      </c>
      <c r="D1714" s="0" t="n">
        <f aca="false">INT(C1714/Pemetaan!$B$4)</f>
        <v>32</v>
      </c>
      <c r="E1714" s="0" t="n">
        <f aca="false">MOD(C1714,Pemetaan!$B$4)</f>
        <v>12</v>
      </c>
      <c r="F1714" s="0" t="n">
        <f aca="false">IF(B1714="PRODUKSI",Pemetaan!$B$5,Pemetaan!$B$6)</f>
        <v>46</v>
      </c>
      <c r="G1714" s="0" t="n">
        <f aca="false">F1714+2+D1714</f>
        <v>80</v>
      </c>
      <c r="H1714" s="0" t="n">
        <f aca="false">Pemetaan!$B$2+E1714</f>
        <v>17</v>
      </c>
      <c r="I1714" s="0" t="str">
        <f aca="false">INDEX(Laporan!$A$1:$AZ$300,G1714,1)</f>
        <v>Mixing</v>
      </c>
      <c r="J1714" s="0" t="str">
        <f aca="false">INDEX(Laporan!$A$1:$AZ$300,G1714,2)</f>
        <v>1,5 L</v>
      </c>
      <c r="K1714" s="0" t="str">
        <f aca="false">INDEX(Laporan!$A$1:$AZ$300,G1714,3)</f>
        <v>Shift 1</v>
      </c>
      <c r="L1714" s="0" t="n">
        <f aca="false">INDEX(Laporan!$A$1:$AZ$300,G1714,4)</f>
        <v>3</v>
      </c>
      <c r="M1714" s="1" t="n">
        <f aca="false">DATE(Pemetaan!$B$1,VALUE(RIGHT(INDEX(Laporan!$A$1:$AZ$300,F1714+1,H1714),2)),VALUE(LEFT(INDEX(Laporan!$A$1:$AZ$300,F1714+1,H1714),2)))</f>
        <v>46099</v>
      </c>
      <c r="N1714" s="0" t="n">
        <f aca="false">INDEX(Laporan!$A$1:$AZ$300,G1714,H1714)</f>
        <v>10</v>
      </c>
      <c r="O1714" s="0" t="n">
        <f aca="false">IF(N1714="","",IFERROR(VALUE(SUBSTITUTE(SUBSTITUTE(N1714," btl",""),".","")),""))</f>
        <v>10</v>
      </c>
      <c r="P1714" s="0" t="str">
        <f aca="false">IF(B1714="PRODUKSI","produced","reject")</f>
        <v>reject</v>
      </c>
    </row>
    <row r="1715" customFormat="false" ht="15" hidden="false" customHeight="false" outlineLevel="0" collapsed="false">
      <c r="A1715" s="0" t="n">
        <v>1714</v>
      </c>
      <c r="B1715" s="0" t="str">
        <f aca="false">IF(A1715&lt;=36*25,"PRODUKSI","REJECT")</f>
        <v>REJECT</v>
      </c>
      <c r="C1715" s="0" t="n">
        <f aca="false">MOD(A1715-1,Pemetaan!$B$3*Pemetaan!$B$4)</f>
        <v>813</v>
      </c>
      <c r="D1715" s="0" t="n">
        <f aca="false">INT(C1715/Pemetaan!$B$4)</f>
        <v>32</v>
      </c>
      <c r="E1715" s="0" t="n">
        <f aca="false">MOD(C1715,Pemetaan!$B$4)</f>
        <v>13</v>
      </c>
      <c r="F1715" s="0" t="n">
        <f aca="false">IF(B1715="PRODUKSI",Pemetaan!$B$5,Pemetaan!$B$6)</f>
        <v>46</v>
      </c>
      <c r="G1715" s="0" t="n">
        <f aca="false">F1715+2+D1715</f>
        <v>80</v>
      </c>
      <c r="H1715" s="0" t="n">
        <f aca="false">Pemetaan!$B$2+E1715</f>
        <v>18</v>
      </c>
      <c r="I1715" s="0" t="str">
        <f aca="false">INDEX(Laporan!$A$1:$AZ$300,G1715,1)</f>
        <v>Mixing</v>
      </c>
      <c r="J1715" s="0" t="str">
        <f aca="false">INDEX(Laporan!$A$1:$AZ$300,G1715,2)</f>
        <v>1,5 L</v>
      </c>
      <c r="K1715" s="0" t="str">
        <f aca="false">INDEX(Laporan!$A$1:$AZ$300,G1715,3)</f>
        <v>Shift 1</v>
      </c>
      <c r="L1715" s="0" t="n">
        <f aca="false">INDEX(Laporan!$A$1:$AZ$300,G1715,4)</f>
        <v>3</v>
      </c>
      <c r="M1715" s="1" t="n">
        <f aca="false">DATE(Pemetaan!$B$1,VALUE(RIGHT(INDEX(Laporan!$A$1:$AZ$300,F1715+1,H1715),2)),VALUE(LEFT(INDEX(Laporan!$A$1:$AZ$300,F1715+1,H1715),2)))</f>
        <v>46100</v>
      </c>
      <c r="N1715" s="0" t="n">
        <f aca="false">INDEX(Laporan!$A$1:$AZ$300,G1715,H1715)</f>
        <v>6</v>
      </c>
      <c r="O1715" s="0" t="n">
        <f aca="false">IF(N1715="","",IFERROR(VALUE(SUBSTITUTE(SUBSTITUTE(N1715," btl",""),".","")),""))</f>
        <v>6</v>
      </c>
      <c r="P1715" s="0" t="str">
        <f aca="false">IF(B1715="PRODUKSI","produced","reject")</f>
        <v>reject</v>
      </c>
    </row>
    <row r="1716" customFormat="false" ht="15" hidden="false" customHeight="false" outlineLevel="0" collapsed="false">
      <c r="A1716" s="0" t="n">
        <v>1715</v>
      </c>
      <c r="B1716" s="0" t="str">
        <f aca="false">IF(A1716&lt;=36*25,"PRODUKSI","REJECT")</f>
        <v>REJECT</v>
      </c>
      <c r="C1716" s="0" t="n">
        <f aca="false">MOD(A1716-1,Pemetaan!$B$3*Pemetaan!$B$4)</f>
        <v>814</v>
      </c>
      <c r="D1716" s="0" t="n">
        <f aca="false">INT(C1716/Pemetaan!$B$4)</f>
        <v>32</v>
      </c>
      <c r="E1716" s="0" t="n">
        <f aca="false">MOD(C1716,Pemetaan!$B$4)</f>
        <v>14</v>
      </c>
      <c r="F1716" s="0" t="n">
        <f aca="false">IF(B1716="PRODUKSI",Pemetaan!$B$5,Pemetaan!$B$6)</f>
        <v>46</v>
      </c>
      <c r="G1716" s="0" t="n">
        <f aca="false">F1716+2+D1716</f>
        <v>80</v>
      </c>
      <c r="H1716" s="0" t="n">
        <f aca="false">Pemetaan!$B$2+E1716</f>
        <v>19</v>
      </c>
      <c r="I1716" s="0" t="str">
        <f aca="false">INDEX(Laporan!$A$1:$AZ$300,G1716,1)</f>
        <v>Mixing</v>
      </c>
      <c r="J1716" s="0" t="str">
        <f aca="false">INDEX(Laporan!$A$1:$AZ$300,G1716,2)</f>
        <v>1,5 L</v>
      </c>
      <c r="K1716" s="0" t="str">
        <f aca="false">INDEX(Laporan!$A$1:$AZ$300,G1716,3)</f>
        <v>Shift 1</v>
      </c>
      <c r="L1716" s="0" t="n">
        <f aca="false">INDEX(Laporan!$A$1:$AZ$300,G1716,4)</f>
        <v>3</v>
      </c>
      <c r="M1716" s="1" t="n">
        <f aca="false">DATE(Pemetaan!$B$1,VALUE(RIGHT(INDEX(Laporan!$A$1:$AZ$300,F1716+1,H1716),2)),VALUE(LEFT(INDEX(Laporan!$A$1:$AZ$300,F1716+1,H1716),2)))</f>
        <v>46101</v>
      </c>
      <c r="N1716" s="0" t="n">
        <f aca="false">INDEX(Laporan!$A$1:$AZ$300,G1716,H1716)</f>
        <v>11</v>
      </c>
      <c r="O1716" s="0" t="n">
        <f aca="false">IF(N1716="","",IFERROR(VALUE(SUBSTITUTE(SUBSTITUTE(N1716," btl",""),".","")),""))</f>
        <v>11</v>
      </c>
      <c r="P1716" s="0" t="str">
        <f aca="false">IF(B1716="PRODUKSI","produced","reject")</f>
        <v>reject</v>
      </c>
    </row>
    <row r="1717" customFormat="false" ht="15" hidden="false" customHeight="false" outlineLevel="0" collapsed="false">
      <c r="A1717" s="0" t="n">
        <v>1716</v>
      </c>
      <c r="B1717" s="0" t="str">
        <f aca="false">IF(A1717&lt;=36*25,"PRODUKSI","REJECT")</f>
        <v>REJECT</v>
      </c>
      <c r="C1717" s="0" t="n">
        <f aca="false">MOD(A1717-1,Pemetaan!$B$3*Pemetaan!$B$4)</f>
        <v>815</v>
      </c>
      <c r="D1717" s="0" t="n">
        <f aca="false">INT(C1717/Pemetaan!$B$4)</f>
        <v>32</v>
      </c>
      <c r="E1717" s="0" t="n">
        <f aca="false">MOD(C1717,Pemetaan!$B$4)</f>
        <v>15</v>
      </c>
      <c r="F1717" s="0" t="n">
        <f aca="false">IF(B1717="PRODUKSI",Pemetaan!$B$5,Pemetaan!$B$6)</f>
        <v>46</v>
      </c>
      <c r="G1717" s="0" t="n">
        <f aca="false">F1717+2+D1717</f>
        <v>80</v>
      </c>
      <c r="H1717" s="0" t="n">
        <f aca="false">Pemetaan!$B$2+E1717</f>
        <v>20</v>
      </c>
      <c r="I1717" s="0" t="str">
        <f aca="false">INDEX(Laporan!$A$1:$AZ$300,G1717,1)</f>
        <v>Mixing</v>
      </c>
      <c r="J1717" s="0" t="str">
        <f aca="false">INDEX(Laporan!$A$1:$AZ$300,G1717,2)</f>
        <v>1,5 L</v>
      </c>
      <c r="K1717" s="0" t="str">
        <f aca="false">INDEX(Laporan!$A$1:$AZ$300,G1717,3)</f>
        <v>Shift 1</v>
      </c>
      <c r="L1717" s="0" t="n">
        <f aca="false">INDEX(Laporan!$A$1:$AZ$300,G1717,4)</f>
        <v>3</v>
      </c>
      <c r="M1717" s="1" t="n">
        <f aca="false">DATE(Pemetaan!$B$1,VALUE(RIGHT(INDEX(Laporan!$A$1:$AZ$300,F1717+1,H1717),2)),VALUE(LEFT(INDEX(Laporan!$A$1:$AZ$300,F1717+1,H1717),2)))</f>
        <v>46104</v>
      </c>
      <c r="N1717" s="0" t="n">
        <f aca="false">INDEX(Laporan!$A$1:$AZ$300,G1717,H1717)</f>
        <v>7</v>
      </c>
      <c r="O1717" s="0" t="n">
        <f aca="false">IF(N1717="","",IFERROR(VALUE(SUBSTITUTE(SUBSTITUTE(N1717," btl",""),".","")),""))</f>
        <v>7</v>
      </c>
      <c r="P1717" s="0" t="str">
        <f aca="false">IF(B1717="PRODUKSI","produced","reject")</f>
        <v>reject</v>
      </c>
    </row>
    <row r="1718" customFormat="false" ht="15" hidden="false" customHeight="false" outlineLevel="0" collapsed="false">
      <c r="A1718" s="0" t="n">
        <v>1717</v>
      </c>
      <c r="B1718" s="0" t="str">
        <f aca="false">IF(A1718&lt;=36*25,"PRODUKSI","REJECT")</f>
        <v>REJECT</v>
      </c>
      <c r="C1718" s="0" t="n">
        <f aca="false">MOD(A1718-1,Pemetaan!$B$3*Pemetaan!$B$4)</f>
        <v>816</v>
      </c>
      <c r="D1718" s="0" t="n">
        <f aca="false">INT(C1718/Pemetaan!$B$4)</f>
        <v>32</v>
      </c>
      <c r="E1718" s="0" t="n">
        <f aca="false">MOD(C1718,Pemetaan!$B$4)</f>
        <v>16</v>
      </c>
      <c r="F1718" s="0" t="n">
        <f aca="false">IF(B1718="PRODUKSI",Pemetaan!$B$5,Pemetaan!$B$6)</f>
        <v>46</v>
      </c>
      <c r="G1718" s="0" t="n">
        <f aca="false">F1718+2+D1718</f>
        <v>80</v>
      </c>
      <c r="H1718" s="0" t="n">
        <f aca="false">Pemetaan!$B$2+E1718</f>
        <v>21</v>
      </c>
      <c r="I1718" s="0" t="str">
        <f aca="false">INDEX(Laporan!$A$1:$AZ$300,G1718,1)</f>
        <v>Mixing</v>
      </c>
      <c r="J1718" s="0" t="str">
        <f aca="false">INDEX(Laporan!$A$1:$AZ$300,G1718,2)</f>
        <v>1,5 L</v>
      </c>
      <c r="K1718" s="0" t="str">
        <f aca="false">INDEX(Laporan!$A$1:$AZ$300,G1718,3)</f>
        <v>Shift 1</v>
      </c>
      <c r="L1718" s="0" t="n">
        <f aca="false">INDEX(Laporan!$A$1:$AZ$300,G1718,4)</f>
        <v>3</v>
      </c>
      <c r="M1718" s="1" t="n">
        <f aca="false">DATE(Pemetaan!$B$1,VALUE(RIGHT(INDEX(Laporan!$A$1:$AZ$300,F1718+1,H1718),2)),VALUE(LEFT(INDEX(Laporan!$A$1:$AZ$300,F1718+1,H1718),2)))</f>
        <v>46105</v>
      </c>
      <c r="N1718" s="0" t="n">
        <f aca="false">INDEX(Laporan!$A$1:$AZ$300,G1718,H1718)</f>
        <v>9</v>
      </c>
      <c r="O1718" s="0" t="n">
        <f aca="false">IF(N1718="","",IFERROR(VALUE(SUBSTITUTE(SUBSTITUTE(N1718," btl",""),".","")),""))</f>
        <v>9</v>
      </c>
      <c r="P1718" s="0" t="str">
        <f aca="false">IF(B1718="PRODUKSI","produced","reject")</f>
        <v>reject</v>
      </c>
    </row>
    <row r="1719" customFormat="false" ht="15" hidden="false" customHeight="false" outlineLevel="0" collapsed="false">
      <c r="A1719" s="0" t="n">
        <v>1718</v>
      </c>
      <c r="B1719" s="0" t="str">
        <f aca="false">IF(A1719&lt;=36*25,"PRODUKSI","REJECT")</f>
        <v>REJECT</v>
      </c>
      <c r="C1719" s="0" t="n">
        <f aca="false">MOD(A1719-1,Pemetaan!$B$3*Pemetaan!$B$4)</f>
        <v>817</v>
      </c>
      <c r="D1719" s="0" t="n">
        <f aca="false">INT(C1719/Pemetaan!$B$4)</f>
        <v>32</v>
      </c>
      <c r="E1719" s="0" t="n">
        <f aca="false">MOD(C1719,Pemetaan!$B$4)</f>
        <v>17</v>
      </c>
      <c r="F1719" s="0" t="n">
        <f aca="false">IF(B1719="PRODUKSI",Pemetaan!$B$5,Pemetaan!$B$6)</f>
        <v>46</v>
      </c>
      <c r="G1719" s="0" t="n">
        <f aca="false">F1719+2+D1719</f>
        <v>80</v>
      </c>
      <c r="H1719" s="0" t="n">
        <f aca="false">Pemetaan!$B$2+E1719</f>
        <v>22</v>
      </c>
      <c r="I1719" s="0" t="str">
        <f aca="false">INDEX(Laporan!$A$1:$AZ$300,G1719,1)</f>
        <v>Mixing</v>
      </c>
      <c r="J1719" s="0" t="str">
        <f aca="false">INDEX(Laporan!$A$1:$AZ$300,G1719,2)</f>
        <v>1,5 L</v>
      </c>
      <c r="K1719" s="0" t="str">
        <f aca="false">INDEX(Laporan!$A$1:$AZ$300,G1719,3)</f>
        <v>Shift 1</v>
      </c>
      <c r="L1719" s="0" t="n">
        <f aca="false">INDEX(Laporan!$A$1:$AZ$300,G1719,4)</f>
        <v>3</v>
      </c>
      <c r="M1719" s="1" t="n">
        <f aca="false">DATE(Pemetaan!$B$1,VALUE(RIGHT(INDEX(Laporan!$A$1:$AZ$300,F1719+1,H1719),2)),VALUE(LEFT(INDEX(Laporan!$A$1:$AZ$300,F1719+1,H1719),2)))</f>
        <v>46106</v>
      </c>
      <c r="N1719" s="0" t="n">
        <f aca="false">INDEX(Laporan!$A$1:$AZ$300,G1719,H1719)</f>
        <v>9</v>
      </c>
      <c r="O1719" s="0" t="n">
        <f aca="false">IF(N1719="","",IFERROR(VALUE(SUBSTITUTE(SUBSTITUTE(N1719," btl",""),".","")),""))</f>
        <v>9</v>
      </c>
      <c r="P1719" s="0" t="str">
        <f aca="false">IF(B1719="PRODUKSI","produced","reject")</f>
        <v>reject</v>
      </c>
    </row>
    <row r="1720" customFormat="false" ht="15" hidden="false" customHeight="false" outlineLevel="0" collapsed="false">
      <c r="A1720" s="0" t="n">
        <v>1719</v>
      </c>
      <c r="B1720" s="0" t="str">
        <f aca="false">IF(A1720&lt;=36*25,"PRODUKSI","REJECT")</f>
        <v>REJECT</v>
      </c>
      <c r="C1720" s="0" t="n">
        <f aca="false">MOD(A1720-1,Pemetaan!$B$3*Pemetaan!$B$4)</f>
        <v>818</v>
      </c>
      <c r="D1720" s="0" t="n">
        <f aca="false">INT(C1720/Pemetaan!$B$4)</f>
        <v>32</v>
      </c>
      <c r="E1720" s="0" t="n">
        <f aca="false">MOD(C1720,Pemetaan!$B$4)</f>
        <v>18</v>
      </c>
      <c r="F1720" s="0" t="n">
        <f aca="false">IF(B1720="PRODUKSI",Pemetaan!$B$5,Pemetaan!$B$6)</f>
        <v>46</v>
      </c>
      <c r="G1720" s="0" t="n">
        <f aca="false">F1720+2+D1720</f>
        <v>80</v>
      </c>
      <c r="H1720" s="0" t="n">
        <f aca="false">Pemetaan!$B$2+E1720</f>
        <v>23</v>
      </c>
      <c r="I1720" s="0" t="str">
        <f aca="false">INDEX(Laporan!$A$1:$AZ$300,G1720,1)</f>
        <v>Mixing</v>
      </c>
      <c r="J1720" s="0" t="str">
        <f aca="false">INDEX(Laporan!$A$1:$AZ$300,G1720,2)</f>
        <v>1,5 L</v>
      </c>
      <c r="K1720" s="0" t="str">
        <f aca="false">INDEX(Laporan!$A$1:$AZ$300,G1720,3)</f>
        <v>Shift 1</v>
      </c>
      <c r="L1720" s="0" t="n">
        <f aca="false">INDEX(Laporan!$A$1:$AZ$300,G1720,4)</f>
        <v>3</v>
      </c>
      <c r="M1720" s="1" t="n">
        <f aca="false">DATE(Pemetaan!$B$1,VALUE(RIGHT(INDEX(Laporan!$A$1:$AZ$300,F1720+1,H1720),2)),VALUE(LEFT(INDEX(Laporan!$A$1:$AZ$300,F1720+1,H1720),2)))</f>
        <v>46107</v>
      </c>
      <c r="N1720" s="0" t="n">
        <f aca="false">INDEX(Laporan!$A$1:$AZ$300,G1720,H1720)</f>
        <v>4</v>
      </c>
      <c r="O1720" s="0" t="n">
        <f aca="false">IF(N1720="","",IFERROR(VALUE(SUBSTITUTE(SUBSTITUTE(N1720," btl",""),".","")),""))</f>
        <v>4</v>
      </c>
      <c r="P1720" s="0" t="str">
        <f aca="false">IF(B1720="PRODUKSI","produced","reject")</f>
        <v>reject</v>
      </c>
    </row>
    <row r="1721" customFormat="false" ht="15" hidden="false" customHeight="false" outlineLevel="0" collapsed="false">
      <c r="A1721" s="0" t="n">
        <v>1720</v>
      </c>
      <c r="B1721" s="0" t="str">
        <f aca="false">IF(A1721&lt;=36*25,"PRODUKSI","REJECT")</f>
        <v>REJECT</v>
      </c>
      <c r="C1721" s="0" t="n">
        <f aca="false">MOD(A1721-1,Pemetaan!$B$3*Pemetaan!$B$4)</f>
        <v>819</v>
      </c>
      <c r="D1721" s="0" t="n">
        <f aca="false">INT(C1721/Pemetaan!$B$4)</f>
        <v>32</v>
      </c>
      <c r="E1721" s="0" t="n">
        <f aca="false">MOD(C1721,Pemetaan!$B$4)</f>
        <v>19</v>
      </c>
      <c r="F1721" s="0" t="n">
        <f aca="false">IF(B1721="PRODUKSI",Pemetaan!$B$5,Pemetaan!$B$6)</f>
        <v>46</v>
      </c>
      <c r="G1721" s="0" t="n">
        <f aca="false">F1721+2+D1721</f>
        <v>80</v>
      </c>
      <c r="H1721" s="0" t="n">
        <f aca="false">Pemetaan!$B$2+E1721</f>
        <v>24</v>
      </c>
      <c r="I1721" s="0" t="str">
        <f aca="false">INDEX(Laporan!$A$1:$AZ$300,G1721,1)</f>
        <v>Mixing</v>
      </c>
      <c r="J1721" s="0" t="str">
        <f aca="false">INDEX(Laporan!$A$1:$AZ$300,G1721,2)</f>
        <v>1,5 L</v>
      </c>
      <c r="K1721" s="0" t="str">
        <f aca="false">INDEX(Laporan!$A$1:$AZ$300,G1721,3)</f>
        <v>Shift 1</v>
      </c>
      <c r="L1721" s="0" t="n">
        <f aca="false">INDEX(Laporan!$A$1:$AZ$300,G1721,4)</f>
        <v>3</v>
      </c>
      <c r="M1721" s="1" t="n">
        <f aca="false">DATE(Pemetaan!$B$1,VALUE(RIGHT(INDEX(Laporan!$A$1:$AZ$300,F1721+1,H1721),2)),VALUE(LEFT(INDEX(Laporan!$A$1:$AZ$300,F1721+1,H1721),2)))</f>
        <v>46108</v>
      </c>
      <c r="N1721" s="0" t="n">
        <f aca="false">INDEX(Laporan!$A$1:$AZ$300,G1721,H1721)</f>
        <v>7</v>
      </c>
      <c r="O1721" s="0" t="n">
        <f aca="false">IF(N1721="","",IFERROR(VALUE(SUBSTITUTE(SUBSTITUTE(N1721," btl",""),".","")),""))</f>
        <v>7</v>
      </c>
      <c r="P1721" s="0" t="str">
        <f aca="false">IF(B1721="PRODUKSI","produced","reject")</f>
        <v>reject</v>
      </c>
    </row>
    <row r="1722" customFormat="false" ht="15" hidden="false" customHeight="false" outlineLevel="0" collapsed="false">
      <c r="A1722" s="0" t="n">
        <v>1721</v>
      </c>
      <c r="B1722" s="0" t="str">
        <f aca="false">IF(A1722&lt;=36*25,"PRODUKSI","REJECT")</f>
        <v>REJECT</v>
      </c>
      <c r="C1722" s="0" t="n">
        <f aca="false">MOD(A1722-1,Pemetaan!$B$3*Pemetaan!$B$4)</f>
        <v>820</v>
      </c>
      <c r="D1722" s="0" t="n">
        <f aca="false">INT(C1722/Pemetaan!$B$4)</f>
        <v>32</v>
      </c>
      <c r="E1722" s="0" t="n">
        <f aca="false">MOD(C1722,Pemetaan!$B$4)</f>
        <v>20</v>
      </c>
      <c r="F1722" s="0" t="n">
        <f aca="false">IF(B1722="PRODUKSI",Pemetaan!$B$5,Pemetaan!$B$6)</f>
        <v>46</v>
      </c>
      <c r="G1722" s="0" t="n">
        <f aca="false">F1722+2+D1722</f>
        <v>80</v>
      </c>
      <c r="H1722" s="0" t="n">
        <f aca="false">Pemetaan!$B$2+E1722</f>
        <v>25</v>
      </c>
      <c r="I1722" s="0" t="str">
        <f aca="false">INDEX(Laporan!$A$1:$AZ$300,G1722,1)</f>
        <v>Mixing</v>
      </c>
      <c r="J1722" s="0" t="str">
        <f aca="false">INDEX(Laporan!$A$1:$AZ$300,G1722,2)</f>
        <v>1,5 L</v>
      </c>
      <c r="K1722" s="0" t="str">
        <f aca="false">INDEX(Laporan!$A$1:$AZ$300,G1722,3)</f>
        <v>Shift 1</v>
      </c>
      <c r="L1722" s="0" t="n">
        <f aca="false">INDEX(Laporan!$A$1:$AZ$300,G1722,4)</f>
        <v>3</v>
      </c>
      <c r="M1722" s="1" t="n">
        <f aca="false">DATE(Pemetaan!$B$1,VALUE(RIGHT(INDEX(Laporan!$A$1:$AZ$300,F1722+1,H1722),2)),VALUE(LEFT(INDEX(Laporan!$A$1:$AZ$300,F1722+1,H1722),2)))</f>
        <v>46111</v>
      </c>
      <c r="N1722" s="0" t="n">
        <f aca="false">INDEX(Laporan!$A$1:$AZ$300,G1722,H1722)</f>
        <v>11</v>
      </c>
      <c r="O1722" s="0" t="n">
        <f aca="false">IF(N1722="","",IFERROR(VALUE(SUBSTITUTE(SUBSTITUTE(N1722," btl",""),".","")),""))</f>
        <v>11</v>
      </c>
      <c r="P1722" s="0" t="str">
        <f aca="false">IF(B1722="PRODUKSI","produced","reject")</f>
        <v>reject</v>
      </c>
    </row>
    <row r="1723" customFormat="false" ht="15" hidden="false" customHeight="false" outlineLevel="0" collapsed="false">
      <c r="A1723" s="0" t="n">
        <v>1722</v>
      </c>
      <c r="B1723" s="0" t="str">
        <f aca="false">IF(A1723&lt;=36*25,"PRODUKSI","REJECT")</f>
        <v>REJECT</v>
      </c>
      <c r="C1723" s="0" t="n">
        <f aca="false">MOD(A1723-1,Pemetaan!$B$3*Pemetaan!$B$4)</f>
        <v>821</v>
      </c>
      <c r="D1723" s="0" t="n">
        <f aca="false">INT(C1723/Pemetaan!$B$4)</f>
        <v>32</v>
      </c>
      <c r="E1723" s="0" t="n">
        <f aca="false">MOD(C1723,Pemetaan!$B$4)</f>
        <v>21</v>
      </c>
      <c r="F1723" s="0" t="n">
        <f aca="false">IF(B1723="PRODUKSI",Pemetaan!$B$5,Pemetaan!$B$6)</f>
        <v>46</v>
      </c>
      <c r="G1723" s="0" t="n">
        <f aca="false">F1723+2+D1723</f>
        <v>80</v>
      </c>
      <c r="H1723" s="0" t="n">
        <f aca="false">Pemetaan!$B$2+E1723</f>
        <v>26</v>
      </c>
      <c r="I1723" s="0" t="str">
        <f aca="false">INDEX(Laporan!$A$1:$AZ$300,G1723,1)</f>
        <v>Mixing</v>
      </c>
      <c r="J1723" s="0" t="str">
        <f aca="false">INDEX(Laporan!$A$1:$AZ$300,G1723,2)</f>
        <v>1,5 L</v>
      </c>
      <c r="K1723" s="0" t="str">
        <f aca="false">INDEX(Laporan!$A$1:$AZ$300,G1723,3)</f>
        <v>Shift 1</v>
      </c>
      <c r="L1723" s="0" t="n">
        <f aca="false">INDEX(Laporan!$A$1:$AZ$300,G1723,4)</f>
        <v>3</v>
      </c>
      <c r="M1723" s="1" t="n">
        <f aca="false">DATE(Pemetaan!$B$1,VALUE(RIGHT(INDEX(Laporan!$A$1:$AZ$300,F1723+1,H1723),2)),VALUE(LEFT(INDEX(Laporan!$A$1:$AZ$300,F1723+1,H1723),2)))</f>
        <v>46112</v>
      </c>
      <c r="N1723" s="0" t="n">
        <f aca="false">INDEX(Laporan!$A$1:$AZ$300,G1723,H1723)</f>
        <v>10</v>
      </c>
      <c r="O1723" s="0" t="n">
        <f aca="false">IF(N1723="","",IFERROR(VALUE(SUBSTITUTE(SUBSTITUTE(N1723," btl",""),".","")),""))</f>
        <v>10</v>
      </c>
      <c r="P1723" s="0" t="str">
        <f aca="false">IF(B1723="PRODUKSI","produced","reject")</f>
        <v>reject</v>
      </c>
    </row>
    <row r="1724" customFormat="false" ht="15" hidden="false" customHeight="false" outlineLevel="0" collapsed="false">
      <c r="A1724" s="0" t="n">
        <v>1723</v>
      </c>
      <c r="B1724" s="0" t="str">
        <f aca="false">IF(A1724&lt;=36*25,"PRODUKSI","REJECT")</f>
        <v>REJECT</v>
      </c>
      <c r="C1724" s="0" t="n">
        <f aca="false">MOD(A1724-1,Pemetaan!$B$3*Pemetaan!$B$4)</f>
        <v>822</v>
      </c>
      <c r="D1724" s="0" t="n">
        <f aca="false">INT(C1724/Pemetaan!$B$4)</f>
        <v>32</v>
      </c>
      <c r="E1724" s="0" t="n">
        <f aca="false">MOD(C1724,Pemetaan!$B$4)</f>
        <v>22</v>
      </c>
      <c r="F1724" s="0" t="n">
        <f aca="false">IF(B1724="PRODUKSI",Pemetaan!$B$5,Pemetaan!$B$6)</f>
        <v>46</v>
      </c>
      <c r="G1724" s="0" t="n">
        <f aca="false">F1724+2+D1724</f>
        <v>80</v>
      </c>
      <c r="H1724" s="0" t="n">
        <f aca="false">Pemetaan!$B$2+E1724</f>
        <v>27</v>
      </c>
      <c r="I1724" s="0" t="str">
        <f aca="false">INDEX(Laporan!$A$1:$AZ$300,G1724,1)</f>
        <v>Mixing</v>
      </c>
      <c r="J1724" s="0" t="str">
        <f aca="false">INDEX(Laporan!$A$1:$AZ$300,G1724,2)</f>
        <v>1,5 L</v>
      </c>
      <c r="K1724" s="0" t="str">
        <f aca="false">INDEX(Laporan!$A$1:$AZ$300,G1724,3)</f>
        <v>Shift 1</v>
      </c>
      <c r="L1724" s="0" t="n">
        <f aca="false">INDEX(Laporan!$A$1:$AZ$300,G1724,4)</f>
        <v>3</v>
      </c>
      <c r="M1724" s="1" t="n">
        <f aca="false">DATE(Pemetaan!$B$1,VALUE(RIGHT(INDEX(Laporan!$A$1:$AZ$300,F1724+1,H1724),2)),VALUE(LEFT(INDEX(Laporan!$A$1:$AZ$300,F1724+1,H1724),2)))</f>
        <v>46113</v>
      </c>
      <c r="N1724" s="0" t="n">
        <f aca="false">INDEX(Laporan!$A$1:$AZ$300,G1724,H1724)</f>
        <v>11</v>
      </c>
      <c r="O1724" s="0" t="n">
        <f aca="false">IF(N1724="","",IFERROR(VALUE(SUBSTITUTE(SUBSTITUTE(N1724," btl",""),".","")),""))</f>
        <v>11</v>
      </c>
      <c r="P1724" s="0" t="str">
        <f aca="false">IF(B1724="PRODUKSI","produced","reject")</f>
        <v>reject</v>
      </c>
    </row>
    <row r="1725" customFormat="false" ht="15" hidden="false" customHeight="false" outlineLevel="0" collapsed="false">
      <c r="A1725" s="0" t="n">
        <v>1724</v>
      </c>
      <c r="B1725" s="0" t="str">
        <f aca="false">IF(A1725&lt;=36*25,"PRODUKSI","REJECT")</f>
        <v>REJECT</v>
      </c>
      <c r="C1725" s="0" t="n">
        <f aca="false">MOD(A1725-1,Pemetaan!$B$3*Pemetaan!$B$4)</f>
        <v>823</v>
      </c>
      <c r="D1725" s="0" t="n">
        <f aca="false">INT(C1725/Pemetaan!$B$4)</f>
        <v>32</v>
      </c>
      <c r="E1725" s="0" t="n">
        <f aca="false">MOD(C1725,Pemetaan!$B$4)</f>
        <v>23</v>
      </c>
      <c r="F1725" s="0" t="n">
        <f aca="false">IF(B1725="PRODUKSI",Pemetaan!$B$5,Pemetaan!$B$6)</f>
        <v>46</v>
      </c>
      <c r="G1725" s="0" t="n">
        <f aca="false">F1725+2+D1725</f>
        <v>80</v>
      </c>
      <c r="H1725" s="0" t="n">
        <f aca="false">Pemetaan!$B$2+E1725</f>
        <v>28</v>
      </c>
      <c r="I1725" s="0" t="str">
        <f aca="false">INDEX(Laporan!$A$1:$AZ$300,G1725,1)</f>
        <v>Mixing</v>
      </c>
      <c r="J1725" s="0" t="str">
        <f aca="false">INDEX(Laporan!$A$1:$AZ$300,G1725,2)</f>
        <v>1,5 L</v>
      </c>
      <c r="K1725" s="0" t="str">
        <f aca="false">INDEX(Laporan!$A$1:$AZ$300,G1725,3)</f>
        <v>Shift 1</v>
      </c>
      <c r="L1725" s="0" t="n">
        <f aca="false">INDEX(Laporan!$A$1:$AZ$300,G1725,4)</f>
        <v>3</v>
      </c>
      <c r="M1725" s="1" t="n">
        <f aca="false">DATE(Pemetaan!$B$1,VALUE(RIGHT(INDEX(Laporan!$A$1:$AZ$300,F1725+1,H1725),2)),VALUE(LEFT(INDEX(Laporan!$A$1:$AZ$300,F1725+1,H1725),2)))</f>
        <v>46114</v>
      </c>
      <c r="N1725" s="0" t="n">
        <f aca="false">INDEX(Laporan!$A$1:$AZ$300,G1725,H1725)</f>
        <v>11</v>
      </c>
      <c r="O1725" s="0" t="n">
        <f aca="false">IF(N1725="","",IFERROR(VALUE(SUBSTITUTE(SUBSTITUTE(N1725," btl",""),".","")),""))</f>
        <v>11</v>
      </c>
      <c r="P1725" s="0" t="str">
        <f aca="false">IF(B1725="PRODUKSI","produced","reject")</f>
        <v>reject</v>
      </c>
    </row>
    <row r="1726" customFormat="false" ht="15" hidden="false" customHeight="false" outlineLevel="0" collapsed="false">
      <c r="A1726" s="0" t="n">
        <v>1725</v>
      </c>
      <c r="B1726" s="0" t="str">
        <f aca="false">IF(A1726&lt;=36*25,"PRODUKSI","REJECT")</f>
        <v>REJECT</v>
      </c>
      <c r="C1726" s="0" t="n">
        <f aca="false">MOD(A1726-1,Pemetaan!$B$3*Pemetaan!$B$4)</f>
        <v>824</v>
      </c>
      <c r="D1726" s="0" t="n">
        <f aca="false">INT(C1726/Pemetaan!$B$4)</f>
        <v>32</v>
      </c>
      <c r="E1726" s="0" t="n">
        <f aca="false">MOD(C1726,Pemetaan!$B$4)</f>
        <v>24</v>
      </c>
      <c r="F1726" s="0" t="n">
        <f aca="false">IF(B1726="PRODUKSI",Pemetaan!$B$5,Pemetaan!$B$6)</f>
        <v>46</v>
      </c>
      <c r="G1726" s="0" t="n">
        <f aca="false">F1726+2+D1726</f>
        <v>80</v>
      </c>
      <c r="H1726" s="0" t="n">
        <f aca="false">Pemetaan!$B$2+E1726</f>
        <v>29</v>
      </c>
      <c r="I1726" s="0" t="str">
        <f aca="false">INDEX(Laporan!$A$1:$AZ$300,G1726,1)</f>
        <v>Mixing</v>
      </c>
      <c r="J1726" s="0" t="str">
        <f aca="false">INDEX(Laporan!$A$1:$AZ$300,G1726,2)</f>
        <v>1,5 L</v>
      </c>
      <c r="K1726" s="0" t="str">
        <f aca="false">INDEX(Laporan!$A$1:$AZ$300,G1726,3)</f>
        <v>Shift 1</v>
      </c>
      <c r="L1726" s="0" t="n">
        <f aca="false">INDEX(Laporan!$A$1:$AZ$300,G1726,4)</f>
        <v>3</v>
      </c>
      <c r="M1726" s="1" t="n">
        <f aca="false">DATE(Pemetaan!$B$1,VALUE(RIGHT(INDEX(Laporan!$A$1:$AZ$300,F1726+1,H1726),2)),VALUE(LEFT(INDEX(Laporan!$A$1:$AZ$300,F1726+1,H1726),2)))</f>
        <v>46115</v>
      </c>
      <c r="N1726" s="0" t="n">
        <f aca="false">INDEX(Laporan!$A$1:$AZ$300,G1726,H1726)</f>
        <v>8</v>
      </c>
      <c r="O1726" s="0" t="n">
        <f aca="false">IF(N1726="","",IFERROR(VALUE(SUBSTITUTE(SUBSTITUTE(N1726," btl",""),".","")),""))</f>
        <v>8</v>
      </c>
      <c r="P1726" s="0" t="str">
        <f aca="false">IF(B1726="PRODUKSI","produced","reject")</f>
        <v>reject</v>
      </c>
    </row>
    <row r="1727" customFormat="false" ht="15" hidden="false" customHeight="false" outlineLevel="0" collapsed="false">
      <c r="A1727" s="0" t="n">
        <v>1726</v>
      </c>
      <c r="B1727" s="0" t="str">
        <f aca="false">IF(A1727&lt;=36*25,"PRODUKSI","REJECT")</f>
        <v>REJECT</v>
      </c>
      <c r="C1727" s="0" t="n">
        <f aca="false">MOD(A1727-1,Pemetaan!$B$3*Pemetaan!$B$4)</f>
        <v>825</v>
      </c>
      <c r="D1727" s="0" t="n">
        <f aca="false">INT(C1727/Pemetaan!$B$4)</f>
        <v>33</v>
      </c>
      <c r="E1727" s="0" t="n">
        <f aca="false">MOD(C1727,Pemetaan!$B$4)</f>
        <v>0</v>
      </c>
      <c r="F1727" s="0" t="n">
        <f aca="false">IF(B1727="PRODUKSI",Pemetaan!$B$5,Pemetaan!$B$6)</f>
        <v>46</v>
      </c>
      <c r="G1727" s="0" t="n">
        <f aca="false">F1727+2+D1727</f>
        <v>81</v>
      </c>
      <c r="H1727" s="0" t="n">
        <f aca="false">Pemetaan!$B$2+E1727</f>
        <v>5</v>
      </c>
      <c r="I1727" s="0" t="str">
        <f aca="false">INDEX(Laporan!$A$1:$AZ$300,G1727,1)</f>
        <v>Mixing</v>
      </c>
      <c r="J1727" s="0" t="str">
        <f aca="false">INDEX(Laporan!$A$1:$AZ$300,G1727,2)</f>
        <v>1,5 L</v>
      </c>
      <c r="K1727" s="0" t="str">
        <f aca="false">INDEX(Laporan!$A$1:$AZ$300,G1727,3)</f>
        <v>Shift 2</v>
      </c>
      <c r="L1727" s="0" t="n">
        <f aca="false">INDEX(Laporan!$A$1:$AZ$300,G1727,4)</f>
        <v>1</v>
      </c>
      <c r="M1727" s="1" t="n">
        <f aca="false">DATE(Pemetaan!$B$1,VALUE(RIGHT(INDEX(Laporan!$A$1:$AZ$300,F1727+1,H1727),2)),VALUE(LEFT(INDEX(Laporan!$A$1:$AZ$300,F1727+1,H1727),2)))</f>
        <v>46083</v>
      </c>
      <c r="N1727" s="0" t="n">
        <f aca="false">INDEX(Laporan!$A$1:$AZ$300,G1727,H1727)</f>
        <v>11</v>
      </c>
      <c r="O1727" s="0" t="n">
        <f aca="false">IF(N1727="","",IFERROR(VALUE(SUBSTITUTE(SUBSTITUTE(N1727," btl",""),".","")),""))</f>
        <v>11</v>
      </c>
      <c r="P1727" s="0" t="str">
        <f aca="false">IF(B1727="PRODUKSI","produced","reject")</f>
        <v>reject</v>
      </c>
    </row>
    <row r="1728" customFormat="false" ht="15" hidden="false" customHeight="false" outlineLevel="0" collapsed="false">
      <c r="A1728" s="0" t="n">
        <v>1727</v>
      </c>
      <c r="B1728" s="0" t="str">
        <f aca="false">IF(A1728&lt;=36*25,"PRODUKSI","REJECT")</f>
        <v>REJECT</v>
      </c>
      <c r="C1728" s="0" t="n">
        <f aca="false">MOD(A1728-1,Pemetaan!$B$3*Pemetaan!$B$4)</f>
        <v>826</v>
      </c>
      <c r="D1728" s="0" t="n">
        <f aca="false">INT(C1728/Pemetaan!$B$4)</f>
        <v>33</v>
      </c>
      <c r="E1728" s="0" t="n">
        <f aca="false">MOD(C1728,Pemetaan!$B$4)</f>
        <v>1</v>
      </c>
      <c r="F1728" s="0" t="n">
        <f aca="false">IF(B1728="PRODUKSI",Pemetaan!$B$5,Pemetaan!$B$6)</f>
        <v>46</v>
      </c>
      <c r="G1728" s="0" t="n">
        <f aca="false">F1728+2+D1728</f>
        <v>81</v>
      </c>
      <c r="H1728" s="0" t="n">
        <f aca="false">Pemetaan!$B$2+E1728</f>
        <v>6</v>
      </c>
      <c r="I1728" s="0" t="str">
        <f aca="false">INDEX(Laporan!$A$1:$AZ$300,G1728,1)</f>
        <v>Mixing</v>
      </c>
      <c r="J1728" s="0" t="str">
        <f aca="false">INDEX(Laporan!$A$1:$AZ$300,G1728,2)</f>
        <v>1,5 L</v>
      </c>
      <c r="K1728" s="0" t="str">
        <f aca="false">INDEX(Laporan!$A$1:$AZ$300,G1728,3)</f>
        <v>Shift 2</v>
      </c>
      <c r="L1728" s="0" t="n">
        <f aca="false">INDEX(Laporan!$A$1:$AZ$300,G1728,4)</f>
        <v>1</v>
      </c>
      <c r="M1728" s="1" t="n">
        <f aca="false">DATE(Pemetaan!$B$1,VALUE(RIGHT(INDEX(Laporan!$A$1:$AZ$300,F1728+1,H1728),2)),VALUE(LEFT(INDEX(Laporan!$A$1:$AZ$300,F1728+1,H1728),2)))</f>
        <v>46084</v>
      </c>
      <c r="N1728" s="0" t="n">
        <f aca="false">INDEX(Laporan!$A$1:$AZ$300,G1728,H1728)</f>
        <v>7</v>
      </c>
      <c r="O1728" s="0" t="n">
        <f aca="false">IF(N1728="","",IFERROR(VALUE(SUBSTITUTE(SUBSTITUTE(N1728," btl",""),".","")),""))</f>
        <v>7</v>
      </c>
      <c r="P1728" s="0" t="str">
        <f aca="false">IF(B1728="PRODUKSI","produced","reject")</f>
        <v>reject</v>
      </c>
    </row>
    <row r="1729" customFormat="false" ht="15" hidden="false" customHeight="false" outlineLevel="0" collapsed="false">
      <c r="A1729" s="0" t="n">
        <v>1728</v>
      </c>
      <c r="B1729" s="0" t="str">
        <f aca="false">IF(A1729&lt;=36*25,"PRODUKSI","REJECT")</f>
        <v>REJECT</v>
      </c>
      <c r="C1729" s="0" t="n">
        <f aca="false">MOD(A1729-1,Pemetaan!$B$3*Pemetaan!$B$4)</f>
        <v>827</v>
      </c>
      <c r="D1729" s="0" t="n">
        <f aca="false">INT(C1729/Pemetaan!$B$4)</f>
        <v>33</v>
      </c>
      <c r="E1729" s="0" t="n">
        <f aca="false">MOD(C1729,Pemetaan!$B$4)</f>
        <v>2</v>
      </c>
      <c r="F1729" s="0" t="n">
        <f aca="false">IF(B1729="PRODUKSI",Pemetaan!$B$5,Pemetaan!$B$6)</f>
        <v>46</v>
      </c>
      <c r="G1729" s="0" t="n">
        <f aca="false">F1729+2+D1729</f>
        <v>81</v>
      </c>
      <c r="H1729" s="0" t="n">
        <f aca="false">Pemetaan!$B$2+E1729</f>
        <v>7</v>
      </c>
      <c r="I1729" s="0" t="str">
        <f aca="false">INDEX(Laporan!$A$1:$AZ$300,G1729,1)</f>
        <v>Mixing</v>
      </c>
      <c r="J1729" s="0" t="str">
        <f aca="false">INDEX(Laporan!$A$1:$AZ$300,G1729,2)</f>
        <v>1,5 L</v>
      </c>
      <c r="K1729" s="0" t="str">
        <f aca="false">INDEX(Laporan!$A$1:$AZ$300,G1729,3)</f>
        <v>Shift 2</v>
      </c>
      <c r="L1729" s="0" t="n">
        <f aca="false">INDEX(Laporan!$A$1:$AZ$300,G1729,4)</f>
        <v>1</v>
      </c>
      <c r="M1729" s="1" t="n">
        <f aca="false">DATE(Pemetaan!$B$1,VALUE(RIGHT(INDEX(Laporan!$A$1:$AZ$300,F1729+1,H1729),2)),VALUE(LEFT(INDEX(Laporan!$A$1:$AZ$300,F1729+1,H1729),2)))</f>
        <v>46085</v>
      </c>
      <c r="N1729" s="0" t="n">
        <f aca="false">INDEX(Laporan!$A$1:$AZ$300,G1729,H1729)</f>
        <v>9</v>
      </c>
      <c r="O1729" s="0" t="n">
        <f aca="false">IF(N1729="","",IFERROR(VALUE(SUBSTITUTE(SUBSTITUTE(N1729," btl",""),".","")),""))</f>
        <v>9</v>
      </c>
      <c r="P1729" s="0" t="str">
        <f aca="false">IF(B1729="PRODUKSI","produced","reject")</f>
        <v>reject</v>
      </c>
    </row>
    <row r="1730" customFormat="false" ht="15" hidden="false" customHeight="false" outlineLevel="0" collapsed="false">
      <c r="A1730" s="0" t="n">
        <v>1729</v>
      </c>
      <c r="B1730" s="0" t="str">
        <f aca="false">IF(A1730&lt;=36*25,"PRODUKSI","REJECT")</f>
        <v>REJECT</v>
      </c>
      <c r="C1730" s="0" t="n">
        <f aca="false">MOD(A1730-1,Pemetaan!$B$3*Pemetaan!$B$4)</f>
        <v>828</v>
      </c>
      <c r="D1730" s="0" t="n">
        <f aca="false">INT(C1730/Pemetaan!$B$4)</f>
        <v>33</v>
      </c>
      <c r="E1730" s="0" t="n">
        <f aca="false">MOD(C1730,Pemetaan!$B$4)</f>
        <v>3</v>
      </c>
      <c r="F1730" s="0" t="n">
        <f aca="false">IF(B1730="PRODUKSI",Pemetaan!$B$5,Pemetaan!$B$6)</f>
        <v>46</v>
      </c>
      <c r="G1730" s="0" t="n">
        <f aca="false">F1730+2+D1730</f>
        <v>81</v>
      </c>
      <c r="H1730" s="0" t="n">
        <f aca="false">Pemetaan!$B$2+E1730</f>
        <v>8</v>
      </c>
      <c r="I1730" s="0" t="str">
        <f aca="false">INDEX(Laporan!$A$1:$AZ$300,G1730,1)</f>
        <v>Mixing</v>
      </c>
      <c r="J1730" s="0" t="str">
        <f aca="false">INDEX(Laporan!$A$1:$AZ$300,G1730,2)</f>
        <v>1,5 L</v>
      </c>
      <c r="K1730" s="0" t="str">
        <f aca="false">INDEX(Laporan!$A$1:$AZ$300,G1730,3)</f>
        <v>Shift 2</v>
      </c>
      <c r="L1730" s="0" t="n">
        <f aca="false">INDEX(Laporan!$A$1:$AZ$300,G1730,4)</f>
        <v>1</v>
      </c>
      <c r="M1730" s="1" t="n">
        <f aca="false">DATE(Pemetaan!$B$1,VALUE(RIGHT(INDEX(Laporan!$A$1:$AZ$300,F1730+1,H1730),2)),VALUE(LEFT(INDEX(Laporan!$A$1:$AZ$300,F1730+1,H1730),2)))</f>
        <v>46086</v>
      </c>
      <c r="N1730" s="0" t="n">
        <f aca="false">INDEX(Laporan!$A$1:$AZ$300,G1730,H1730)</f>
        <v>12</v>
      </c>
      <c r="O1730" s="0" t="n">
        <f aca="false">IF(N1730="","",IFERROR(VALUE(SUBSTITUTE(SUBSTITUTE(N1730," btl",""),".","")),""))</f>
        <v>12</v>
      </c>
      <c r="P1730" s="0" t="str">
        <f aca="false">IF(B1730="PRODUKSI","produced","reject")</f>
        <v>reject</v>
      </c>
    </row>
    <row r="1731" customFormat="false" ht="15" hidden="false" customHeight="false" outlineLevel="0" collapsed="false">
      <c r="A1731" s="0" t="n">
        <v>1730</v>
      </c>
      <c r="B1731" s="0" t="str">
        <f aca="false">IF(A1731&lt;=36*25,"PRODUKSI","REJECT")</f>
        <v>REJECT</v>
      </c>
      <c r="C1731" s="0" t="n">
        <f aca="false">MOD(A1731-1,Pemetaan!$B$3*Pemetaan!$B$4)</f>
        <v>829</v>
      </c>
      <c r="D1731" s="0" t="n">
        <f aca="false">INT(C1731/Pemetaan!$B$4)</f>
        <v>33</v>
      </c>
      <c r="E1731" s="0" t="n">
        <f aca="false">MOD(C1731,Pemetaan!$B$4)</f>
        <v>4</v>
      </c>
      <c r="F1731" s="0" t="n">
        <f aca="false">IF(B1731="PRODUKSI",Pemetaan!$B$5,Pemetaan!$B$6)</f>
        <v>46</v>
      </c>
      <c r="G1731" s="0" t="n">
        <f aca="false">F1731+2+D1731</f>
        <v>81</v>
      </c>
      <c r="H1731" s="0" t="n">
        <f aca="false">Pemetaan!$B$2+E1731</f>
        <v>9</v>
      </c>
      <c r="I1731" s="0" t="str">
        <f aca="false">INDEX(Laporan!$A$1:$AZ$300,G1731,1)</f>
        <v>Mixing</v>
      </c>
      <c r="J1731" s="0" t="str">
        <f aca="false">INDEX(Laporan!$A$1:$AZ$300,G1731,2)</f>
        <v>1,5 L</v>
      </c>
      <c r="K1731" s="0" t="str">
        <f aca="false">INDEX(Laporan!$A$1:$AZ$300,G1731,3)</f>
        <v>Shift 2</v>
      </c>
      <c r="L1731" s="0" t="n">
        <f aca="false">INDEX(Laporan!$A$1:$AZ$300,G1731,4)</f>
        <v>1</v>
      </c>
      <c r="M1731" s="1" t="n">
        <f aca="false">DATE(Pemetaan!$B$1,VALUE(RIGHT(INDEX(Laporan!$A$1:$AZ$300,F1731+1,H1731),2)),VALUE(LEFT(INDEX(Laporan!$A$1:$AZ$300,F1731+1,H1731),2)))</f>
        <v>46087</v>
      </c>
      <c r="N1731" s="0" t="n">
        <f aca="false">INDEX(Laporan!$A$1:$AZ$300,G1731,H1731)</f>
        <v>3</v>
      </c>
      <c r="O1731" s="0" t="n">
        <f aca="false">IF(N1731="","",IFERROR(VALUE(SUBSTITUTE(SUBSTITUTE(N1731," btl",""),".","")),""))</f>
        <v>3</v>
      </c>
      <c r="P1731" s="0" t="str">
        <f aca="false">IF(B1731="PRODUKSI","produced","reject")</f>
        <v>reject</v>
      </c>
    </row>
    <row r="1732" customFormat="false" ht="15" hidden="false" customHeight="false" outlineLevel="0" collapsed="false">
      <c r="A1732" s="0" t="n">
        <v>1731</v>
      </c>
      <c r="B1732" s="0" t="str">
        <f aca="false">IF(A1732&lt;=36*25,"PRODUKSI","REJECT")</f>
        <v>REJECT</v>
      </c>
      <c r="C1732" s="0" t="n">
        <f aca="false">MOD(A1732-1,Pemetaan!$B$3*Pemetaan!$B$4)</f>
        <v>830</v>
      </c>
      <c r="D1732" s="0" t="n">
        <f aca="false">INT(C1732/Pemetaan!$B$4)</f>
        <v>33</v>
      </c>
      <c r="E1732" s="0" t="n">
        <f aca="false">MOD(C1732,Pemetaan!$B$4)</f>
        <v>5</v>
      </c>
      <c r="F1732" s="0" t="n">
        <f aca="false">IF(B1732="PRODUKSI",Pemetaan!$B$5,Pemetaan!$B$6)</f>
        <v>46</v>
      </c>
      <c r="G1732" s="0" t="n">
        <f aca="false">F1732+2+D1732</f>
        <v>81</v>
      </c>
      <c r="H1732" s="0" t="n">
        <f aca="false">Pemetaan!$B$2+E1732</f>
        <v>10</v>
      </c>
      <c r="I1732" s="0" t="str">
        <f aca="false">INDEX(Laporan!$A$1:$AZ$300,G1732,1)</f>
        <v>Mixing</v>
      </c>
      <c r="J1732" s="0" t="str">
        <f aca="false">INDEX(Laporan!$A$1:$AZ$300,G1732,2)</f>
        <v>1,5 L</v>
      </c>
      <c r="K1732" s="0" t="str">
        <f aca="false">INDEX(Laporan!$A$1:$AZ$300,G1732,3)</f>
        <v>Shift 2</v>
      </c>
      <c r="L1732" s="0" t="n">
        <f aca="false">INDEX(Laporan!$A$1:$AZ$300,G1732,4)</f>
        <v>1</v>
      </c>
      <c r="M1732" s="1" t="n">
        <f aca="false">DATE(Pemetaan!$B$1,VALUE(RIGHT(INDEX(Laporan!$A$1:$AZ$300,F1732+1,H1732),2)),VALUE(LEFT(INDEX(Laporan!$A$1:$AZ$300,F1732+1,H1732),2)))</f>
        <v>46090</v>
      </c>
      <c r="N1732" s="0" t="n">
        <f aca="false">INDEX(Laporan!$A$1:$AZ$300,G1732,H1732)</f>
        <v>7</v>
      </c>
      <c r="O1732" s="0" t="n">
        <f aca="false">IF(N1732="","",IFERROR(VALUE(SUBSTITUTE(SUBSTITUTE(N1732," btl",""),".","")),""))</f>
        <v>7</v>
      </c>
      <c r="P1732" s="0" t="str">
        <f aca="false">IF(B1732="PRODUKSI","produced","reject")</f>
        <v>reject</v>
      </c>
    </row>
    <row r="1733" customFormat="false" ht="15" hidden="false" customHeight="false" outlineLevel="0" collapsed="false">
      <c r="A1733" s="0" t="n">
        <v>1732</v>
      </c>
      <c r="B1733" s="0" t="str">
        <f aca="false">IF(A1733&lt;=36*25,"PRODUKSI","REJECT")</f>
        <v>REJECT</v>
      </c>
      <c r="C1733" s="0" t="n">
        <f aca="false">MOD(A1733-1,Pemetaan!$B$3*Pemetaan!$B$4)</f>
        <v>831</v>
      </c>
      <c r="D1733" s="0" t="n">
        <f aca="false">INT(C1733/Pemetaan!$B$4)</f>
        <v>33</v>
      </c>
      <c r="E1733" s="0" t="n">
        <f aca="false">MOD(C1733,Pemetaan!$B$4)</f>
        <v>6</v>
      </c>
      <c r="F1733" s="0" t="n">
        <f aca="false">IF(B1733="PRODUKSI",Pemetaan!$B$5,Pemetaan!$B$6)</f>
        <v>46</v>
      </c>
      <c r="G1733" s="0" t="n">
        <f aca="false">F1733+2+D1733</f>
        <v>81</v>
      </c>
      <c r="H1733" s="0" t="n">
        <f aca="false">Pemetaan!$B$2+E1733</f>
        <v>11</v>
      </c>
      <c r="I1733" s="0" t="str">
        <f aca="false">INDEX(Laporan!$A$1:$AZ$300,G1733,1)</f>
        <v>Mixing</v>
      </c>
      <c r="J1733" s="0" t="str">
        <f aca="false">INDEX(Laporan!$A$1:$AZ$300,G1733,2)</f>
        <v>1,5 L</v>
      </c>
      <c r="K1733" s="0" t="str">
        <f aca="false">INDEX(Laporan!$A$1:$AZ$300,G1733,3)</f>
        <v>Shift 2</v>
      </c>
      <c r="L1733" s="0" t="n">
        <f aca="false">INDEX(Laporan!$A$1:$AZ$300,G1733,4)</f>
        <v>1</v>
      </c>
      <c r="M1733" s="1" t="n">
        <f aca="false">DATE(Pemetaan!$B$1,VALUE(RIGHT(INDEX(Laporan!$A$1:$AZ$300,F1733+1,H1733),2)),VALUE(LEFT(INDEX(Laporan!$A$1:$AZ$300,F1733+1,H1733),2)))</f>
        <v>46091</v>
      </c>
      <c r="N1733" s="0" t="n">
        <f aca="false">INDEX(Laporan!$A$1:$AZ$300,G1733,H1733)</f>
        <v>10</v>
      </c>
      <c r="O1733" s="0" t="n">
        <f aca="false">IF(N1733="","",IFERROR(VALUE(SUBSTITUTE(SUBSTITUTE(N1733," btl",""),".","")),""))</f>
        <v>10</v>
      </c>
      <c r="P1733" s="0" t="str">
        <f aca="false">IF(B1733="PRODUKSI","produced","reject")</f>
        <v>reject</v>
      </c>
    </row>
    <row r="1734" customFormat="false" ht="15" hidden="false" customHeight="false" outlineLevel="0" collapsed="false">
      <c r="A1734" s="0" t="n">
        <v>1733</v>
      </c>
      <c r="B1734" s="0" t="str">
        <f aca="false">IF(A1734&lt;=36*25,"PRODUKSI","REJECT")</f>
        <v>REJECT</v>
      </c>
      <c r="C1734" s="0" t="n">
        <f aca="false">MOD(A1734-1,Pemetaan!$B$3*Pemetaan!$B$4)</f>
        <v>832</v>
      </c>
      <c r="D1734" s="0" t="n">
        <f aca="false">INT(C1734/Pemetaan!$B$4)</f>
        <v>33</v>
      </c>
      <c r="E1734" s="0" t="n">
        <f aca="false">MOD(C1734,Pemetaan!$B$4)</f>
        <v>7</v>
      </c>
      <c r="F1734" s="0" t="n">
        <f aca="false">IF(B1734="PRODUKSI",Pemetaan!$B$5,Pemetaan!$B$6)</f>
        <v>46</v>
      </c>
      <c r="G1734" s="0" t="n">
        <f aca="false">F1734+2+D1734</f>
        <v>81</v>
      </c>
      <c r="H1734" s="0" t="n">
        <f aca="false">Pemetaan!$B$2+E1734</f>
        <v>12</v>
      </c>
      <c r="I1734" s="0" t="str">
        <f aca="false">INDEX(Laporan!$A$1:$AZ$300,G1734,1)</f>
        <v>Mixing</v>
      </c>
      <c r="J1734" s="0" t="str">
        <f aca="false">INDEX(Laporan!$A$1:$AZ$300,G1734,2)</f>
        <v>1,5 L</v>
      </c>
      <c r="K1734" s="0" t="str">
        <f aca="false">INDEX(Laporan!$A$1:$AZ$300,G1734,3)</f>
        <v>Shift 2</v>
      </c>
      <c r="L1734" s="0" t="n">
        <f aca="false">INDEX(Laporan!$A$1:$AZ$300,G1734,4)</f>
        <v>1</v>
      </c>
      <c r="M1734" s="1" t="n">
        <f aca="false">DATE(Pemetaan!$B$1,VALUE(RIGHT(INDEX(Laporan!$A$1:$AZ$300,F1734+1,H1734),2)),VALUE(LEFT(INDEX(Laporan!$A$1:$AZ$300,F1734+1,H1734),2)))</f>
        <v>46092</v>
      </c>
      <c r="N1734" s="0" t="n">
        <f aca="false">INDEX(Laporan!$A$1:$AZ$300,G1734,H1734)</f>
        <v>5</v>
      </c>
      <c r="O1734" s="0" t="n">
        <f aca="false">IF(N1734="","",IFERROR(VALUE(SUBSTITUTE(SUBSTITUTE(N1734," btl",""),".","")),""))</f>
        <v>5</v>
      </c>
      <c r="P1734" s="0" t="str">
        <f aca="false">IF(B1734="PRODUKSI","produced","reject")</f>
        <v>reject</v>
      </c>
    </row>
    <row r="1735" customFormat="false" ht="15" hidden="false" customHeight="false" outlineLevel="0" collapsed="false">
      <c r="A1735" s="0" t="n">
        <v>1734</v>
      </c>
      <c r="B1735" s="0" t="str">
        <f aca="false">IF(A1735&lt;=36*25,"PRODUKSI","REJECT")</f>
        <v>REJECT</v>
      </c>
      <c r="C1735" s="0" t="n">
        <f aca="false">MOD(A1735-1,Pemetaan!$B$3*Pemetaan!$B$4)</f>
        <v>833</v>
      </c>
      <c r="D1735" s="0" t="n">
        <f aca="false">INT(C1735/Pemetaan!$B$4)</f>
        <v>33</v>
      </c>
      <c r="E1735" s="0" t="n">
        <f aca="false">MOD(C1735,Pemetaan!$B$4)</f>
        <v>8</v>
      </c>
      <c r="F1735" s="0" t="n">
        <f aca="false">IF(B1735="PRODUKSI",Pemetaan!$B$5,Pemetaan!$B$6)</f>
        <v>46</v>
      </c>
      <c r="G1735" s="0" t="n">
        <f aca="false">F1735+2+D1735</f>
        <v>81</v>
      </c>
      <c r="H1735" s="0" t="n">
        <f aca="false">Pemetaan!$B$2+E1735</f>
        <v>13</v>
      </c>
      <c r="I1735" s="0" t="str">
        <f aca="false">INDEX(Laporan!$A$1:$AZ$300,G1735,1)</f>
        <v>Mixing</v>
      </c>
      <c r="J1735" s="0" t="str">
        <f aca="false">INDEX(Laporan!$A$1:$AZ$300,G1735,2)</f>
        <v>1,5 L</v>
      </c>
      <c r="K1735" s="0" t="str">
        <f aca="false">INDEX(Laporan!$A$1:$AZ$300,G1735,3)</f>
        <v>Shift 2</v>
      </c>
      <c r="L1735" s="0" t="n">
        <f aca="false">INDEX(Laporan!$A$1:$AZ$300,G1735,4)</f>
        <v>1</v>
      </c>
      <c r="M1735" s="1" t="n">
        <f aca="false">DATE(Pemetaan!$B$1,VALUE(RIGHT(INDEX(Laporan!$A$1:$AZ$300,F1735+1,H1735),2)),VALUE(LEFT(INDEX(Laporan!$A$1:$AZ$300,F1735+1,H1735),2)))</f>
        <v>46093</v>
      </c>
      <c r="N1735" s="0" t="n">
        <f aca="false">INDEX(Laporan!$A$1:$AZ$300,G1735,H1735)</f>
        <v>12</v>
      </c>
      <c r="O1735" s="0" t="n">
        <f aca="false">IF(N1735="","",IFERROR(VALUE(SUBSTITUTE(SUBSTITUTE(N1735," btl",""),".","")),""))</f>
        <v>12</v>
      </c>
      <c r="P1735" s="0" t="str">
        <f aca="false">IF(B1735="PRODUKSI","produced","reject")</f>
        <v>reject</v>
      </c>
    </row>
    <row r="1736" customFormat="false" ht="15" hidden="false" customHeight="false" outlineLevel="0" collapsed="false">
      <c r="A1736" s="0" t="n">
        <v>1735</v>
      </c>
      <c r="B1736" s="0" t="str">
        <f aca="false">IF(A1736&lt;=36*25,"PRODUKSI","REJECT")</f>
        <v>REJECT</v>
      </c>
      <c r="C1736" s="0" t="n">
        <f aca="false">MOD(A1736-1,Pemetaan!$B$3*Pemetaan!$B$4)</f>
        <v>834</v>
      </c>
      <c r="D1736" s="0" t="n">
        <f aca="false">INT(C1736/Pemetaan!$B$4)</f>
        <v>33</v>
      </c>
      <c r="E1736" s="0" t="n">
        <f aca="false">MOD(C1736,Pemetaan!$B$4)</f>
        <v>9</v>
      </c>
      <c r="F1736" s="0" t="n">
        <f aca="false">IF(B1736="PRODUKSI",Pemetaan!$B$5,Pemetaan!$B$6)</f>
        <v>46</v>
      </c>
      <c r="G1736" s="0" t="n">
        <f aca="false">F1736+2+D1736</f>
        <v>81</v>
      </c>
      <c r="H1736" s="0" t="n">
        <f aca="false">Pemetaan!$B$2+E1736</f>
        <v>14</v>
      </c>
      <c r="I1736" s="0" t="str">
        <f aca="false">INDEX(Laporan!$A$1:$AZ$300,G1736,1)</f>
        <v>Mixing</v>
      </c>
      <c r="J1736" s="0" t="str">
        <f aca="false">INDEX(Laporan!$A$1:$AZ$300,G1736,2)</f>
        <v>1,5 L</v>
      </c>
      <c r="K1736" s="0" t="str">
        <f aca="false">INDEX(Laporan!$A$1:$AZ$300,G1736,3)</f>
        <v>Shift 2</v>
      </c>
      <c r="L1736" s="0" t="n">
        <f aca="false">INDEX(Laporan!$A$1:$AZ$300,G1736,4)</f>
        <v>1</v>
      </c>
      <c r="M1736" s="1" t="n">
        <f aca="false">DATE(Pemetaan!$B$1,VALUE(RIGHT(INDEX(Laporan!$A$1:$AZ$300,F1736+1,H1736),2)),VALUE(LEFT(INDEX(Laporan!$A$1:$AZ$300,F1736+1,H1736),2)))</f>
        <v>46094</v>
      </c>
      <c r="N1736" s="0" t="n">
        <f aca="false">INDEX(Laporan!$A$1:$AZ$300,G1736,H1736)</f>
        <v>14</v>
      </c>
      <c r="O1736" s="0" t="n">
        <f aca="false">IF(N1736="","",IFERROR(VALUE(SUBSTITUTE(SUBSTITUTE(N1736," btl",""),".","")),""))</f>
        <v>14</v>
      </c>
      <c r="P1736" s="0" t="str">
        <f aca="false">IF(B1736="PRODUKSI","produced","reject")</f>
        <v>reject</v>
      </c>
    </row>
    <row r="1737" customFormat="false" ht="15" hidden="false" customHeight="false" outlineLevel="0" collapsed="false">
      <c r="A1737" s="0" t="n">
        <v>1736</v>
      </c>
      <c r="B1737" s="0" t="str">
        <f aca="false">IF(A1737&lt;=36*25,"PRODUKSI","REJECT")</f>
        <v>REJECT</v>
      </c>
      <c r="C1737" s="0" t="n">
        <f aca="false">MOD(A1737-1,Pemetaan!$B$3*Pemetaan!$B$4)</f>
        <v>835</v>
      </c>
      <c r="D1737" s="0" t="n">
        <f aca="false">INT(C1737/Pemetaan!$B$4)</f>
        <v>33</v>
      </c>
      <c r="E1737" s="0" t="n">
        <f aca="false">MOD(C1737,Pemetaan!$B$4)</f>
        <v>10</v>
      </c>
      <c r="F1737" s="0" t="n">
        <f aca="false">IF(B1737="PRODUKSI",Pemetaan!$B$5,Pemetaan!$B$6)</f>
        <v>46</v>
      </c>
      <c r="G1737" s="0" t="n">
        <f aca="false">F1737+2+D1737</f>
        <v>81</v>
      </c>
      <c r="H1737" s="0" t="n">
        <f aca="false">Pemetaan!$B$2+E1737</f>
        <v>15</v>
      </c>
      <c r="I1737" s="0" t="str">
        <f aca="false">INDEX(Laporan!$A$1:$AZ$300,G1737,1)</f>
        <v>Mixing</v>
      </c>
      <c r="J1737" s="0" t="str">
        <f aca="false">INDEX(Laporan!$A$1:$AZ$300,G1737,2)</f>
        <v>1,5 L</v>
      </c>
      <c r="K1737" s="0" t="str">
        <f aca="false">INDEX(Laporan!$A$1:$AZ$300,G1737,3)</f>
        <v>Shift 2</v>
      </c>
      <c r="L1737" s="0" t="n">
        <f aca="false">INDEX(Laporan!$A$1:$AZ$300,G1737,4)</f>
        <v>1</v>
      </c>
      <c r="M1737" s="1" t="n">
        <f aca="false">DATE(Pemetaan!$B$1,VALUE(RIGHT(INDEX(Laporan!$A$1:$AZ$300,F1737+1,H1737),2)),VALUE(LEFT(INDEX(Laporan!$A$1:$AZ$300,F1737+1,H1737),2)))</f>
        <v>46097</v>
      </c>
      <c r="N1737" s="0" t="n">
        <f aca="false">INDEX(Laporan!$A$1:$AZ$300,G1737,H1737)</f>
        <v>8</v>
      </c>
      <c r="O1737" s="0" t="n">
        <f aca="false">IF(N1737="","",IFERROR(VALUE(SUBSTITUTE(SUBSTITUTE(N1737," btl",""),".","")),""))</f>
        <v>8</v>
      </c>
      <c r="P1737" s="0" t="str">
        <f aca="false">IF(B1737="PRODUKSI","produced","reject")</f>
        <v>reject</v>
      </c>
    </row>
    <row r="1738" customFormat="false" ht="15" hidden="false" customHeight="false" outlineLevel="0" collapsed="false">
      <c r="A1738" s="0" t="n">
        <v>1737</v>
      </c>
      <c r="B1738" s="0" t="str">
        <f aca="false">IF(A1738&lt;=36*25,"PRODUKSI","REJECT")</f>
        <v>REJECT</v>
      </c>
      <c r="C1738" s="0" t="n">
        <f aca="false">MOD(A1738-1,Pemetaan!$B$3*Pemetaan!$B$4)</f>
        <v>836</v>
      </c>
      <c r="D1738" s="0" t="n">
        <f aca="false">INT(C1738/Pemetaan!$B$4)</f>
        <v>33</v>
      </c>
      <c r="E1738" s="0" t="n">
        <f aca="false">MOD(C1738,Pemetaan!$B$4)</f>
        <v>11</v>
      </c>
      <c r="F1738" s="0" t="n">
        <f aca="false">IF(B1738="PRODUKSI",Pemetaan!$B$5,Pemetaan!$B$6)</f>
        <v>46</v>
      </c>
      <c r="G1738" s="0" t="n">
        <f aca="false">F1738+2+D1738</f>
        <v>81</v>
      </c>
      <c r="H1738" s="0" t="n">
        <f aca="false">Pemetaan!$B$2+E1738</f>
        <v>16</v>
      </c>
      <c r="I1738" s="0" t="str">
        <f aca="false">INDEX(Laporan!$A$1:$AZ$300,G1738,1)</f>
        <v>Mixing</v>
      </c>
      <c r="J1738" s="0" t="str">
        <f aca="false">INDEX(Laporan!$A$1:$AZ$300,G1738,2)</f>
        <v>1,5 L</v>
      </c>
      <c r="K1738" s="0" t="str">
        <f aca="false">INDEX(Laporan!$A$1:$AZ$300,G1738,3)</f>
        <v>Shift 2</v>
      </c>
      <c r="L1738" s="0" t="n">
        <f aca="false">INDEX(Laporan!$A$1:$AZ$300,G1738,4)</f>
        <v>1</v>
      </c>
      <c r="M1738" s="1" t="n">
        <f aca="false">DATE(Pemetaan!$B$1,VALUE(RIGHT(INDEX(Laporan!$A$1:$AZ$300,F1738+1,H1738),2)),VALUE(LEFT(INDEX(Laporan!$A$1:$AZ$300,F1738+1,H1738),2)))</f>
        <v>46098</v>
      </c>
      <c r="N1738" s="0" t="n">
        <f aca="false">INDEX(Laporan!$A$1:$AZ$300,G1738,H1738)</f>
        <v>9</v>
      </c>
      <c r="O1738" s="0" t="n">
        <f aca="false">IF(N1738="","",IFERROR(VALUE(SUBSTITUTE(SUBSTITUTE(N1738," btl",""),".","")),""))</f>
        <v>9</v>
      </c>
      <c r="P1738" s="0" t="str">
        <f aca="false">IF(B1738="PRODUKSI","produced","reject")</f>
        <v>reject</v>
      </c>
    </row>
    <row r="1739" customFormat="false" ht="15" hidden="false" customHeight="false" outlineLevel="0" collapsed="false">
      <c r="A1739" s="0" t="n">
        <v>1738</v>
      </c>
      <c r="B1739" s="0" t="str">
        <f aca="false">IF(A1739&lt;=36*25,"PRODUKSI","REJECT")</f>
        <v>REJECT</v>
      </c>
      <c r="C1739" s="0" t="n">
        <f aca="false">MOD(A1739-1,Pemetaan!$B$3*Pemetaan!$B$4)</f>
        <v>837</v>
      </c>
      <c r="D1739" s="0" t="n">
        <f aca="false">INT(C1739/Pemetaan!$B$4)</f>
        <v>33</v>
      </c>
      <c r="E1739" s="0" t="n">
        <f aca="false">MOD(C1739,Pemetaan!$B$4)</f>
        <v>12</v>
      </c>
      <c r="F1739" s="0" t="n">
        <f aca="false">IF(B1739="PRODUKSI",Pemetaan!$B$5,Pemetaan!$B$6)</f>
        <v>46</v>
      </c>
      <c r="G1739" s="0" t="n">
        <f aca="false">F1739+2+D1739</f>
        <v>81</v>
      </c>
      <c r="H1739" s="0" t="n">
        <f aca="false">Pemetaan!$B$2+E1739</f>
        <v>17</v>
      </c>
      <c r="I1739" s="0" t="str">
        <f aca="false">INDEX(Laporan!$A$1:$AZ$300,G1739,1)</f>
        <v>Mixing</v>
      </c>
      <c r="J1739" s="0" t="str">
        <f aca="false">INDEX(Laporan!$A$1:$AZ$300,G1739,2)</f>
        <v>1,5 L</v>
      </c>
      <c r="K1739" s="0" t="str">
        <f aca="false">INDEX(Laporan!$A$1:$AZ$300,G1739,3)</f>
        <v>Shift 2</v>
      </c>
      <c r="L1739" s="0" t="n">
        <f aca="false">INDEX(Laporan!$A$1:$AZ$300,G1739,4)</f>
        <v>1</v>
      </c>
      <c r="M1739" s="1" t="n">
        <f aca="false">DATE(Pemetaan!$B$1,VALUE(RIGHT(INDEX(Laporan!$A$1:$AZ$300,F1739+1,H1739),2)),VALUE(LEFT(INDEX(Laporan!$A$1:$AZ$300,F1739+1,H1739),2)))</f>
        <v>46099</v>
      </c>
      <c r="N1739" s="0" t="n">
        <f aca="false">INDEX(Laporan!$A$1:$AZ$300,G1739,H1739)</f>
        <v>12</v>
      </c>
      <c r="O1739" s="0" t="n">
        <f aca="false">IF(N1739="","",IFERROR(VALUE(SUBSTITUTE(SUBSTITUTE(N1739," btl",""),".","")),""))</f>
        <v>12</v>
      </c>
      <c r="P1739" s="0" t="str">
        <f aca="false">IF(B1739="PRODUKSI","produced","reject")</f>
        <v>reject</v>
      </c>
    </row>
    <row r="1740" customFormat="false" ht="15" hidden="false" customHeight="false" outlineLevel="0" collapsed="false">
      <c r="A1740" s="0" t="n">
        <v>1739</v>
      </c>
      <c r="B1740" s="0" t="str">
        <f aca="false">IF(A1740&lt;=36*25,"PRODUKSI","REJECT")</f>
        <v>REJECT</v>
      </c>
      <c r="C1740" s="0" t="n">
        <f aca="false">MOD(A1740-1,Pemetaan!$B$3*Pemetaan!$B$4)</f>
        <v>838</v>
      </c>
      <c r="D1740" s="0" t="n">
        <f aca="false">INT(C1740/Pemetaan!$B$4)</f>
        <v>33</v>
      </c>
      <c r="E1740" s="0" t="n">
        <f aca="false">MOD(C1740,Pemetaan!$B$4)</f>
        <v>13</v>
      </c>
      <c r="F1740" s="0" t="n">
        <f aca="false">IF(B1740="PRODUKSI",Pemetaan!$B$5,Pemetaan!$B$6)</f>
        <v>46</v>
      </c>
      <c r="G1740" s="0" t="n">
        <f aca="false">F1740+2+D1740</f>
        <v>81</v>
      </c>
      <c r="H1740" s="0" t="n">
        <f aca="false">Pemetaan!$B$2+E1740</f>
        <v>18</v>
      </c>
      <c r="I1740" s="0" t="str">
        <f aca="false">INDEX(Laporan!$A$1:$AZ$300,G1740,1)</f>
        <v>Mixing</v>
      </c>
      <c r="J1740" s="0" t="str">
        <f aca="false">INDEX(Laporan!$A$1:$AZ$300,G1740,2)</f>
        <v>1,5 L</v>
      </c>
      <c r="K1740" s="0" t="str">
        <f aca="false">INDEX(Laporan!$A$1:$AZ$300,G1740,3)</f>
        <v>Shift 2</v>
      </c>
      <c r="L1740" s="0" t="n">
        <f aca="false">INDEX(Laporan!$A$1:$AZ$300,G1740,4)</f>
        <v>1</v>
      </c>
      <c r="M1740" s="1" t="n">
        <f aca="false">DATE(Pemetaan!$B$1,VALUE(RIGHT(INDEX(Laporan!$A$1:$AZ$300,F1740+1,H1740),2)),VALUE(LEFT(INDEX(Laporan!$A$1:$AZ$300,F1740+1,H1740),2)))</f>
        <v>46100</v>
      </c>
      <c r="N1740" s="0" t="n">
        <f aca="false">INDEX(Laporan!$A$1:$AZ$300,G1740,H1740)</f>
        <v>12</v>
      </c>
      <c r="O1740" s="0" t="n">
        <f aca="false">IF(N1740="","",IFERROR(VALUE(SUBSTITUTE(SUBSTITUTE(N1740," btl",""),".","")),""))</f>
        <v>12</v>
      </c>
      <c r="P1740" s="0" t="str">
        <f aca="false">IF(B1740="PRODUKSI","produced","reject")</f>
        <v>reject</v>
      </c>
    </row>
    <row r="1741" customFormat="false" ht="15" hidden="false" customHeight="false" outlineLevel="0" collapsed="false">
      <c r="A1741" s="0" t="n">
        <v>1740</v>
      </c>
      <c r="B1741" s="0" t="str">
        <f aca="false">IF(A1741&lt;=36*25,"PRODUKSI","REJECT")</f>
        <v>REJECT</v>
      </c>
      <c r="C1741" s="0" t="n">
        <f aca="false">MOD(A1741-1,Pemetaan!$B$3*Pemetaan!$B$4)</f>
        <v>839</v>
      </c>
      <c r="D1741" s="0" t="n">
        <f aca="false">INT(C1741/Pemetaan!$B$4)</f>
        <v>33</v>
      </c>
      <c r="E1741" s="0" t="n">
        <f aca="false">MOD(C1741,Pemetaan!$B$4)</f>
        <v>14</v>
      </c>
      <c r="F1741" s="0" t="n">
        <f aca="false">IF(B1741="PRODUKSI",Pemetaan!$B$5,Pemetaan!$B$6)</f>
        <v>46</v>
      </c>
      <c r="G1741" s="0" t="n">
        <f aca="false">F1741+2+D1741</f>
        <v>81</v>
      </c>
      <c r="H1741" s="0" t="n">
        <f aca="false">Pemetaan!$B$2+E1741</f>
        <v>19</v>
      </c>
      <c r="I1741" s="0" t="str">
        <f aca="false">INDEX(Laporan!$A$1:$AZ$300,G1741,1)</f>
        <v>Mixing</v>
      </c>
      <c r="J1741" s="0" t="str">
        <f aca="false">INDEX(Laporan!$A$1:$AZ$300,G1741,2)</f>
        <v>1,5 L</v>
      </c>
      <c r="K1741" s="0" t="str">
        <f aca="false">INDEX(Laporan!$A$1:$AZ$300,G1741,3)</f>
        <v>Shift 2</v>
      </c>
      <c r="L1741" s="0" t="n">
        <f aca="false">INDEX(Laporan!$A$1:$AZ$300,G1741,4)</f>
        <v>1</v>
      </c>
      <c r="M1741" s="1" t="n">
        <f aca="false">DATE(Pemetaan!$B$1,VALUE(RIGHT(INDEX(Laporan!$A$1:$AZ$300,F1741+1,H1741),2)),VALUE(LEFT(INDEX(Laporan!$A$1:$AZ$300,F1741+1,H1741),2)))</f>
        <v>46101</v>
      </c>
      <c r="N1741" s="0" t="n">
        <f aca="false">INDEX(Laporan!$A$1:$AZ$300,G1741,H1741)</f>
        <v>16</v>
      </c>
      <c r="O1741" s="0" t="n">
        <f aca="false">IF(N1741="","",IFERROR(VALUE(SUBSTITUTE(SUBSTITUTE(N1741," btl",""),".","")),""))</f>
        <v>16</v>
      </c>
      <c r="P1741" s="0" t="str">
        <f aca="false">IF(B1741="PRODUKSI","produced","reject")</f>
        <v>reject</v>
      </c>
    </row>
    <row r="1742" customFormat="false" ht="15" hidden="false" customHeight="false" outlineLevel="0" collapsed="false">
      <c r="A1742" s="0" t="n">
        <v>1741</v>
      </c>
      <c r="B1742" s="0" t="str">
        <f aca="false">IF(A1742&lt;=36*25,"PRODUKSI","REJECT")</f>
        <v>REJECT</v>
      </c>
      <c r="C1742" s="0" t="n">
        <f aca="false">MOD(A1742-1,Pemetaan!$B$3*Pemetaan!$B$4)</f>
        <v>840</v>
      </c>
      <c r="D1742" s="0" t="n">
        <f aca="false">INT(C1742/Pemetaan!$B$4)</f>
        <v>33</v>
      </c>
      <c r="E1742" s="0" t="n">
        <f aca="false">MOD(C1742,Pemetaan!$B$4)</f>
        <v>15</v>
      </c>
      <c r="F1742" s="0" t="n">
        <f aca="false">IF(B1742="PRODUKSI",Pemetaan!$B$5,Pemetaan!$B$6)</f>
        <v>46</v>
      </c>
      <c r="G1742" s="0" t="n">
        <f aca="false">F1742+2+D1742</f>
        <v>81</v>
      </c>
      <c r="H1742" s="0" t="n">
        <f aca="false">Pemetaan!$B$2+E1742</f>
        <v>20</v>
      </c>
      <c r="I1742" s="0" t="str">
        <f aca="false">INDEX(Laporan!$A$1:$AZ$300,G1742,1)</f>
        <v>Mixing</v>
      </c>
      <c r="J1742" s="0" t="str">
        <f aca="false">INDEX(Laporan!$A$1:$AZ$300,G1742,2)</f>
        <v>1,5 L</v>
      </c>
      <c r="K1742" s="0" t="str">
        <f aca="false">INDEX(Laporan!$A$1:$AZ$300,G1742,3)</f>
        <v>Shift 2</v>
      </c>
      <c r="L1742" s="0" t="n">
        <f aca="false">INDEX(Laporan!$A$1:$AZ$300,G1742,4)</f>
        <v>1</v>
      </c>
      <c r="M1742" s="1" t="n">
        <f aca="false">DATE(Pemetaan!$B$1,VALUE(RIGHT(INDEX(Laporan!$A$1:$AZ$300,F1742+1,H1742),2)),VALUE(LEFT(INDEX(Laporan!$A$1:$AZ$300,F1742+1,H1742),2)))</f>
        <v>46104</v>
      </c>
      <c r="N1742" s="0" t="n">
        <f aca="false">INDEX(Laporan!$A$1:$AZ$300,G1742,H1742)</f>
        <v>12</v>
      </c>
      <c r="O1742" s="0" t="n">
        <f aca="false">IF(N1742="","",IFERROR(VALUE(SUBSTITUTE(SUBSTITUTE(N1742," btl",""),".","")),""))</f>
        <v>12</v>
      </c>
      <c r="P1742" s="0" t="str">
        <f aca="false">IF(B1742="PRODUKSI","produced","reject")</f>
        <v>reject</v>
      </c>
    </row>
    <row r="1743" customFormat="false" ht="15" hidden="false" customHeight="false" outlineLevel="0" collapsed="false">
      <c r="A1743" s="0" t="n">
        <v>1742</v>
      </c>
      <c r="B1743" s="0" t="str">
        <f aca="false">IF(A1743&lt;=36*25,"PRODUKSI","REJECT")</f>
        <v>REJECT</v>
      </c>
      <c r="C1743" s="0" t="n">
        <f aca="false">MOD(A1743-1,Pemetaan!$B$3*Pemetaan!$B$4)</f>
        <v>841</v>
      </c>
      <c r="D1743" s="0" t="n">
        <f aca="false">INT(C1743/Pemetaan!$B$4)</f>
        <v>33</v>
      </c>
      <c r="E1743" s="0" t="n">
        <f aca="false">MOD(C1743,Pemetaan!$B$4)</f>
        <v>16</v>
      </c>
      <c r="F1743" s="0" t="n">
        <f aca="false">IF(B1743="PRODUKSI",Pemetaan!$B$5,Pemetaan!$B$6)</f>
        <v>46</v>
      </c>
      <c r="G1743" s="0" t="n">
        <f aca="false">F1743+2+D1743</f>
        <v>81</v>
      </c>
      <c r="H1743" s="0" t="n">
        <f aca="false">Pemetaan!$B$2+E1743</f>
        <v>21</v>
      </c>
      <c r="I1743" s="0" t="str">
        <f aca="false">INDEX(Laporan!$A$1:$AZ$300,G1743,1)</f>
        <v>Mixing</v>
      </c>
      <c r="J1743" s="0" t="str">
        <f aca="false">INDEX(Laporan!$A$1:$AZ$300,G1743,2)</f>
        <v>1,5 L</v>
      </c>
      <c r="K1743" s="0" t="str">
        <f aca="false">INDEX(Laporan!$A$1:$AZ$300,G1743,3)</f>
        <v>Shift 2</v>
      </c>
      <c r="L1743" s="0" t="n">
        <f aca="false">INDEX(Laporan!$A$1:$AZ$300,G1743,4)</f>
        <v>1</v>
      </c>
      <c r="M1743" s="1" t="n">
        <f aca="false">DATE(Pemetaan!$B$1,VALUE(RIGHT(INDEX(Laporan!$A$1:$AZ$300,F1743+1,H1743),2)),VALUE(LEFT(INDEX(Laporan!$A$1:$AZ$300,F1743+1,H1743),2)))</f>
        <v>46105</v>
      </c>
      <c r="N1743" s="0" t="n">
        <f aca="false">INDEX(Laporan!$A$1:$AZ$300,G1743,H1743)</f>
        <v>10</v>
      </c>
      <c r="O1743" s="0" t="n">
        <f aca="false">IF(N1743="","",IFERROR(VALUE(SUBSTITUTE(SUBSTITUTE(N1743," btl",""),".","")),""))</f>
        <v>10</v>
      </c>
      <c r="P1743" s="0" t="str">
        <f aca="false">IF(B1743="PRODUKSI","produced","reject")</f>
        <v>reject</v>
      </c>
    </row>
    <row r="1744" customFormat="false" ht="15" hidden="false" customHeight="false" outlineLevel="0" collapsed="false">
      <c r="A1744" s="0" t="n">
        <v>1743</v>
      </c>
      <c r="B1744" s="0" t="str">
        <f aca="false">IF(A1744&lt;=36*25,"PRODUKSI","REJECT")</f>
        <v>REJECT</v>
      </c>
      <c r="C1744" s="0" t="n">
        <f aca="false">MOD(A1744-1,Pemetaan!$B$3*Pemetaan!$B$4)</f>
        <v>842</v>
      </c>
      <c r="D1744" s="0" t="n">
        <f aca="false">INT(C1744/Pemetaan!$B$4)</f>
        <v>33</v>
      </c>
      <c r="E1744" s="0" t="n">
        <f aca="false">MOD(C1744,Pemetaan!$B$4)</f>
        <v>17</v>
      </c>
      <c r="F1744" s="0" t="n">
        <f aca="false">IF(B1744="PRODUKSI",Pemetaan!$B$5,Pemetaan!$B$6)</f>
        <v>46</v>
      </c>
      <c r="G1744" s="0" t="n">
        <f aca="false">F1744+2+D1744</f>
        <v>81</v>
      </c>
      <c r="H1744" s="0" t="n">
        <f aca="false">Pemetaan!$B$2+E1744</f>
        <v>22</v>
      </c>
      <c r="I1744" s="0" t="str">
        <f aca="false">INDEX(Laporan!$A$1:$AZ$300,G1744,1)</f>
        <v>Mixing</v>
      </c>
      <c r="J1744" s="0" t="str">
        <f aca="false">INDEX(Laporan!$A$1:$AZ$300,G1744,2)</f>
        <v>1,5 L</v>
      </c>
      <c r="K1744" s="0" t="str">
        <f aca="false">INDEX(Laporan!$A$1:$AZ$300,G1744,3)</f>
        <v>Shift 2</v>
      </c>
      <c r="L1744" s="0" t="n">
        <f aca="false">INDEX(Laporan!$A$1:$AZ$300,G1744,4)</f>
        <v>1</v>
      </c>
      <c r="M1744" s="1" t="n">
        <f aca="false">DATE(Pemetaan!$B$1,VALUE(RIGHT(INDEX(Laporan!$A$1:$AZ$300,F1744+1,H1744),2)),VALUE(LEFT(INDEX(Laporan!$A$1:$AZ$300,F1744+1,H1744),2)))</f>
        <v>46106</v>
      </c>
      <c r="N1744" s="0" t="n">
        <f aca="false">INDEX(Laporan!$A$1:$AZ$300,G1744,H1744)</f>
        <v>17</v>
      </c>
      <c r="O1744" s="0" t="n">
        <f aca="false">IF(N1744="","",IFERROR(VALUE(SUBSTITUTE(SUBSTITUTE(N1744," btl",""),".","")),""))</f>
        <v>17</v>
      </c>
      <c r="P1744" s="0" t="str">
        <f aca="false">IF(B1744="PRODUKSI","produced","reject")</f>
        <v>reject</v>
      </c>
    </row>
    <row r="1745" customFormat="false" ht="15" hidden="false" customHeight="false" outlineLevel="0" collapsed="false">
      <c r="A1745" s="0" t="n">
        <v>1744</v>
      </c>
      <c r="B1745" s="0" t="str">
        <f aca="false">IF(A1745&lt;=36*25,"PRODUKSI","REJECT")</f>
        <v>REJECT</v>
      </c>
      <c r="C1745" s="0" t="n">
        <f aca="false">MOD(A1745-1,Pemetaan!$B$3*Pemetaan!$B$4)</f>
        <v>843</v>
      </c>
      <c r="D1745" s="0" t="n">
        <f aca="false">INT(C1745/Pemetaan!$B$4)</f>
        <v>33</v>
      </c>
      <c r="E1745" s="0" t="n">
        <f aca="false">MOD(C1745,Pemetaan!$B$4)</f>
        <v>18</v>
      </c>
      <c r="F1745" s="0" t="n">
        <f aca="false">IF(B1745="PRODUKSI",Pemetaan!$B$5,Pemetaan!$B$6)</f>
        <v>46</v>
      </c>
      <c r="G1745" s="0" t="n">
        <f aca="false">F1745+2+D1745</f>
        <v>81</v>
      </c>
      <c r="H1745" s="0" t="n">
        <f aca="false">Pemetaan!$B$2+E1745</f>
        <v>23</v>
      </c>
      <c r="I1745" s="0" t="str">
        <f aca="false">INDEX(Laporan!$A$1:$AZ$300,G1745,1)</f>
        <v>Mixing</v>
      </c>
      <c r="J1745" s="0" t="str">
        <f aca="false">INDEX(Laporan!$A$1:$AZ$300,G1745,2)</f>
        <v>1,5 L</v>
      </c>
      <c r="K1745" s="0" t="str">
        <f aca="false">INDEX(Laporan!$A$1:$AZ$300,G1745,3)</f>
        <v>Shift 2</v>
      </c>
      <c r="L1745" s="0" t="n">
        <f aca="false">INDEX(Laporan!$A$1:$AZ$300,G1745,4)</f>
        <v>1</v>
      </c>
      <c r="M1745" s="1" t="n">
        <f aca="false">DATE(Pemetaan!$B$1,VALUE(RIGHT(INDEX(Laporan!$A$1:$AZ$300,F1745+1,H1745),2)),VALUE(LEFT(INDEX(Laporan!$A$1:$AZ$300,F1745+1,H1745),2)))</f>
        <v>46107</v>
      </c>
      <c r="N1745" s="0" t="n">
        <f aca="false">INDEX(Laporan!$A$1:$AZ$300,G1745,H1745)</f>
        <v>7</v>
      </c>
      <c r="O1745" s="0" t="n">
        <f aca="false">IF(N1745="","",IFERROR(VALUE(SUBSTITUTE(SUBSTITUTE(N1745," btl",""),".","")),""))</f>
        <v>7</v>
      </c>
      <c r="P1745" s="0" t="str">
        <f aca="false">IF(B1745="PRODUKSI","produced","reject")</f>
        <v>reject</v>
      </c>
    </row>
    <row r="1746" customFormat="false" ht="15" hidden="false" customHeight="false" outlineLevel="0" collapsed="false">
      <c r="A1746" s="0" t="n">
        <v>1745</v>
      </c>
      <c r="B1746" s="0" t="str">
        <f aca="false">IF(A1746&lt;=36*25,"PRODUKSI","REJECT")</f>
        <v>REJECT</v>
      </c>
      <c r="C1746" s="0" t="n">
        <f aca="false">MOD(A1746-1,Pemetaan!$B$3*Pemetaan!$B$4)</f>
        <v>844</v>
      </c>
      <c r="D1746" s="0" t="n">
        <f aca="false">INT(C1746/Pemetaan!$B$4)</f>
        <v>33</v>
      </c>
      <c r="E1746" s="0" t="n">
        <f aca="false">MOD(C1746,Pemetaan!$B$4)</f>
        <v>19</v>
      </c>
      <c r="F1746" s="0" t="n">
        <f aca="false">IF(B1746="PRODUKSI",Pemetaan!$B$5,Pemetaan!$B$6)</f>
        <v>46</v>
      </c>
      <c r="G1746" s="0" t="n">
        <f aca="false">F1746+2+D1746</f>
        <v>81</v>
      </c>
      <c r="H1746" s="0" t="n">
        <f aca="false">Pemetaan!$B$2+E1746</f>
        <v>24</v>
      </c>
      <c r="I1746" s="0" t="str">
        <f aca="false">INDEX(Laporan!$A$1:$AZ$300,G1746,1)</f>
        <v>Mixing</v>
      </c>
      <c r="J1746" s="0" t="str">
        <f aca="false">INDEX(Laporan!$A$1:$AZ$300,G1746,2)</f>
        <v>1,5 L</v>
      </c>
      <c r="K1746" s="0" t="str">
        <f aca="false">INDEX(Laporan!$A$1:$AZ$300,G1746,3)</f>
        <v>Shift 2</v>
      </c>
      <c r="L1746" s="0" t="n">
        <f aca="false">INDEX(Laporan!$A$1:$AZ$300,G1746,4)</f>
        <v>1</v>
      </c>
      <c r="M1746" s="1" t="n">
        <f aca="false">DATE(Pemetaan!$B$1,VALUE(RIGHT(INDEX(Laporan!$A$1:$AZ$300,F1746+1,H1746),2)),VALUE(LEFT(INDEX(Laporan!$A$1:$AZ$300,F1746+1,H1746),2)))</f>
        <v>46108</v>
      </c>
      <c r="N1746" s="0" t="n">
        <f aca="false">INDEX(Laporan!$A$1:$AZ$300,G1746,H1746)</f>
        <v>5</v>
      </c>
      <c r="O1746" s="0" t="n">
        <f aca="false">IF(N1746="","",IFERROR(VALUE(SUBSTITUTE(SUBSTITUTE(N1746," btl",""),".","")),""))</f>
        <v>5</v>
      </c>
      <c r="P1746" s="0" t="str">
        <f aca="false">IF(B1746="PRODUKSI","produced","reject")</f>
        <v>reject</v>
      </c>
    </row>
    <row r="1747" customFormat="false" ht="15" hidden="false" customHeight="false" outlineLevel="0" collapsed="false">
      <c r="A1747" s="0" t="n">
        <v>1746</v>
      </c>
      <c r="B1747" s="0" t="str">
        <f aca="false">IF(A1747&lt;=36*25,"PRODUKSI","REJECT")</f>
        <v>REJECT</v>
      </c>
      <c r="C1747" s="0" t="n">
        <f aca="false">MOD(A1747-1,Pemetaan!$B$3*Pemetaan!$B$4)</f>
        <v>845</v>
      </c>
      <c r="D1747" s="0" t="n">
        <f aca="false">INT(C1747/Pemetaan!$B$4)</f>
        <v>33</v>
      </c>
      <c r="E1747" s="0" t="n">
        <f aca="false">MOD(C1747,Pemetaan!$B$4)</f>
        <v>20</v>
      </c>
      <c r="F1747" s="0" t="n">
        <f aca="false">IF(B1747="PRODUKSI",Pemetaan!$B$5,Pemetaan!$B$6)</f>
        <v>46</v>
      </c>
      <c r="G1747" s="0" t="n">
        <f aca="false">F1747+2+D1747</f>
        <v>81</v>
      </c>
      <c r="H1747" s="0" t="n">
        <f aca="false">Pemetaan!$B$2+E1747</f>
        <v>25</v>
      </c>
      <c r="I1747" s="0" t="str">
        <f aca="false">INDEX(Laporan!$A$1:$AZ$300,G1747,1)</f>
        <v>Mixing</v>
      </c>
      <c r="J1747" s="0" t="str">
        <f aca="false">INDEX(Laporan!$A$1:$AZ$300,G1747,2)</f>
        <v>1,5 L</v>
      </c>
      <c r="K1747" s="0" t="str">
        <f aca="false">INDEX(Laporan!$A$1:$AZ$300,G1747,3)</f>
        <v>Shift 2</v>
      </c>
      <c r="L1747" s="0" t="n">
        <f aca="false">INDEX(Laporan!$A$1:$AZ$300,G1747,4)</f>
        <v>1</v>
      </c>
      <c r="M1747" s="1" t="n">
        <f aca="false">DATE(Pemetaan!$B$1,VALUE(RIGHT(INDEX(Laporan!$A$1:$AZ$300,F1747+1,H1747),2)),VALUE(LEFT(INDEX(Laporan!$A$1:$AZ$300,F1747+1,H1747),2)))</f>
        <v>46111</v>
      </c>
      <c r="N1747" s="0" t="n">
        <f aca="false">INDEX(Laporan!$A$1:$AZ$300,G1747,H1747)</f>
        <v>9</v>
      </c>
      <c r="O1747" s="0" t="n">
        <f aca="false">IF(N1747="","",IFERROR(VALUE(SUBSTITUTE(SUBSTITUTE(N1747," btl",""),".","")),""))</f>
        <v>9</v>
      </c>
      <c r="P1747" s="0" t="str">
        <f aca="false">IF(B1747="PRODUKSI","produced","reject")</f>
        <v>reject</v>
      </c>
    </row>
    <row r="1748" customFormat="false" ht="15" hidden="false" customHeight="false" outlineLevel="0" collapsed="false">
      <c r="A1748" s="0" t="n">
        <v>1747</v>
      </c>
      <c r="B1748" s="0" t="str">
        <f aca="false">IF(A1748&lt;=36*25,"PRODUKSI","REJECT")</f>
        <v>REJECT</v>
      </c>
      <c r="C1748" s="0" t="n">
        <f aca="false">MOD(A1748-1,Pemetaan!$B$3*Pemetaan!$B$4)</f>
        <v>846</v>
      </c>
      <c r="D1748" s="0" t="n">
        <f aca="false">INT(C1748/Pemetaan!$B$4)</f>
        <v>33</v>
      </c>
      <c r="E1748" s="0" t="n">
        <f aca="false">MOD(C1748,Pemetaan!$B$4)</f>
        <v>21</v>
      </c>
      <c r="F1748" s="0" t="n">
        <f aca="false">IF(B1748="PRODUKSI",Pemetaan!$B$5,Pemetaan!$B$6)</f>
        <v>46</v>
      </c>
      <c r="G1748" s="0" t="n">
        <f aca="false">F1748+2+D1748</f>
        <v>81</v>
      </c>
      <c r="H1748" s="0" t="n">
        <f aca="false">Pemetaan!$B$2+E1748</f>
        <v>26</v>
      </c>
      <c r="I1748" s="0" t="str">
        <f aca="false">INDEX(Laporan!$A$1:$AZ$300,G1748,1)</f>
        <v>Mixing</v>
      </c>
      <c r="J1748" s="0" t="str">
        <f aca="false">INDEX(Laporan!$A$1:$AZ$300,G1748,2)</f>
        <v>1,5 L</v>
      </c>
      <c r="K1748" s="0" t="str">
        <f aca="false">INDEX(Laporan!$A$1:$AZ$300,G1748,3)</f>
        <v>Shift 2</v>
      </c>
      <c r="L1748" s="0" t="n">
        <f aca="false">INDEX(Laporan!$A$1:$AZ$300,G1748,4)</f>
        <v>1</v>
      </c>
      <c r="M1748" s="1" t="n">
        <f aca="false">DATE(Pemetaan!$B$1,VALUE(RIGHT(INDEX(Laporan!$A$1:$AZ$300,F1748+1,H1748),2)),VALUE(LEFT(INDEX(Laporan!$A$1:$AZ$300,F1748+1,H1748),2)))</f>
        <v>46112</v>
      </c>
      <c r="N1748" s="0" t="n">
        <f aca="false">INDEX(Laporan!$A$1:$AZ$300,G1748,H1748)</f>
        <v>12</v>
      </c>
      <c r="O1748" s="0" t="n">
        <f aca="false">IF(N1748="","",IFERROR(VALUE(SUBSTITUTE(SUBSTITUTE(N1748," btl",""),".","")),""))</f>
        <v>12</v>
      </c>
      <c r="P1748" s="0" t="str">
        <f aca="false">IF(B1748="PRODUKSI","produced","reject")</f>
        <v>reject</v>
      </c>
    </row>
    <row r="1749" customFormat="false" ht="15" hidden="false" customHeight="false" outlineLevel="0" collapsed="false">
      <c r="A1749" s="0" t="n">
        <v>1748</v>
      </c>
      <c r="B1749" s="0" t="str">
        <f aca="false">IF(A1749&lt;=36*25,"PRODUKSI","REJECT")</f>
        <v>REJECT</v>
      </c>
      <c r="C1749" s="0" t="n">
        <f aca="false">MOD(A1749-1,Pemetaan!$B$3*Pemetaan!$B$4)</f>
        <v>847</v>
      </c>
      <c r="D1749" s="0" t="n">
        <f aca="false">INT(C1749/Pemetaan!$B$4)</f>
        <v>33</v>
      </c>
      <c r="E1749" s="0" t="n">
        <f aca="false">MOD(C1749,Pemetaan!$B$4)</f>
        <v>22</v>
      </c>
      <c r="F1749" s="0" t="n">
        <f aca="false">IF(B1749="PRODUKSI",Pemetaan!$B$5,Pemetaan!$B$6)</f>
        <v>46</v>
      </c>
      <c r="G1749" s="0" t="n">
        <f aca="false">F1749+2+D1749</f>
        <v>81</v>
      </c>
      <c r="H1749" s="0" t="n">
        <f aca="false">Pemetaan!$B$2+E1749</f>
        <v>27</v>
      </c>
      <c r="I1749" s="0" t="str">
        <f aca="false">INDEX(Laporan!$A$1:$AZ$300,G1749,1)</f>
        <v>Mixing</v>
      </c>
      <c r="J1749" s="0" t="str">
        <f aca="false">INDEX(Laporan!$A$1:$AZ$300,G1749,2)</f>
        <v>1,5 L</v>
      </c>
      <c r="K1749" s="0" t="str">
        <f aca="false">INDEX(Laporan!$A$1:$AZ$300,G1749,3)</f>
        <v>Shift 2</v>
      </c>
      <c r="L1749" s="0" t="n">
        <f aca="false">INDEX(Laporan!$A$1:$AZ$300,G1749,4)</f>
        <v>1</v>
      </c>
      <c r="M1749" s="1" t="n">
        <f aca="false">DATE(Pemetaan!$B$1,VALUE(RIGHT(INDEX(Laporan!$A$1:$AZ$300,F1749+1,H1749),2)),VALUE(LEFT(INDEX(Laporan!$A$1:$AZ$300,F1749+1,H1749),2)))</f>
        <v>46113</v>
      </c>
      <c r="N1749" s="0" t="n">
        <f aca="false">INDEX(Laporan!$A$1:$AZ$300,G1749,H1749)</f>
        <v>8</v>
      </c>
      <c r="O1749" s="0" t="n">
        <f aca="false">IF(N1749="","",IFERROR(VALUE(SUBSTITUTE(SUBSTITUTE(N1749," btl",""),".","")),""))</f>
        <v>8</v>
      </c>
      <c r="P1749" s="0" t="str">
        <f aca="false">IF(B1749="PRODUKSI","produced","reject")</f>
        <v>reject</v>
      </c>
    </row>
    <row r="1750" customFormat="false" ht="15" hidden="false" customHeight="false" outlineLevel="0" collapsed="false">
      <c r="A1750" s="0" t="n">
        <v>1749</v>
      </c>
      <c r="B1750" s="0" t="str">
        <f aca="false">IF(A1750&lt;=36*25,"PRODUKSI","REJECT")</f>
        <v>REJECT</v>
      </c>
      <c r="C1750" s="0" t="n">
        <f aca="false">MOD(A1750-1,Pemetaan!$B$3*Pemetaan!$B$4)</f>
        <v>848</v>
      </c>
      <c r="D1750" s="0" t="n">
        <f aca="false">INT(C1750/Pemetaan!$B$4)</f>
        <v>33</v>
      </c>
      <c r="E1750" s="0" t="n">
        <f aca="false">MOD(C1750,Pemetaan!$B$4)</f>
        <v>23</v>
      </c>
      <c r="F1750" s="0" t="n">
        <f aca="false">IF(B1750="PRODUKSI",Pemetaan!$B$5,Pemetaan!$B$6)</f>
        <v>46</v>
      </c>
      <c r="G1750" s="0" t="n">
        <f aca="false">F1750+2+D1750</f>
        <v>81</v>
      </c>
      <c r="H1750" s="0" t="n">
        <f aca="false">Pemetaan!$B$2+E1750</f>
        <v>28</v>
      </c>
      <c r="I1750" s="0" t="str">
        <f aca="false">INDEX(Laporan!$A$1:$AZ$300,G1750,1)</f>
        <v>Mixing</v>
      </c>
      <c r="J1750" s="0" t="str">
        <f aca="false">INDEX(Laporan!$A$1:$AZ$300,G1750,2)</f>
        <v>1,5 L</v>
      </c>
      <c r="K1750" s="0" t="str">
        <f aca="false">INDEX(Laporan!$A$1:$AZ$300,G1750,3)</f>
        <v>Shift 2</v>
      </c>
      <c r="L1750" s="0" t="n">
        <f aca="false">INDEX(Laporan!$A$1:$AZ$300,G1750,4)</f>
        <v>1</v>
      </c>
      <c r="M1750" s="1" t="n">
        <f aca="false">DATE(Pemetaan!$B$1,VALUE(RIGHT(INDEX(Laporan!$A$1:$AZ$300,F1750+1,H1750),2)),VALUE(LEFT(INDEX(Laporan!$A$1:$AZ$300,F1750+1,H1750),2)))</f>
        <v>46114</v>
      </c>
      <c r="N1750" s="0" t="n">
        <f aca="false">INDEX(Laporan!$A$1:$AZ$300,G1750,H1750)</f>
        <v>8</v>
      </c>
      <c r="O1750" s="0" t="n">
        <f aca="false">IF(N1750="","",IFERROR(VALUE(SUBSTITUTE(SUBSTITUTE(N1750," btl",""),".","")),""))</f>
        <v>8</v>
      </c>
      <c r="P1750" s="0" t="str">
        <f aca="false">IF(B1750="PRODUKSI","produced","reject")</f>
        <v>reject</v>
      </c>
    </row>
    <row r="1751" customFormat="false" ht="15" hidden="false" customHeight="false" outlineLevel="0" collapsed="false">
      <c r="A1751" s="0" t="n">
        <v>1750</v>
      </c>
      <c r="B1751" s="0" t="str">
        <f aca="false">IF(A1751&lt;=36*25,"PRODUKSI","REJECT")</f>
        <v>REJECT</v>
      </c>
      <c r="C1751" s="0" t="n">
        <f aca="false">MOD(A1751-1,Pemetaan!$B$3*Pemetaan!$B$4)</f>
        <v>849</v>
      </c>
      <c r="D1751" s="0" t="n">
        <f aca="false">INT(C1751/Pemetaan!$B$4)</f>
        <v>33</v>
      </c>
      <c r="E1751" s="0" t="n">
        <f aca="false">MOD(C1751,Pemetaan!$B$4)</f>
        <v>24</v>
      </c>
      <c r="F1751" s="0" t="n">
        <f aca="false">IF(B1751="PRODUKSI",Pemetaan!$B$5,Pemetaan!$B$6)</f>
        <v>46</v>
      </c>
      <c r="G1751" s="0" t="n">
        <f aca="false">F1751+2+D1751</f>
        <v>81</v>
      </c>
      <c r="H1751" s="0" t="n">
        <f aca="false">Pemetaan!$B$2+E1751</f>
        <v>29</v>
      </c>
      <c r="I1751" s="0" t="str">
        <f aca="false">INDEX(Laporan!$A$1:$AZ$300,G1751,1)</f>
        <v>Mixing</v>
      </c>
      <c r="J1751" s="0" t="str">
        <f aca="false">INDEX(Laporan!$A$1:$AZ$300,G1751,2)</f>
        <v>1,5 L</v>
      </c>
      <c r="K1751" s="0" t="str">
        <f aca="false">INDEX(Laporan!$A$1:$AZ$300,G1751,3)</f>
        <v>Shift 2</v>
      </c>
      <c r="L1751" s="0" t="n">
        <f aca="false">INDEX(Laporan!$A$1:$AZ$300,G1751,4)</f>
        <v>1</v>
      </c>
      <c r="M1751" s="1" t="n">
        <f aca="false">DATE(Pemetaan!$B$1,VALUE(RIGHT(INDEX(Laporan!$A$1:$AZ$300,F1751+1,H1751),2)),VALUE(LEFT(INDEX(Laporan!$A$1:$AZ$300,F1751+1,H1751),2)))</f>
        <v>46115</v>
      </c>
      <c r="N1751" s="0" t="n">
        <f aca="false">INDEX(Laporan!$A$1:$AZ$300,G1751,H1751)</f>
        <v>5</v>
      </c>
      <c r="O1751" s="0" t="n">
        <f aca="false">IF(N1751="","",IFERROR(VALUE(SUBSTITUTE(SUBSTITUTE(N1751," btl",""),".","")),""))</f>
        <v>5</v>
      </c>
      <c r="P1751" s="0" t="str">
        <f aca="false">IF(B1751="PRODUKSI","produced","reject")</f>
        <v>reject</v>
      </c>
    </row>
    <row r="1752" customFormat="false" ht="15" hidden="false" customHeight="false" outlineLevel="0" collapsed="false">
      <c r="A1752" s="0" t="n">
        <v>1751</v>
      </c>
      <c r="B1752" s="0" t="str">
        <f aca="false">IF(A1752&lt;=36*25,"PRODUKSI","REJECT")</f>
        <v>REJECT</v>
      </c>
      <c r="C1752" s="0" t="n">
        <f aca="false">MOD(A1752-1,Pemetaan!$B$3*Pemetaan!$B$4)</f>
        <v>850</v>
      </c>
      <c r="D1752" s="0" t="n">
        <f aca="false">INT(C1752/Pemetaan!$B$4)</f>
        <v>34</v>
      </c>
      <c r="E1752" s="0" t="n">
        <f aca="false">MOD(C1752,Pemetaan!$B$4)</f>
        <v>0</v>
      </c>
      <c r="F1752" s="0" t="n">
        <f aca="false">IF(B1752="PRODUKSI",Pemetaan!$B$5,Pemetaan!$B$6)</f>
        <v>46</v>
      </c>
      <c r="G1752" s="0" t="n">
        <f aca="false">F1752+2+D1752</f>
        <v>82</v>
      </c>
      <c r="H1752" s="0" t="n">
        <f aca="false">Pemetaan!$B$2+E1752</f>
        <v>5</v>
      </c>
      <c r="I1752" s="0" t="str">
        <f aca="false">INDEX(Laporan!$A$1:$AZ$300,G1752,1)</f>
        <v>Mixing</v>
      </c>
      <c r="J1752" s="0" t="str">
        <f aca="false">INDEX(Laporan!$A$1:$AZ$300,G1752,2)</f>
        <v>1,5 L</v>
      </c>
      <c r="K1752" s="0" t="str">
        <f aca="false">INDEX(Laporan!$A$1:$AZ$300,G1752,3)</f>
        <v>Shift 2</v>
      </c>
      <c r="L1752" s="0" t="n">
        <f aca="false">INDEX(Laporan!$A$1:$AZ$300,G1752,4)</f>
        <v>2</v>
      </c>
      <c r="M1752" s="1" t="n">
        <f aca="false">DATE(Pemetaan!$B$1,VALUE(RIGHT(INDEX(Laporan!$A$1:$AZ$300,F1752+1,H1752),2)),VALUE(LEFT(INDEX(Laporan!$A$1:$AZ$300,F1752+1,H1752),2)))</f>
        <v>46083</v>
      </c>
      <c r="N1752" s="0" t="n">
        <f aca="false">INDEX(Laporan!$A$1:$AZ$300,G1752,H1752)</f>
        <v>10</v>
      </c>
      <c r="O1752" s="0" t="n">
        <f aca="false">IF(N1752="","",IFERROR(VALUE(SUBSTITUTE(SUBSTITUTE(N1752," btl",""),".","")),""))</f>
        <v>10</v>
      </c>
      <c r="P1752" s="0" t="str">
        <f aca="false">IF(B1752="PRODUKSI","produced","reject")</f>
        <v>reject</v>
      </c>
    </row>
    <row r="1753" customFormat="false" ht="15" hidden="false" customHeight="false" outlineLevel="0" collapsed="false">
      <c r="A1753" s="0" t="n">
        <v>1752</v>
      </c>
      <c r="B1753" s="0" t="str">
        <f aca="false">IF(A1753&lt;=36*25,"PRODUKSI","REJECT")</f>
        <v>REJECT</v>
      </c>
      <c r="C1753" s="0" t="n">
        <f aca="false">MOD(A1753-1,Pemetaan!$B$3*Pemetaan!$B$4)</f>
        <v>851</v>
      </c>
      <c r="D1753" s="0" t="n">
        <f aca="false">INT(C1753/Pemetaan!$B$4)</f>
        <v>34</v>
      </c>
      <c r="E1753" s="0" t="n">
        <f aca="false">MOD(C1753,Pemetaan!$B$4)</f>
        <v>1</v>
      </c>
      <c r="F1753" s="0" t="n">
        <f aca="false">IF(B1753="PRODUKSI",Pemetaan!$B$5,Pemetaan!$B$6)</f>
        <v>46</v>
      </c>
      <c r="G1753" s="0" t="n">
        <f aca="false">F1753+2+D1753</f>
        <v>82</v>
      </c>
      <c r="H1753" s="0" t="n">
        <f aca="false">Pemetaan!$B$2+E1753</f>
        <v>6</v>
      </c>
      <c r="I1753" s="0" t="str">
        <f aca="false">INDEX(Laporan!$A$1:$AZ$300,G1753,1)</f>
        <v>Mixing</v>
      </c>
      <c r="J1753" s="0" t="str">
        <f aca="false">INDEX(Laporan!$A$1:$AZ$300,G1753,2)</f>
        <v>1,5 L</v>
      </c>
      <c r="K1753" s="0" t="str">
        <f aca="false">INDEX(Laporan!$A$1:$AZ$300,G1753,3)</f>
        <v>Shift 2</v>
      </c>
      <c r="L1753" s="0" t="n">
        <f aca="false">INDEX(Laporan!$A$1:$AZ$300,G1753,4)</f>
        <v>2</v>
      </c>
      <c r="M1753" s="1" t="n">
        <f aca="false">DATE(Pemetaan!$B$1,VALUE(RIGHT(INDEX(Laporan!$A$1:$AZ$300,F1753+1,H1753),2)),VALUE(LEFT(INDEX(Laporan!$A$1:$AZ$300,F1753+1,H1753),2)))</f>
        <v>46084</v>
      </c>
      <c r="N1753" s="0" t="n">
        <f aca="false">INDEX(Laporan!$A$1:$AZ$300,G1753,H1753)</f>
        <v>11</v>
      </c>
      <c r="O1753" s="0" t="n">
        <f aca="false">IF(N1753="","",IFERROR(VALUE(SUBSTITUTE(SUBSTITUTE(N1753," btl",""),".","")),""))</f>
        <v>11</v>
      </c>
      <c r="P1753" s="0" t="str">
        <f aca="false">IF(B1753="PRODUKSI","produced","reject")</f>
        <v>reject</v>
      </c>
    </row>
    <row r="1754" customFormat="false" ht="15" hidden="false" customHeight="false" outlineLevel="0" collapsed="false">
      <c r="A1754" s="0" t="n">
        <v>1753</v>
      </c>
      <c r="B1754" s="0" t="str">
        <f aca="false">IF(A1754&lt;=36*25,"PRODUKSI","REJECT")</f>
        <v>REJECT</v>
      </c>
      <c r="C1754" s="0" t="n">
        <f aca="false">MOD(A1754-1,Pemetaan!$B$3*Pemetaan!$B$4)</f>
        <v>852</v>
      </c>
      <c r="D1754" s="0" t="n">
        <f aca="false">INT(C1754/Pemetaan!$B$4)</f>
        <v>34</v>
      </c>
      <c r="E1754" s="0" t="n">
        <f aca="false">MOD(C1754,Pemetaan!$B$4)</f>
        <v>2</v>
      </c>
      <c r="F1754" s="0" t="n">
        <f aca="false">IF(B1754="PRODUKSI",Pemetaan!$B$5,Pemetaan!$B$6)</f>
        <v>46</v>
      </c>
      <c r="G1754" s="0" t="n">
        <f aca="false">F1754+2+D1754</f>
        <v>82</v>
      </c>
      <c r="H1754" s="0" t="n">
        <f aca="false">Pemetaan!$B$2+E1754</f>
        <v>7</v>
      </c>
      <c r="I1754" s="0" t="str">
        <f aca="false">INDEX(Laporan!$A$1:$AZ$300,G1754,1)</f>
        <v>Mixing</v>
      </c>
      <c r="J1754" s="0" t="str">
        <f aca="false">INDEX(Laporan!$A$1:$AZ$300,G1754,2)</f>
        <v>1,5 L</v>
      </c>
      <c r="K1754" s="0" t="str">
        <f aca="false">INDEX(Laporan!$A$1:$AZ$300,G1754,3)</f>
        <v>Shift 2</v>
      </c>
      <c r="L1754" s="0" t="n">
        <f aca="false">INDEX(Laporan!$A$1:$AZ$300,G1754,4)</f>
        <v>2</v>
      </c>
      <c r="M1754" s="1" t="n">
        <f aca="false">DATE(Pemetaan!$B$1,VALUE(RIGHT(INDEX(Laporan!$A$1:$AZ$300,F1754+1,H1754),2)),VALUE(LEFT(INDEX(Laporan!$A$1:$AZ$300,F1754+1,H1754),2)))</f>
        <v>46085</v>
      </c>
      <c r="N1754" s="0" t="n">
        <f aca="false">INDEX(Laporan!$A$1:$AZ$300,G1754,H1754)</f>
        <v>10</v>
      </c>
      <c r="O1754" s="0" t="n">
        <f aca="false">IF(N1754="","",IFERROR(VALUE(SUBSTITUTE(SUBSTITUTE(N1754," btl",""),".","")),""))</f>
        <v>10</v>
      </c>
      <c r="P1754" s="0" t="str">
        <f aca="false">IF(B1754="PRODUKSI","produced","reject")</f>
        <v>reject</v>
      </c>
    </row>
    <row r="1755" customFormat="false" ht="15" hidden="false" customHeight="false" outlineLevel="0" collapsed="false">
      <c r="A1755" s="0" t="n">
        <v>1754</v>
      </c>
      <c r="B1755" s="0" t="str">
        <f aca="false">IF(A1755&lt;=36*25,"PRODUKSI","REJECT")</f>
        <v>REJECT</v>
      </c>
      <c r="C1755" s="0" t="n">
        <f aca="false">MOD(A1755-1,Pemetaan!$B$3*Pemetaan!$B$4)</f>
        <v>853</v>
      </c>
      <c r="D1755" s="0" t="n">
        <f aca="false">INT(C1755/Pemetaan!$B$4)</f>
        <v>34</v>
      </c>
      <c r="E1755" s="0" t="n">
        <f aca="false">MOD(C1755,Pemetaan!$B$4)</f>
        <v>3</v>
      </c>
      <c r="F1755" s="0" t="n">
        <f aca="false">IF(B1755="PRODUKSI",Pemetaan!$B$5,Pemetaan!$B$6)</f>
        <v>46</v>
      </c>
      <c r="G1755" s="0" t="n">
        <f aca="false">F1755+2+D1755</f>
        <v>82</v>
      </c>
      <c r="H1755" s="0" t="n">
        <f aca="false">Pemetaan!$B$2+E1755</f>
        <v>8</v>
      </c>
      <c r="I1755" s="0" t="str">
        <f aca="false">INDEX(Laporan!$A$1:$AZ$300,G1755,1)</f>
        <v>Mixing</v>
      </c>
      <c r="J1755" s="0" t="str">
        <f aca="false">INDEX(Laporan!$A$1:$AZ$300,G1755,2)</f>
        <v>1,5 L</v>
      </c>
      <c r="K1755" s="0" t="str">
        <f aca="false">INDEX(Laporan!$A$1:$AZ$300,G1755,3)</f>
        <v>Shift 2</v>
      </c>
      <c r="L1755" s="0" t="n">
        <f aca="false">INDEX(Laporan!$A$1:$AZ$300,G1755,4)</f>
        <v>2</v>
      </c>
      <c r="M1755" s="1" t="n">
        <f aca="false">DATE(Pemetaan!$B$1,VALUE(RIGHT(INDEX(Laporan!$A$1:$AZ$300,F1755+1,H1755),2)),VALUE(LEFT(INDEX(Laporan!$A$1:$AZ$300,F1755+1,H1755),2)))</f>
        <v>46086</v>
      </c>
      <c r="N1755" s="0" t="n">
        <f aca="false">INDEX(Laporan!$A$1:$AZ$300,G1755,H1755)</f>
        <v>15</v>
      </c>
      <c r="O1755" s="0" t="n">
        <f aca="false">IF(N1755="","",IFERROR(VALUE(SUBSTITUTE(SUBSTITUTE(N1755," btl",""),".","")),""))</f>
        <v>15</v>
      </c>
      <c r="P1755" s="0" t="str">
        <f aca="false">IF(B1755="PRODUKSI","produced","reject")</f>
        <v>reject</v>
      </c>
    </row>
    <row r="1756" customFormat="false" ht="15" hidden="false" customHeight="false" outlineLevel="0" collapsed="false">
      <c r="A1756" s="0" t="n">
        <v>1755</v>
      </c>
      <c r="B1756" s="0" t="str">
        <f aca="false">IF(A1756&lt;=36*25,"PRODUKSI","REJECT")</f>
        <v>REJECT</v>
      </c>
      <c r="C1756" s="0" t="n">
        <f aca="false">MOD(A1756-1,Pemetaan!$B$3*Pemetaan!$B$4)</f>
        <v>854</v>
      </c>
      <c r="D1756" s="0" t="n">
        <f aca="false">INT(C1756/Pemetaan!$B$4)</f>
        <v>34</v>
      </c>
      <c r="E1756" s="0" t="n">
        <f aca="false">MOD(C1756,Pemetaan!$B$4)</f>
        <v>4</v>
      </c>
      <c r="F1756" s="0" t="n">
        <f aca="false">IF(B1756="PRODUKSI",Pemetaan!$B$5,Pemetaan!$B$6)</f>
        <v>46</v>
      </c>
      <c r="G1756" s="0" t="n">
        <f aca="false">F1756+2+D1756</f>
        <v>82</v>
      </c>
      <c r="H1756" s="0" t="n">
        <f aca="false">Pemetaan!$B$2+E1756</f>
        <v>9</v>
      </c>
      <c r="I1756" s="0" t="str">
        <f aca="false">INDEX(Laporan!$A$1:$AZ$300,G1756,1)</f>
        <v>Mixing</v>
      </c>
      <c r="J1756" s="0" t="str">
        <f aca="false">INDEX(Laporan!$A$1:$AZ$300,G1756,2)</f>
        <v>1,5 L</v>
      </c>
      <c r="K1756" s="0" t="str">
        <f aca="false">INDEX(Laporan!$A$1:$AZ$300,G1756,3)</f>
        <v>Shift 2</v>
      </c>
      <c r="L1756" s="0" t="n">
        <f aca="false">INDEX(Laporan!$A$1:$AZ$300,G1756,4)</f>
        <v>2</v>
      </c>
      <c r="M1756" s="1" t="n">
        <f aca="false">DATE(Pemetaan!$B$1,VALUE(RIGHT(INDEX(Laporan!$A$1:$AZ$300,F1756+1,H1756),2)),VALUE(LEFT(INDEX(Laporan!$A$1:$AZ$300,F1756+1,H1756),2)))</f>
        <v>46087</v>
      </c>
      <c r="N1756" s="0" t="n">
        <f aca="false">INDEX(Laporan!$A$1:$AZ$300,G1756,H1756)</f>
        <v>11</v>
      </c>
      <c r="O1756" s="0" t="n">
        <f aca="false">IF(N1756="","",IFERROR(VALUE(SUBSTITUTE(SUBSTITUTE(N1756," btl",""),".","")),""))</f>
        <v>11</v>
      </c>
      <c r="P1756" s="0" t="str">
        <f aca="false">IF(B1756="PRODUKSI","produced","reject")</f>
        <v>reject</v>
      </c>
    </row>
    <row r="1757" customFormat="false" ht="15" hidden="false" customHeight="false" outlineLevel="0" collapsed="false">
      <c r="A1757" s="0" t="n">
        <v>1756</v>
      </c>
      <c r="B1757" s="0" t="str">
        <f aca="false">IF(A1757&lt;=36*25,"PRODUKSI","REJECT")</f>
        <v>REJECT</v>
      </c>
      <c r="C1757" s="0" t="n">
        <f aca="false">MOD(A1757-1,Pemetaan!$B$3*Pemetaan!$B$4)</f>
        <v>855</v>
      </c>
      <c r="D1757" s="0" t="n">
        <f aca="false">INT(C1757/Pemetaan!$B$4)</f>
        <v>34</v>
      </c>
      <c r="E1757" s="0" t="n">
        <f aca="false">MOD(C1757,Pemetaan!$B$4)</f>
        <v>5</v>
      </c>
      <c r="F1757" s="0" t="n">
        <f aca="false">IF(B1757="PRODUKSI",Pemetaan!$B$5,Pemetaan!$B$6)</f>
        <v>46</v>
      </c>
      <c r="G1757" s="0" t="n">
        <f aca="false">F1757+2+D1757</f>
        <v>82</v>
      </c>
      <c r="H1757" s="0" t="n">
        <f aca="false">Pemetaan!$B$2+E1757</f>
        <v>10</v>
      </c>
      <c r="I1757" s="0" t="str">
        <f aca="false">INDEX(Laporan!$A$1:$AZ$300,G1757,1)</f>
        <v>Mixing</v>
      </c>
      <c r="J1757" s="0" t="str">
        <f aca="false">INDEX(Laporan!$A$1:$AZ$300,G1757,2)</f>
        <v>1,5 L</v>
      </c>
      <c r="K1757" s="0" t="str">
        <f aca="false">INDEX(Laporan!$A$1:$AZ$300,G1757,3)</f>
        <v>Shift 2</v>
      </c>
      <c r="L1757" s="0" t="n">
        <f aca="false">INDEX(Laporan!$A$1:$AZ$300,G1757,4)</f>
        <v>2</v>
      </c>
      <c r="M1757" s="1" t="n">
        <f aca="false">DATE(Pemetaan!$B$1,VALUE(RIGHT(INDEX(Laporan!$A$1:$AZ$300,F1757+1,H1757),2)),VALUE(LEFT(INDEX(Laporan!$A$1:$AZ$300,F1757+1,H1757),2)))</f>
        <v>46090</v>
      </c>
      <c r="N1757" s="0" t="n">
        <f aca="false">INDEX(Laporan!$A$1:$AZ$300,G1757,H1757)</f>
        <v>8</v>
      </c>
      <c r="O1757" s="0" t="n">
        <f aca="false">IF(N1757="","",IFERROR(VALUE(SUBSTITUTE(SUBSTITUTE(N1757," btl",""),".","")),""))</f>
        <v>8</v>
      </c>
      <c r="P1757" s="0" t="str">
        <f aca="false">IF(B1757="PRODUKSI","produced","reject")</f>
        <v>reject</v>
      </c>
    </row>
    <row r="1758" customFormat="false" ht="15" hidden="false" customHeight="false" outlineLevel="0" collapsed="false">
      <c r="A1758" s="0" t="n">
        <v>1757</v>
      </c>
      <c r="B1758" s="0" t="str">
        <f aca="false">IF(A1758&lt;=36*25,"PRODUKSI","REJECT")</f>
        <v>REJECT</v>
      </c>
      <c r="C1758" s="0" t="n">
        <f aca="false">MOD(A1758-1,Pemetaan!$B$3*Pemetaan!$B$4)</f>
        <v>856</v>
      </c>
      <c r="D1758" s="0" t="n">
        <f aca="false">INT(C1758/Pemetaan!$B$4)</f>
        <v>34</v>
      </c>
      <c r="E1758" s="0" t="n">
        <f aca="false">MOD(C1758,Pemetaan!$B$4)</f>
        <v>6</v>
      </c>
      <c r="F1758" s="0" t="n">
        <f aca="false">IF(B1758="PRODUKSI",Pemetaan!$B$5,Pemetaan!$B$6)</f>
        <v>46</v>
      </c>
      <c r="G1758" s="0" t="n">
        <f aca="false">F1758+2+D1758</f>
        <v>82</v>
      </c>
      <c r="H1758" s="0" t="n">
        <f aca="false">Pemetaan!$B$2+E1758</f>
        <v>11</v>
      </c>
      <c r="I1758" s="0" t="str">
        <f aca="false">INDEX(Laporan!$A$1:$AZ$300,G1758,1)</f>
        <v>Mixing</v>
      </c>
      <c r="J1758" s="0" t="str">
        <f aca="false">INDEX(Laporan!$A$1:$AZ$300,G1758,2)</f>
        <v>1,5 L</v>
      </c>
      <c r="K1758" s="0" t="str">
        <f aca="false">INDEX(Laporan!$A$1:$AZ$300,G1758,3)</f>
        <v>Shift 2</v>
      </c>
      <c r="L1758" s="0" t="n">
        <f aca="false">INDEX(Laporan!$A$1:$AZ$300,G1758,4)</f>
        <v>2</v>
      </c>
      <c r="M1758" s="1" t="n">
        <f aca="false">DATE(Pemetaan!$B$1,VALUE(RIGHT(INDEX(Laporan!$A$1:$AZ$300,F1758+1,H1758),2)),VALUE(LEFT(INDEX(Laporan!$A$1:$AZ$300,F1758+1,H1758),2)))</f>
        <v>46091</v>
      </c>
      <c r="N1758" s="0" t="n">
        <f aca="false">INDEX(Laporan!$A$1:$AZ$300,G1758,H1758)</f>
        <v>9</v>
      </c>
      <c r="O1758" s="0" t="n">
        <f aca="false">IF(N1758="","",IFERROR(VALUE(SUBSTITUTE(SUBSTITUTE(N1758," btl",""),".","")),""))</f>
        <v>9</v>
      </c>
      <c r="P1758" s="0" t="str">
        <f aca="false">IF(B1758="PRODUKSI","produced","reject")</f>
        <v>reject</v>
      </c>
    </row>
    <row r="1759" customFormat="false" ht="15" hidden="false" customHeight="false" outlineLevel="0" collapsed="false">
      <c r="A1759" s="0" t="n">
        <v>1758</v>
      </c>
      <c r="B1759" s="0" t="str">
        <f aca="false">IF(A1759&lt;=36*25,"PRODUKSI","REJECT")</f>
        <v>REJECT</v>
      </c>
      <c r="C1759" s="0" t="n">
        <f aca="false">MOD(A1759-1,Pemetaan!$B$3*Pemetaan!$B$4)</f>
        <v>857</v>
      </c>
      <c r="D1759" s="0" t="n">
        <f aca="false">INT(C1759/Pemetaan!$B$4)</f>
        <v>34</v>
      </c>
      <c r="E1759" s="0" t="n">
        <f aca="false">MOD(C1759,Pemetaan!$B$4)</f>
        <v>7</v>
      </c>
      <c r="F1759" s="0" t="n">
        <f aca="false">IF(B1759="PRODUKSI",Pemetaan!$B$5,Pemetaan!$B$6)</f>
        <v>46</v>
      </c>
      <c r="G1759" s="0" t="n">
        <f aca="false">F1759+2+D1759</f>
        <v>82</v>
      </c>
      <c r="H1759" s="0" t="n">
        <f aca="false">Pemetaan!$B$2+E1759</f>
        <v>12</v>
      </c>
      <c r="I1759" s="0" t="str">
        <f aca="false">INDEX(Laporan!$A$1:$AZ$300,G1759,1)</f>
        <v>Mixing</v>
      </c>
      <c r="J1759" s="0" t="str">
        <f aca="false">INDEX(Laporan!$A$1:$AZ$300,G1759,2)</f>
        <v>1,5 L</v>
      </c>
      <c r="K1759" s="0" t="str">
        <f aca="false">INDEX(Laporan!$A$1:$AZ$300,G1759,3)</f>
        <v>Shift 2</v>
      </c>
      <c r="L1759" s="0" t="n">
        <f aca="false">INDEX(Laporan!$A$1:$AZ$300,G1759,4)</f>
        <v>2</v>
      </c>
      <c r="M1759" s="1" t="n">
        <f aca="false">DATE(Pemetaan!$B$1,VALUE(RIGHT(INDEX(Laporan!$A$1:$AZ$300,F1759+1,H1759),2)),VALUE(LEFT(INDEX(Laporan!$A$1:$AZ$300,F1759+1,H1759),2)))</f>
        <v>46092</v>
      </c>
      <c r="N1759" s="0" t="n">
        <f aca="false">INDEX(Laporan!$A$1:$AZ$300,G1759,H1759)</f>
        <v>5</v>
      </c>
      <c r="O1759" s="0" t="n">
        <f aca="false">IF(N1759="","",IFERROR(VALUE(SUBSTITUTE(SUBSTITUTE(N1759," btl",""),".","")),""))</f>
        <v>5</v>
      </c>
      <c r="P1759" s="0" t="str">
        <f aca="false">IF(B1759="PRODUKSI","produced","reject")</f>
        <v>reject</v>
      </c>
    </row>
    <row r="1760" customFormat="false" ht="15" hidden="false" customHeight="false" outlineLevel="0" collapsed="false">
      <c r="A1760" s="0" t="n">
        <v>1759</v>
      </c>
      <c r="B1760" s="0" t="str">
        <f aca="false">IF(A1760&lt;=36*25,"PRODUKSI","REJECT")</f>
        <v>REJECT</v>
      </c>
      <c r="C1760" s="0" t="n">
        <f aca="false">MOD(A1760-1,Pemetaan!$B$3*Pemetaan!$B$4)</f>
        <v>858</v>
      </c>
      <c r="D1760" s="0" t="n">
        <f aca="false">INT(C1760/Pemetaan!$B$4)</f>
        <v>34</v>
      </c>
      <c r="E1760" s="0" t="n">
        <f aca="false">MOD(C1760,Pemetaan!$B$4)</f>
        <v>8</v>
      </c>
      <c r="F1760" s="0" t="n">
        <f aca="false">IF(B1760="PRODUKSI",Pemetaan!$B$5,Pemetaan!$B$6)</f>
        <v>46</v>
      </c>
      <c r="G1760" s="0" t="n">
        <f aca="false">F1760+2+D1760</f>
        <v>82</v>
      </c>
      <c r="H1760" s="0" t="n">
        <f aca="false">Pemetaan!$B$2+E1760</f>
        <v>13</v>
      </c>
      <c r="I1760" s="0" t="str">
        <f aca="false">INDEX(Laporan!$A$1:$AZ$300,G1760,1)</f>
        <v>Mixing</v>
      </c>
      <c r="J1760" s="0" t="str">
        <f aca="false">INDEX(Laporan!$A$1:$AZ$300,G1760,2)</f>
        <v>1,5 L</v>
      </c>
      <c r="K1760" s="0" t="str">
        <f aca="false">INDEX(Laporan!$A$1:$AZ$300,G1760,3)</f>
        <v>Shift 2</v>
      </c>
      <c r="L1760" s="0" t="n">
        <f aca="false">INDEX(Laporan!$A$1:$AZ$300,G1760,4)</f>
        <v>2</v>
      </c>
      <c r="M1760" s="1" t="n">
        <f aca="false">DATE(Pemetaan!$B$1,VALUE(RIGHT(INDEX(Laporan!$A$1:$AZ$300,F1760+1,H1760),2)),VALUE(LEFT(INDEX(Laporan!$A$1:$AZ$300,F1760+1,H1760),2)))</f>
        <v>46093</v>
      </c>
      <c r="N1760" s="0" t="n">
        <f aca="false">INDEX(Laporan!$A$1:$AZ$300,G1760,H1760)</f>
        <v>10</v>
      </c>
      <c r="O1760" s="0" t="n">
        <f aca="false">IF(N1760="","",IFERROR(VALUE(SUBSTITUTE(SUBSTITUTE(N1760," btl",""),".","")),""))</f>
        <v>10</v>
      </c>
      <c r="P1760" s="0" t="str">
        <f aca="false">IF(B1760="PRODUKSI","produced","reject")</f>
        <v>reject</v>
      </c>
    </row>
    <row r="1761" customFormat="false" ht="15" hidden="false" customHeight="false" outlineLevel="0" collapsed="false">
      <c r="A1761" s="0" t="n">
        <v>1760</v>
      </c>
      <c r="B1761" s="0" t="str">
        <f aca="false">IF(A1761&lt;=36*25,"PRODUKSI","REJECT")</f>
        <v>REJECT</v>
      </c>
      <c r="C1761" s="0" t="n">
        <f aca="false">MOD(A1761-1,Pemetaan!$B$3*Pemetaan!$B$4)</f>
        <v>859</v>
      </c>
      <c r="D1761" s="0" t="n">
        <f aca="false">INT(C1761/Pemetaan!$B$4)</f>
        <v>34</v>
      </c>
      <c r="E1761" s="0" t="n">
        <f aca="false">MOD(C1761,Pemetaan!$B$4)</f>
        <v>9</v>
      </c>
      <c r="F1761" s="0" t="n">
        <f aca="false">IF(B1761="PRODUKSI",Pemetaan!$B$5,Pemetaan!$B$6)</f>
        <v>46</v>
      </c>
      <c r="G1761" s="0" t="n">
        <f aca="false">F1761+2+D1761</f>
        <v>82</v>
      </c>
      <c r="H1761" s="0" t="n">
        <f aca="false">Pemetaan!$B$2+E1761</f>
        <v>14</v>
      </c>
      <c r="I1761" s="0" t="str">
        <f aca="false">INDEX(Laporan!$A$1:$AZ$300,G1761,1)</f>
        <v>Mixing</v>
      </c>
      <c r="J1761" s="0" t="str">
        <f aca="false">INDEX(Laporan!$A$1:$AZ$300,G1761,2)</f>
        <v>1,5 L</v>
      </c>
      <c r="K1761" s="0" t="str">
        <f aca="false">INDEX(Laporan!$A$1:$AZ$300,G1761,3)</f>
        <v>Shift 2</v>
      </c>
      <c r="L1761" s="0" t="n">
        <f aca="false">INDEX(Laporan!$A$1:$AZ$300,G1761,4)</f>
        <v>2</v>
      </c>
      <c r="M1761" s="1" t="n">
        <f aca="false">DATE(Pemetaan!$B$1,VALUE(RIGHT(INDEX(Laporan!$A$1:$AZ$300,F1761+1,H1761),2)),VALUE(LEFT(INDEX(Laporan!$A$1:$AZ$300,F1761+1,H1761),2)))</f>
        <v>46094</v>
      </c>
      <c r="N1761" s="0" t="n">
        <f aca="false">INDEX(Laporan!$A$1:$AZ$300,G1761,H1761)</f>
        <v>9</v>
      </c>
      <c r="O1761" s="0" t="n">
        <f aca="false">IF(N1761="","",IFERROR(VALUE(SUBSTITUTE(SUBSTITUTE(N1761," btl",""),".","")),""))</f>
        <v>9</v>
      </c>
      <c r="P1761" s="0" t="str">
        <f aca="false">IF(B1761="PRODUKSI","produced","reject")</f>
        <v>reject</v>
      </c>
    </row>
    <row r="1762" customFormat="false" ht="15" hidden="false" customHeight="false" outlineLevel="0" collapsed="false">
      <c r="A1762" s="0" t="n">
        <v>1761</v>
      </c>
      <c r="B1762" s="0" t="str">
        <f aca="false">IF(A1762&lt;=36*25,"PRODUKSI","REJECT")</f>
        <v>REJECT</v>
      </c>
      <c r="C1762" s="0" t="n">
        <f aca="false">MOD(A1762-1,Pemetaan!$B$3*Pemetaan!$B$4)</f>
        <v>860</v>
      </c>
      <c r="D1762" s="0" t="n">
        <f aca="false">INT(C1762/Pemetaan!$B$4)</f>
        <v>34</v>
      </c>
      <c r="E1762" s="0" t="n">
        <f aca="false">MOD(C1762,Pemetaan!$B$4)</f>
        <v>10</v>
      </c>
      <c r="F1762" s="0" t="n">
        <f aca="false">IF(B1762="PRODUKSI",Pemetaan!$B$5,Pemetaan!$B$6)</f>
        <v>46</v>
      </c>
      <c r="G1762" s="0" t="n">
        <f aca="false">F1762+2+D1762</f>
        <v>82</v>
      </c>
      <c r="H1762" s="0" t="n">
        <f aca="false">Pemetaan!$B$2+E1762</f>
        <v>15</v>
      </c>
      <c r="I1762" s="0" t="str">
        <f aca="false">INDEX(Laporan!$A$1:$AZ$300,G1762,1)</f>
        <v>Mixing</v>
      </c>
      <c r="J1762" s="0" t="str">
        <f aca="false">INDEX(Laporan!$A$1:$AZ$300,G1762,2)</f>
        <v>1,5 L</v>
      </c>
      <c r="K1762" s="0" t="str">
        <f aca="false">INDEX(Laporan!$A$1:$AZ$300,G1762,3)</f>
        <v>Shift 2</v>
      </c>
      <c r="L1762" s="0" t="n">
        <f aca="false">INDEX(Laporan!$A$1:$AZ$300,G1762,4)</f>
        <v>2</v>
      </c>
      <c r="M1762" s="1" t="n">
        <f aca="false">DATE(Pemetaan!$B$1,VALUE(RIGHT(INDEX(Laporan!$A$1:$AZ$300,F1762+1,H1762),2)),VALUE(LEFT(INDEX(Laporan!$A$1:$AZ$300,F1762+1,H1762),2)))</f>
        <v>46097</v>
      </c>
      <c r="N1762" s="0" t="n">
        <f aca="false">INDEX(Laporan!$A$1:$AZ$300,G1762,H1762)</f>
        <v>7</v>
      </c>
      <c r="O1762" s="0" t="n">
        <f aca="false">IF(N1762="","",IFERROR(VALUE(SUBSTITUTE(SUBSTITUTE(N1762," btl",""),".","")),""))</f>
        <v>7</v>
      </c>
      <c r="P1762" s="0" t="str">
        <f aca="false">IF(B1762="PRODUKSI","produced","reject")</f>
        <v>reject</v>
      </c>
    </row>
    <row r="1763" customFormat="false" ht="15" hidden="false" customHeight="false" outlineLevel="0" collapsed="false">
      <c r="A1763" s="0" t="n">
        <v>1762</v>
      </c>
      <c r="B1763" s="0" t="str">
        <f aca="false">IF(A1763&lt;=36*25,"PRODUKSI","REJECT")</f>
        <v>REJECT</v>
      </c>
      <c r="C1763" s="0" t="n">
        <f aca="false">MOD(A1763-1,Pemetaan!$B$3*Pemetaan!$B$4)</f>
        <v>861</v>
      </c>
      <c r="D1763" s="0" t="n">
        <f aca="false">INT(C1763/Pemetaan!$B$4)</f>
        <v>34</v>
      </c>
      <c r="E1763" s="0" t="n">
        <f aca="false">MOD(C1763,Pemetaan!$B$4)</f>
        <v>11</v>
      </c>
      <c r="F1763" s="0" t="n">
        <f aca="false">IF(B1763="PRODUKSI",Pemetaan!$B$5,Pemetaan!$B$6)</f>
        <v>46</v>
      </c>
      <c r="G1763" s="0" t="n">
        <f aca="false">F1763+2+D1763</f>
        <v>82</v>
      </c>
      <c r="H1763" s="0" t="n">
        <f aca="false">Pemetaan!$B$2+E1763</f>
        <v>16</v>
      </c>
      <c r="I1763" s="0" t="str">
        <f aca="false">INDEX(Laporan!$A$1:$AZ$300,G1763,1)</f>
        <v>Mixing</v>
      </c>
      <c r="J1763" s="0" t="str">
        <f aca="false">INDEX(Laporan!$A$1:$AZ$300,G1763,2)</f>
        <v>1,5 L</v>
      </c>
      <c r="K1763" s="0" t="str">
        <f aca="false">INDEX(Laporan!$A$1:$AZ$300,G1763,3)</f>
        <v>Shift 2</v>
      </c>
      <c r="L1763" s="0" t="n">
        <f aca="false">INDEX(Laporan!$A$1:$AZ$300,G1763,4)</f>
        <v>2</v>
      </c>
      <c r="M1763" s="1" t="n">
        <f aca="false">DATE(Pemetaan!$B$1,VALUE(RIGHT(INDEX(Laporan!$A$1:$AZ$300,F1763+1,H1763),2)),VALUE(LEFT(INDEX(Laporan!$A$1:$AZ$300,F1763+1,H1763),2)))</f>
        <v>46098</v>
      </c>
      <c r="N1763" s="0" t="n">
        <f aca="false">INDEX(Laporan!$A$1:$AZ$300,G1763,H1763)</f>
        <v>5</v>
      </c>
      <c r="O1763" s="0" t="n">
        <f aca="false">IF(N1763="","",IFERROR(VALUE(SUBSTITUTE(SUBSTITUTE(N1763," btl",""),".","")),""))</f>
        <v>5</v>
      </c>
      <c r="P1763" s="0" t="str">
        <f aca="false">IF(B1763="PRODUKSI","produced","reject")</f>
        <v>reject</v>
      </c>
    </row>
    <row r="1764" customFormat="false" ht="15" hidden="false" customHeight="false" outlineLevel="0" collapsed="false">
      <c r="A1764" s="0" t="n">
        <v>1763</v>
      </c>
      <c r="B1764" s="0" t="str">
        <f aca="false">IF(A1764&lt;=36*25,"PRODUKSI","REJECT")</f>
        <v>REJECT</v>
      </c>
      <c r="C1764" s="0" t="n">
        <f aca="false">MOD(A1764-1,Pemetaan!$B$3*Pemetaan!$B$4)</f>
        <v>862</v>
      </c>
      <c r="D1764" s="0" t="n">
        <f aca="false">INT(C1764/Pemetaan!$B$4)</f>
        <v>34</v>
      </c>
      <c r="E1764" s="0" t="n">
        <f aca="false">MOD(C1764,Pemetaan!$B$4)</f>
        <v>12</v>
      </c>
      <c r="F1764" s="0" t="n">
        <f aca="false">IF(B1764="PRODUKSI",Pemetaan!$B$5,Pemetaan!$B$6)</f>
        <v>46</v>
      </c>
      <c r="G1764" s="0" t="n">
        <f aca="false">F1764+2+D1764</f>
        <v>82</v>
      </c>
      <c r="H1764" s="0" t="n">
        <f aca="false">Pemetaan!$B$2+E1764</f>
        <v>17</v>
      </c>
      <c r="I1764" s="0" t="str">
        <f aca="false">INDEX(Laporan!$A$1:$AZ$300,G1764,1)</f>
        <v>Mixing</v>
      </c>
      <c r="J1764" s="0" t="str">
        <f aca="false">INDEX(Laporan!$A$1:$AZ$300,G1764,2)</f>
        <v>1,5 L</v>
      </c>
      <c r="K1764" s="0" t="str">
        <f aca="false">INDEX(Laporan!$A$1:$AZ$300,G1764,3)</f>
        <v>Shift 2</v>
      </c>
      <c r="L1764" s="0" t="n">
        <f aca="false">INDEX(Laporan!$A$1:$AZ$300,G1764,4)</f>
        <v>2</v>
      </c>
      <c r="M1764" s="1" t="n">
        <f aca="false">DATE(Pemetaan!$B$1,VALUE(RIGHT(INDEX(Laporan!$A$1:$AZ$300,F1764+1,H1764),2)),VALUE(LEFT(INDEX(Laporan!$A$1:$AZ$300,F1764+1,H1764),2)))</f>
        <v>46099</v>
      </c>
      <c r="N1764" s="0" t="n">
        <f aca="false">INDEX(Laporan!$A$1:$AZ$300,G1764,H1764)</f>
        <v>7</v>
      </c>
      <c r="O1764" s="0" t="n">
        <f aca="false">IF(N1764="","",IFERROR(VALUE(SUBSTITUTE(SUBSTITUTE(N1764," btl",""),".","")),""))</f>
        <v>7</v>
      </c>
      <c r="P1764" s="0" t="str">
        <f aca="false">IF(B1764="PRODUKSI","produced","reject")</f>
        <v>reject</v>
      </c>
    </row>
    <row r="1765" customFormat="false" ht="15" hidden="false" customHeight="false" outlineLevel="0" collapsed="false">
      <c r="A1765" s="0" t="n">
        <v>1764</v>
      </c>
      <c r="B1765" s="0" t="str">
        <f aca="false">IF(A1765&lt;=36*25,"PRODUKSI","REJECT")</f>
        <v>REJECT</v>
      </c>
      <c r="C1765" s="0" t="n">
        <f aca="false">MOD(A1765-1,Pemetaan!$B$3*Pemetaan!$B$4)</f>
        <v>863</v>
      </c>
      <c r="D1765" s="0" t="n">
        <f aca="false">INT(C1765/Pemetaan!$B$4)</f>
        <v>34</v>
      </c>
      <c r="E1765" s="0" t="n">
        <f aca="false">MOD(C1765,Pemetaan!$B$4)</f>
        <v>13</v>
      </c>
      <c r="F1765" s="0" t="n">
        <f aca="false">IF(B1765="PRODUKSI",Pemetaan!$B$5,Pemetaan!$B$6)</f>
        <v>46</v>
      </c>
      <c r="G1765" s="0" t="n">
        <f aca="false">F1765+2+D1765</f>
        <v>82</v>
      </c>
      <c r="H1765" s="0" t="n">
        <f aca="false">Pemetaan!$B$2+E1765</f>
        <v>18</v>
      </c>
      <c r="I1765" s="0" t="str">
        <f aca="false">INDEX(Laporan!$A$1:$AZ$300,G1765,1)</f>
        <v>Mixing</v>
      </c>
      <c r="J1765" s="0" t="str">
        <f aca="false">INDEX(Laporan!$A$1:$AZ$300,G1765,2)</f>
        <v>1,5 L</v>
      </c>
      <c r="K1765" s="0" t="str">
        <f aca="false">INDEX(Laporan!$A$1:$AZ$300,G1765,3)</f>
        <v>Shift 2</v>
      </c>
      <c r="L1765" s="0" t="n">
        <f aca="false">INDEX(Laporan!$A$1:$AZ$300,G1765,4)</f>
        <v>2</v>
      </c>
      <c r="M1765" s="1" t="n">
        <f aca="false">DATE(Pemetaan!$B$1,VALUE(RIGHT(INDEX(Laporan!$A$1:$AZ$300,F1765+1,H1765),2)),VALUE(LEFT(INDEX(Laporan!$A$1:$AZ$300,F1765+1,H1765),2)))</f>
        <v>46100</v>
      </c>
      <c r="N1765" s="0" t="n">
        <f aca="false">INDEX(Laporan!$A$1:$AZ$300,G1765,H1765)</f>
        <v>8</v>
      </c>
      <c r="O1765" s="0" t="n">
        <f aca="false">IF(N1765="","",IFERROR(VALUE(SUBSTITUTE(SUBSTITUTE(N1765," btl",""),".","")),""))</f>
        <v>8</v>
      </c>
      <c r="P1765" s="0" t="str">
        <f aca="false">IF(B1765="PRODUKSI","produced","reject")</f>
        <v>reject</v>
      </c>
    </row>
    <row r="1766" customFormat="false" ht="15" hidden="false" customHeight="false" outlineLevel="0" collapsed="false">
      <c r="A1766" s="0" t="n">
        <v>1765</v>
      </c>
      <c r="B1766" s="0" t="str">
        <f aca="false">IF(A1766&lt;=36*25,"PRODUKSI","REJECT")</f>
        <v>REJECT</v>
      </c>
      <c r="C1766" s="0" t="n">
        <f aca="false">MOD(A1766-1,Pemetaan!$B$3*Pemetaan!$B$4)</f>
        <v>864</v>
      </c>
      <c r="D1766" s="0" t="n">
        <f aca="false">INT(C1766/Pemetaan!$B$4)</f>
        <v>34</v>
      </c>
      <c r="E1766" s="0" t="n">
        <f aca="false">MOD(C1766,Pemetaan!$B$4)</f>
        <v>14</v>
      </c>
      <c r="F1766" s="0" t="n">
        <f aca="false">IF(B1766="PRODUKSI",Pemetaan!$B$5,Pemetaan!$B$6)</f>
        <v>46</v>
      </c>
      <c r="G1766" s="0" t="n">
        <f aca="false">F1766+2+D1766</f>
        <v>82</v>
      </c>
      <c r="H1766" s="0" t="n">
        <f aca="false">Pemetaan!$B$2+E1766</f>
        <v>19</v>
      </c>
      <c r="I1766" s="0" t="str">
        <f aca="false">INDEX(Laporan!$A$1:$AZ$300,G1766,1)</f>
        <v>Mixing</v>
      </c>
      <c r="J1766" s="0" t="str">
        <f aca="false">INDEX(Laporan!$A$1:$AZ$300,G1766,2)</f>
        <v>1,5 L</v>
      </c>
      <c r="K1766" s="0" t="str">
        <f aca="false">INDEX(Laporan!$A$1:$AZ$300,G1766,3)</f>
        <v>Shift 2</v>
      </c>
      <c r="L1766" s="0" t="n">
        <f aca="false">INDEX(Laporan!$A$1:$AZ$300,G1766,4)</f>
        <v>2</v>
      </c>
      <c r="M1766" s="1" t="n">
        <f aca="false">DATE(Pemetaan!$B$1,VALUE(RIGHT(INDEX(Laporan!$A$1:$AZ$300,F1766+1,H1766),2)),VALUE(LEFT(INDEX(Laporan!$A$1:$AZ$300,F1766+1,H1766),2)))</f>
        <v>46101</v>
      </c>
      <c r="N1766" s="0" t="n">
        <f aca="false">INDEX(Laporan!$A$1:$AZ$300,G1766,H1766)</f>
        <v>7</v>
      </c>
      <c r="O1766" s="0" t="n">
        <f aca="false">IF(N1766="","",IFERROR(VALUE(SUBSTITUTE(SUBSTITUTE(N1766," btl",""),".","")),""))</f>
        <v>7</v>
      </c>
      <c r="P1766" s="0" t="str">
        <f aca="false">IF(B1766="PRODUKSI","produced","reject")</f>
        <v>reject</v>
      </c>
    </row>
    <row r="1767" customFormat="false" ht="15" hidden="false" customHeight="false" outlineLevel="0" collapsed="false">
      <c r="A1767" s="0" t="n">
        <v>1766</v>
      </c>
      <c r="B1767" s="0" t="str">
        <f aca="false">IF(A1767&lt;=36*25,"PRODUKSI","REJECT")</f>
        <v>REJECT</v>
      </c>
      <c r="C1767" s="0" t="n">
        <f aca="false">MOD(A1767-1,Pemetaan!$B$3*Pemetaan!$B$4)</f>
        <v>865</v>
      </c>
      <c r="D1767" s="0" t="n">
        <f aca="false">INT(C1767/Pemetaan!$B$4)</f>
        <v>34</v>
      </c>
      <c r="E1767" s="0" t="n">
        <f aca="false">MOD(C1767,Pemetaan!$B$4)</f>
        <v>15</v>
      </c>
      <c r="F1767" s="0" t="n">
        <f aca="false">IF(B1767="PRODUKSI",Pemetaan!$B$5,Pemetaan!$B$6)</f>
        <v>46</v>
      </c>
      <c r="G1767" s="0" t="n">
        <f aca="false">F1767+2+D1767</f>
        <v>82</v>
      </c>
      <c r="H1767" s="0" t="n">
        <f aca="false">Pemetaan!$B$2+E1767</f>
        <v>20</v>
      </c>
      <c r="I1767" s="0" t="str">
        <f aca="false">INDEX(Laporan!$A$1:$AZ$300,G1767,1)</f>
        <v>Mixing</v>
      </c>
      <c r="J1767" s="0" t="str">
        <f aca="false">INDEX(Laporan!$A$1:$AZ$300,G1767,2)</f>
        <v>1,5 L</v>
      </c>
      <c r="K1767" s="0" t="str">
        <f aca="false">INDEX(Laporan!$A$1:$AZ$300,G1767,3)</f>
        <v>Shift 2</v>
      </c>
      <c r="L1767" s="0" t="n">
        <f aca="false">INDEX(Laporan!$A$1:$AZ$300,G1767,4)</f>
        <v>2</v>
      </c>
      <c r="M1767" s="1" t="n">
        <f aca="false">DATE(Pemetaan!$B$1,VALUE(RIGHT(INDEX(Laporan!$A$1:$AZ$300,F1767+1,H1767),2)),VALUE(LEFT(INDEX(Laporan!$A$1:$AZ$300,F1767+1,H1767),2)))</f>
        <v>46104</v>
      </c>
      <c r="N1767" s="0" t="n">
        <f aca="false">INDEX(Laporan!$A$1:$AZ$300,G1767,H1767)</f>
        <v>13</v>
      </c>
      <c r="O1767" s="0" t="n">
        <f aca="false">IF(N1767="","",IFERROR(VALUE(SUBSTITUTE(SUBSTITUTE(N1767," btl",""),".","")),""))</f>
        <v>13</v>
      </c>
      <c r="P1767" s="0" t="str">
        <f aca="false">IF(B1767="PRODUKSI","produced","reject")</f>
        <v>reject</v>
      </c>
    </row>
    <row r="1768" customFormat="false" ht="15" hidden="false" customHeight="false" outlineLevel="0" collapsed="false">
      <c r="A1768" s="0" t="n">
        <v>1767</v>
      </c>
      <c r="B1768" s="0" t="str">
        <f aca="false">IF(A1768&lt;=36*25,"PRODUKSI","REJECT")</f>
        <v>REJECT</v>
      </c>
      <c r="C1768" s="0" t="n">
        <f aca="false">MOD(A1768-1,Pemetaan!$B$3*Pemetaan!$B$4)</f>
        <v>866</v>
      </c>
      <c r="D1768" s="0" t="n">
        <f aca="false">INT(C1768/Pemetaan!$B$4)</f>
        <v>34</v>
      </c>
      <c r="E1768" s="0" t="n">
        <f aca="false">MOD(C1768,Pemetaan!$B$4)</f>
        <v>16</v>
      </c>
      <c r="F1768" s="0" t="n">
        <f aca="false">IF(B1768="PRODUKSI",Pemetaan!$B$5,Pemetaan!$B$6)</f>
        <v>46</v>
      </c>
      <c r="G1768" s="0" t="n">
        <f aca="false">F1768+2+D1768</f>
        <v>82</v>
      </c>
      <c r="H1768" s="0" t="n">
        <f aca="false">Pemetaan!$B$2+E1768</f>
        <v>21</v>
      </c>
      <c r="I1768" s="0" t="str">
        <f aca="false">INDEX(Laporan!$A$1:$AZ$300,G1768,1)</f>
        <v>Mixing</v>
      </c>
      <c r="J1768" s="0" t="str">
        <f aca="false">INDEX(Laporan!$A$1:$AZ$300,G1768,2)</f>
        <v>1,5 L</v>
      </c>
      <c r="K1768" s="0" t="str">
        <f aca="false">INDEX(Laporan!$A$1:$AZ$300,G1768,3)</f>
        <v>Shift 2</v>
      </c>
      <c r="L1768" s="0" t="n">
        <f aca="false">INDEX(Laporan!$A$1:$AZ$300,G1768,4)</f>
        <v>2</v>
      </c>
      <c r="M1768" s="1" t="n">
        <f aca="false">DATE(Pemetaan!$B$1,VALUE(RIGHT(INDEX(Laporan!$A$1:$AZ$300,F1768+1,H1768),2)),VALUE(LEFT(INDEX(Laporan!$A$1:$AZ$300,F1768+1,H1768),2)))</f>
        <v>46105</v>
      </c>
      <c r="N1768" s="0" t="n">
        <f aca="false">INDEX(Laporan!$A$1:$AZ$300,G1768,H1768)</f>
        <v>7</v>
      </c>
      <c r="O1768" s="0" t="n">
        <f aca="false">IF(N1768="","",IFERROR(VALUE(SUBSTITUTE(SUBSTITUTE(N1768," btl",""),".","")),""))</f>
        <v>7</v>
      </c>
      <c r="P1768" s="0" t="str">
        <f aca="false">IF(B1768="PRODUKSI","produced","reject")</f>
        <v>reject</v>
      </c>
    </row>
    <row r="1769" customFormat="false" ht="15" hidden="false" customHeight="false" outlineLevel="0" collapsed="false">
      <c r="A1769" s="0" t="n">
        <v>1768</v>
      </c>
      <c r="B1769" s="0" t="str">
        <f aca="false">IF(A1769&lt;=36*25,"PRODUKSI","REJECT")</f>
        <v>REJECT</v>
      </c>
      <c r="C1769" s="0" t="n">
        <f aca="false">MOD(A1769-1,Pemetaan!$B$3*Pemetaan!$B$4)</f>
        <v>867</v>
      </c>
      <c r="D1769" s="0" t="n">
        <f aca="false">INT(C1769/Pemetaan!$B$4)</f>
        <v>34</v>
      </c>
      <c r="E1769" s="0" t="n">
        <f aca="false">MOD(C1769,Pemetaan!$B$4)</f>
        <v>17</v>
      </c>
      <c r="F1769" s="0" t="n">
        <f aca="false">IF(B1769="PRODUKSI",Pemetaan!$B$5,Pemetaan!$B$6)</f>
        <v>46</v>
      </c>
      <c r="G1769" s="0" t="n">
        <f aca="false">F1769+2+D1769</f>
        <v>82</v>
      </c>
      <c r="H1769" s="0" t="n">
        <f aca="false">Pemetaan!$B$2+E1769</f>
        <v>22</v>
      </c>
      <c r="I1769" s="0" t="str">
        <f aca="false">INDEX(Laporan!$A$1:$AZ$300,G1769,1)</f>
        <v>Mixing</v>
      </c>
      <c r="J1769" s="0" t="str">
        <f aca="false">INDEX(Laporan!$A$1:$AZ$300,G1769,2)</f>
        <v>1,5 L</v>
      </c>
      <c r="K1769" s="0" t="str">
        <f aca="false">INDEX(Laporan!$A$1:$AZ$300,G1769,3)</f>
        <v>Shift 2</v>
      </c>
      <c r="L1769" s="0" t="n">
        <f aca="false">INDEX(Laporan!$A$1:$AZ$300,G1769,4)</f>
        <v>2</v>
      </c>
      <c r="M1769" s="1" t="n">
        <f aca="false">DATE(Pemetaan!$B$1,VALUE(RIGHT(INDEX(Laporan!$A$1:$AZ$300,F1769+1,H1769),2)),VALUE(LEFT(INDEX(Laporan!$A$1:$AZ$300,F1769+1,H1769),2)))</f>
        <v>46106</v>
      </c>
      <c r="N1769" s="0" t="n">
        <f aca="false">INDEX(Laporan!$A$1:$AZ$300,G1769,H1769)</f>
        <v>11</v>
      </c>
      <c r="O1769" s="0" t="n">
        <f aca="false">IF(N1769="","",IFERROR(VALUE(SUBSTITUTE(SUBSTITUTE(N1769," btl",""),".","")),""))</f>
        <v>11</v>
      </c>
      <c r="P1769" s="0" t="str">
        <f aca="false">IF(B1769="PRODUKSI","produced","reject")</f>
        <v>reject</v>
      </c>
    </row>
    <row r="1770" customFormat="false" ht="15" hidden="false" customHeight="false" outlineLevel="0" collapsed="false">
      <c r="A1770" s="0" t="n">
        <v>1769</v>
      </c>
      <c r="B1770" s="0" t="str">
        <f aca="false">IF(A1770&lt;=36*25,"PRODUKSI","REJECT")</f>
        <v>REJECT</v>
      </c>
      <c r="C1770" s="0" t="n">
        <f aca="false">MOD(A1770-1,Pemetaan!$B$3*Pemetaan!$B$4)</f>
        <v>868</v>
      </c>
      <c r="D1770" s="0" t="n">
        <f aca="false">INT(C1770/Pemetaan!$B$4)</f>
        <v>34</v>
      </c>
      <c r="E1770" s="0" t="n">
        <f aca="false">MOD(C1770,Pemetaan!$B$4)</f>
        <v>18</v>
      </c>
      <c r="F1770" s="0" t="n">
        <f aca="false">IF(B1770="PRODUKSI",Pemetaan!$B$5,Pemetaan!$B$6)</f>
        <v>46</v>
      </c>
      <c r="G1770" s="0" t="n">
        <f aca="false">F1770+2+D1770</f>
        <v>82</v>
      </c>
      <c r="H1770" s="0" t="n">
        <f aca="false">Pemetaan!$B$2+E1770</f>
        <v>23</v>
      </c>
      <c r="I1770" s="0" t="str">
        <f aca="false">INDEX(Laporan!$A$1:$AZ$300,G1770,1)</f>
        <v>Mixing</v>
      </c>
      <c r="J1770" s="0" t="str">
        <f aca="false">INDEX(Laporan!$A$1:$AZ$300,G1770,2)</f>
        <v>1,5 L</v>
      </c>
      <c r="K1770" s="0" t="str">
        <f aca="false">INDEX(Laporan!$A$1:$AZ$300,G1770,3)</f>
        <v>Shift 2</v>
      </c>
      <c r="L1770" s="0" t="n">
        <f aca="false">INDEX(Laporan!$A$1:$AZ$300,G1770,4)</f>
        <v>2</v>
      </c>
      <c r="M1770" s="1" t="n">
        <f aca="false">DATE(Pemetaan!$B$1,VALUE(RIGHT(INDEX(Laporan!$A$1:$AZ$300,F1770+1,H1770),2)),VALUE(LEFT(INDEX(Laporan!$A$1:$AZ$300,F1770+1,H1770),2)))</f>
        <v>46107</v>
      </c>
      <c r="N1770" s="0" t="n">
        <f aca="false">INDEX(Laporan!$A$1:$AZ$300,G1770,H1770)</f>
        <v>8</v>
      </c>
      <c r="O1770" s="0" t="n">
        <f aca="false">IF(N1770="","",IFERROR(VALUE(SUBSTITUTE(SUBSTITUTE(N1770," btl",""),".","")),""))</f>
        <v>8</v>
      </c>
      <c r="P1770" s="0" t="str">
        <f aca="false">IF(B1770="PRODUKSI","produced","reject")</f>
        <v>reject</v>
      </c>
    </row>
    <row r="1771" customFormat="false" ht="15" hidden="false" customHeight="false" outlineLevel="0" collapsed="false">
      <c r="A1771" s="0" t="n">
        <v>1770</v>
      </c>
      <c r="B1771" s="0" t="str">
        <f aca="false">IF(A1771&lt;=36*25,"PRODUKSI","REJECT")</f>
        <v>REJECT</v>
      </c>
      <c r="C1771" s="0" t="n">
        <f aca="false">MOD(A1771-1,Pemetaan!$B$3*Pemetaan!$B$4)</f>
        <v>869</v>
      </c>
      <c r="D1771" s="0" t="n">
        <f aca="false">INT(C1771/Pemetaan!$B$4)</f>
        <v>34</v>
      </c>
      <c r="E1771" s="0" t="n">
        <f aca="false">MOD(C1771,Pemetaan!$B$4)</f>
        <v>19</v>
      </c>
      <c r="F1771" s="0" t="n">
        <f aca="false">IF(B1771="PRODUKSI",Pemetaan!$B$5,Pemetaan!$B$6)</f>
        <v>46</v>
      </c>
      <c r="G1771" s="0" t="n">
        <f aca="false">F1771+2+D1771</f>
        <v>82</v>
      </c>
      <c r="H1771" s="0" t="n">
        <f aca="false">Pemetaan!$B$2+E1771</f>
        <v>24</v>
      </c>
      <c r="I1771" s="0" t="str">
        <f aca="false">INDEX(Laporan!$A$1:$AZ$300,G1771,1)</f>
        <v>Mixing</v>
      </c>
      <c r="J1771" s="0" t="str">
        <f aca="false">INDEX(Laporan!$A$1:$AZ$300,G1771,2)</f>
        <v>1,5 L</v>
      </c>
      <c r="K1771" s="0" t="str">
        <f aca="false">INDEX(Laporan!$A$1:$AZ$300,G1771,3)</f>
        <v>Shift 2</v>
      </c>
      <c r="L1771" s="0" t="n">
        <f aca="false">INDEX(Laporan!$A$1:$AZ$300,G1771,4)</f>
        <v>2</v>
      </c>
      <c r="M1771" s="1" t="n">
        <f aca="false">DATE(Pemetaan!$B$1,VALUE(RIGHT(INDEX(Laporan!$A$1:$AZ$300,F1771+1,H1771),2)),VALUE(LEFT(INDEX(Laporan!$A$1:$AZ$300,F1771+1,H1771),2)))</f>
        <v>46108</v>
      </c>
      <c r="N1771" s="0" t="n">
        <f aca="false">INDEX(Laporan!$A$1:$AZ$300,G1771,H1771)</f>
        <v>9</v>
      </c>
      <c r="O1771" s="0" t="n">
        <f aca="false">IF(N1771="","",IFERROR(VALUE(SUBSTITUTE(SUBSTITUTE(N1771," btl",""),".","")),""))</f>
        <v>9</v>
      </c>
      <c r="P1771" s="0" t="str">
        <f aca="false">IF(B1771="PRODUKSI","produced","reject")</f>
        <v>reject</v>
      </c>
    </row>
    <row r="1772" customFormat="false" ht="15" hidden="false" customHeight="false" outlineLevel="0" collapsed="false">
      <c r="A1772" s="0" t="n">
        <v>1771</v>
      </c>
      <c r="B1772" s="0" t="str">
        <f aca="false">IF(A1772&lt;=36*25,"PRODUKSI","REJECT")</f>
        <v>REJECT</v>
      </c>
      <c r="C1772" s="0" t="n">
        <f aca="false">MOD(A1772-1,Pemetaan!$B$3*Pemetaan!$B$4)</f>
        <v>870</v>
      </c>
      <c r="D1772" s="0" t="n">
        <f aca="false">INT(C1772/Pemetaan!$B$4)</f>
        <v>34</v>
      </c>
      <c r="E1772" s="0" t="n">
        <f aca="false">MOD(C1772,Pemetaan!$B$4)</f>
        <v>20</v>
      </c>
      <c r="F1772" s="0" t="n">
        <f aca="false">IF(B1772="PRODUKSI",Pemetaan!$B$5,Pemetaan!$B$6)</f>
        <v>46</v>
      </c>
      <c r="G1772" s="0" t="n">
        <f aca="false">F1772+2+D1772</f>
        <v>82</v>
      </c>
      <c r="H1772" s="0" t="n">
        <f aca="false">Pemetaan!$B$2+E1772</f>
        <v>25</v>
      </c>
      <c r="I1772" s="0" t="str">
        <f aca="false">INDEX(Laporan!$A$1:$AZ$300,G1772,1)</f>
        <v>Mixing</v>
      </c>
      <c r="J1772" s="0" t="str">
        <f aca="false">INDEX(Laporan!$A$1:$AZ$300,G1772,2)</f>
        <v>1,5 L</v>
      </c>
      <c r="K1772" s="0" t="str">
        <f aca="false">INDEX(Laporan!$A$1:$AZ$300,G1772,3)</f>
        <v>Shift 2</v>
      </c>
      <c r="L1772" s="0" t="n">
        <f aca="false">INDEX(Laporan!$A$1:$AZ$300,G1772,4)</f>
        <v>2</v>
      </c>
      <c r="M1772" s="1" t="n">
        <f aca="false">DATE(Pemetaan!$B$1,VALUE(RIGHT(INDEX(Laporan!$A$1:$AZ$300,F1772+1,H1772),2)),VALUE(LEFT(INDEX(Laporan!$A$1:$AZ$300,F1772+1,H1772),2)))</f>
        <v>46111</v>
      </c>
      <c r="N1772" s="0" t="n">
        <f aca="false">INDEX(Laporan!$A$1:$AZ$300,G1772,H1772)</f>
        <v>5</v>
      </c>
      <c r="O1772" s="0" t="n">
        <f aca="false">IF(N1772="","",IFERROR(VALUE(SUBSTITUTE(SUBSTITUTE(N1772," btl",""),".","")),""))</f>
        <v>5</v>
      </c>
      <c r="P1772" s="0" t="str">
        <f aca="false">IF(B1772="PRODUKSI","produced","reject")</f>
        <v>reject</v>
      </c>
    </row>
    <row r="1773" customFormat="false" ht="15" hidden="false" customHeight="false" outlineLevel="0" collapsed="false">
      <c r="A1773" s="0" t="n">
        <v>1772</v>
      </c>
      <c r="B1773" s="0" t="str">
        <f aca="false">IF(A1773&lt;=36*25,"PRODUKSI","REJECT")</f>
        <v>REJECT</v>
      </c>
      <c r="C1773" s="0" t="n">
        <f aca="false">MOD(A1773-1,Pemetaan!$B$3*Pemetaan!$B$4)</f>
        <v>871</v>
      </c>
      <c r="D1773" s="0" t="n">
        <f aca="false">INT(C1773/Pemetaan!$B$4)</f>
        <v>34</v>
      </c>
      <c r="E1773" s="0" t="n">
        <f aca="false">MOD(C1773,Pemetaan!$B$4)</f>
        <v>21</v>
      </c>
      <c r="F1773" s="0" t="n">
        <f aca="false">IF(B1773="PRODUKSI",Pemetaan!$B$5,Pemetaan!$B$6)</f>
        <v>46</v>
      </c>
      <c r="G1773" s="0" t="n">
        <f aca="false">F1773+2+D1773</f>
        <v>82</v>
      </c>
      <c r="H1773" s="0" t="n">
        <f aca="false">Pemetaan!$B$2+E1773</f>
        <v>26</v>
      </c>
      <c r="I1773" s="0" t="str">
        <f aca="false">INDEX(Laporan!$A$1:$AZ$300,G1773,1)</f>
        <v>Mixing</v>
      </c>
      <c r="J1773" s="0" t="str">
        <f aca="false">INDEX(Laporan!$A$1:$AZ$300,G1773,2)</f>
        <v>1,5 L</v>
      </c>
      <c r="K1773" s="0" t="str">
        <f aca="false">INDEX(Laporan!$A$1:$AZ$300,G1773,3)</f>
        <v>Shift 2</v>
      </c>
      <c r="L1773" s="0" t="n">
        <f aca="false">INDEX(Laporan!$A$1:$AZ$300,G1773,4)</f>
        <v>2</v>
      </c>
      <c r="M1773" s="1" t="n">
        <f aca="false">DATE(Pemetaan!$B$1,VALUE(RIGHT(INDEX(Laporan!$A$1:$AZ$300,F1773+1,H1773),2)),VALUE(LEFT(INDEX(Laporan!$A$1:$AZ$300,F1773+1,H1773),2)))</f>
        <v>46112</v>
      </c>
      <c r="N1773" s="0" t="n">
        <f aca="false">INDEX(Laporan!$A$1:$AZ$300,G1773,H1773)</f>
        <v>12</v>
      </c>
      <c r="O1773" s="0" t="n">
        <f aca="false">IF(N1773="","",IFERROR(VALUE(SUBSTITUTE(SUBSTITUTE(N1773," btl",""),".","")),""))</f>
        <v>12</v>
      </c>
      <c r="P1773" s="0" t="str">
        <f aca="false">IF(B1773="PRODUKSI","produced","reject")</f>
        <v>reject</v>
      </c>
    </row>
    <row r="1774" customFormat="false" ht="15" hidden="false" customHeight="false" outlineLevel="0" collapsed="false">
      <c r="A1774" s="0" t="n">
        <v>1773</v>
      </c>
      <c r="B1774" s="0" t="str">
        <f aca="false">IF(A1774&lt;=36*25,"PRODUKSI","REJECT")</f>
        <v>REJECT</v>
      </c>
      <c r="C1774" s="0" t="n">
        <f aca="false">MOD(A1774-1,Pemetaan!$B$3*Pemetaan!$B$4)</f>
        <v>872</v>
      </c>
      <c r="D1774" s="0" t="n">
        <f aca="false">INT(C1774/Pemetaan!$B$4)</f>
        <v>34</v>
      </c>
      <c r="E1774" s="0" t="n">
        <f aca="false">MOD(C1774,Pemetaan!$B$4)</f>
        <v>22</v>
      </c>
      <c r="F1774" s="0" t="n">
        <f aca="false">IF(B1774="PRODUKSI",Pemetaan!$B$5,Pemetaan!$B$6)</f>
        <v>46</v>
      </c>
      <c r="G1774" s="0" t="n">
        <f aca="false">F1774+2+D1774</f>
        <v>82</v>
      </c>
      <c r="H1774" s="0" t="n">
        <f aca="false">Pemetaan!$B$2+E1774</f>
        <v>27</v>
      </c>
      <c r="I1774" s="0" t="str">
        <f aca="false">INDEX(Laporan!$A$1:$AZ$300,G1774,1)</f>
        <v>Mixing</v>
      </c>
      <c r="J1774" s="0" t="str">
        <f aca="false">INDEX(Laporan!$A$1:$AZ$300,G1774,2)</f>
        <v>1,5 L</v>
      </c>
      <c r="K1774" s="0" t="str">
        <f aca="false">INDEX(Laporan!$A$1:$AZ$300,G1774,3)</f>
        <v>Shift 2</v>
      </c>
      <c r="L1774" s="0" t="n">
        <f aca="false">INDEX(Laporan!$A$1:$AZ$300,G1774,4)</f>
        <v>2</v>
      </c>
      <c r="M1774" s="1" t="n">
        <f aca="false">DATE(Pemetaan!$B$1,VALUE(RIGHT(INDEX(Laporan!$A$1:$AZ$300,F1774+1,H1774),2)),VALUE(LEFT(INDEX(Laporan!$A$1:$AZ$300,F1774+1,H1774),2)))</f>
        <v>46113</v>
      </c>
      <c r="N1774" s="0" t="n">
        <f aca="false">INDEX(Laporan!$A$1:$AZ$300,G1774,H1774)</f>
        <v>10</v>
      </c>
      <c r="O1774" s="0" t="n">
        <f aca="false">IF(N1774="","",IFERROR(VALUE(SUBSTITUTE(SUBSTITUTE(N1774," btl",""),".","")),""))</f>
        <v>10</v>
      </c>
      <c r="P1774" s="0" t="str">
        <f aca="false">IF(B1774="PRODUKSI","produced","reject")</f>
        <v>reject</v>
      </c>
    </row>
    <row r="1775" customFormat="false" ht="15" hidden="false" customHeight="false" outlineLevel="0" collapsed="false">
      <c r="A1775" s="0" t="n">
        <v>1774</v>
      </c>
      <c r="B1775" s="0" t="str">
        <f aca="false">IF(A1775&lt;=36*25,"PRODUKSI","REJECT")</f>
        <v>REJECT</v>
      </c>
      <c r="C1775" s="0" t="n">
        <f aca="false">MOD(A1775-1,Pemetaan!$B$3*Pemetaan!$B$4)</f>
        <v>873</v>
      </c>
      <c r="D1775" s="0" t="n">
        <f aca="false">INT(C1775/Pemetaan!$B$4)</f>
        <v>34</v>
      </c>
      <c r="E1775" s="0" t="n">
        <f aca="false">MOD(C1775,Pemetaan!$B$4)</f>
        <v>23</v>
      </c>
      <c r="F1775" s="0" t="n">
        <f aca="false">IF(B1775="PRODUKSI",Pemetaan!$B$5,Pemetaan!$B$6)</f>
        <v>46</v>
      </c>
      <c r="G1775" s="0" t="n">
        <f aca="false">F1775+2+D1775</f>
        <v>82</v>
      </c>
      <c r="H1775" s="0" t="n">
        <f aca="false">Pemetaan!$B$2+E1775</f>
        <v>28</v>
      </c>
      <c r="I1775" s="0" t="str">
        <f aca="false">INDEX(Laporan!$A$1:$AZ$300,G1775,1)</f>
        <v>Mixing</v>
      </c>
      <c r="J1775" s="0" t="str">
        <f aca="false">INDEX(Laporan!$A$1:$AZ$300,G1775,2)</f>
        <v>1,5 L</v>
      </c>
      <c r="K1775" s="0" t="str">
        <f aca="false">INDEX(Laporan!$A$1:$AZ$300,G1775,3)</f>
        <v>Shift 2</v>
      </c>
      <c r="L1775" s="0" t="n">
        <f aca="false">INDEX(Laporan!$A$1:$AZ$300,G1775,4)</f>
        <v>2</v>
      </c>
      <c r="M1775" s="1" t="n">
        <f aca="false">DATE(Pemetaan!$B$1,VALUE(RIGHT(INDEX(Laporan!$A$1:$AZ$300,F1775+1,H1775),2)),VALUE(LEFT(INDEX(Laporan!$A$1:$AZ$300,F1775+1,H1775),2)))</f>
        <v>46114</v>
      </c>
      <c r="N1775" s="0" t="n">
        <f aca="false">INDEX(Laporan!$A$1:$AZ$300,G1775,H1775)</f>
        <v>7</v>
      </c>
      <c r="O1775" s="0" t="n">
        <f aca="false">IF(N1775="","",IFERROR(VALUE(SUBSTITUTE(SUBSTITUTE(N1775," btl",""),".","")),""))</f>
        <v>7</v>
      </c>
      <c r="P1775" s="0" t="str">
        <f aca="false">IF(B1775="PRODUKSI","produced","reject")</f>
        <v>reject</v>
      </c>
    </row>
    <row r="1776" customFormat="false" ht="15" hidden="false" customHeight="false" outlineLevel="0" collapsed="false">
      <c r="A1776" s="0" t="n">
        <v>1775</v>
      </c>
      <c r="B1776" s="0" t="str">
        <f aca="false">IF(A1776&lt;=36*25,"PRODUKSI","REJECT")</f>
        <v>REJECT</v>
      </c>
      <c r="C1776" s="0" t="n">
        <f aca="false">MOD(A1776-1,Pemetaan!$B$3*Pemetaan!$B$4)</f>
        <v>874</v>
      </c>
      <c r="D1776" s="0" t="n">
        <f aca="false">INT(C1776/Pemetaan!$B$4)</f>
        <v>34</v>
      </c>
      <c r="E1776" s="0" t="n">
        <f aca="false">MOD(C1776,Pemetaan!$B$4)</f>
        <v>24</v>
      </c>
      <c r="F1776" s="0" t="n">
        <f aca="false">IF(B1776="PRODUKSI",Pemetaan!$B$5,Pemetaan!$B$6)</f>
        <v>46</v>
      </c>
      <c r="G1776" s="0" t="n">
        <f aca="false">F1776+2+D1776</f>
        <v>82</v>
      </c>
      <c r="H1776" s="0" t="n">
        <f aca="false">Pemetaan!$B$2+E1776</f>
        <v>29</v>
      </c>
      <c r="I1776" s="0" t="str">
        <f aca="false">INDEX(Laporan!$A$1:$AZ$300,G1776,1)</f>
        <v>Mixing</v>
      </c>
      <c r="J1776" s="0" t="str">
        <f aca="false">INDEX(Laporan!$A$1:$AZ$300,G1776,2)</f>
        <v>1,5 L</v>
      </c>
      <c r="K1776" s="0" t="str">
        <f aca="false">INDEX(Laporan!$A$1:$AZ$300,G1776,3)</f>
        <v>Shift 2</v>
      </c>
      <c r="L1776" s="0" t="n">
        <f aca="false">INDEX(Laporan!$A$1:$AZ$300,G1776,4)</f>
        <v>2</v>
      </c>
      <c r="M1776" s="1" t="n">
        <f aca="false">DATE(Pemetaan!$B$1,VALUE(RIGHT(INDEX(Laporan!$A$1:$AZ$300,F1776+1,H1776),2)),VALUE(LEFT(INDEX(Laporan!$A$1:$AZ$300,F1776+1,H1776),2)))</f>
        <v>46115</v>
      </c>
      <c r="N1776" s="0" t="n">
        <f aca="false">INDEX(Laporan!$A$1:$AZ$300,G1776,H1776)</f>
        <v>6</v>
      </c>
      <c r="O1776" s="0" t="n">
        <f aca="false">IF(N1776="","",IFERROR(VALUE(SUBSTITUTE(SUBSTITUTE(N1776," btl",""),".","")),""))</f>
        <v>6</v>
      </c>
      <c r="P1776" s="0" t="str">
        <f aca="false">IF(B1776="PRODUKSI","produced","reject")</f>
        <v>reject</v>
      </c>
    </row>
    <row r="1777" customFormat="false" ht="15" hidden="false" customHeight="false" outlineLevel="0" collapsed="false">
      <c r="A1777" s="0" t="n">
        <v>1776</v>
      </c>
      <c r="B1777" s="0" t="str">
        <f aca="false">IF(A1777&lt;=36*25,"PRODUKSI","REJECT")</f>
        <v>REJECT</v>
      </c>
      <c r="C1777" s="0" t="n">
        <f aca="false">MOD(A1777-1,Pemetaan!$B$3*Pemetaan!$B$4)</f>
        <v>875</v>
      </c>
      <c r="D1777" s="0" t="n">
        <f aca="false">INT(C1777/Pemetaan!$B$4)</f>
        <v>35</v>
      </c>
      <c r="E1777" s="0" t="n">
        <f aca="false">MOD(C1777,Pemetaan!$B$4)</f>
        <v>0</v>
      </c>
      <c r="F1777" s="0" t="n">
        <f aca="false">IF(B1777="PRODUKSI",Pemetaan!$B$5,Pemetaan!$B$6)</f>
        <v>46</v>
      </c>
      <c r="G1777" s="0" t="n">
        <f aca="false">F1777+2+D1777</f>
        <v>83</v>
      </c>
      <c r="H1777" s="0" t="n">
        <f aca="false">Pemetaan!$B$2+E1777</f>
        <v>5</v>
      </c>
      <c r="I1777" s="0" t="str">
        <f aca="false">INDEX(Laporan!$A$1:$AZ$300,G1777,1)</f>
        <v>Mixing</v>
      </c>
      <c r="J1777" s="0" t="str">
        <f aca="false">INDEX(Laporan!$A$1:$AZ$300,G1777,2)</f>
        <v>1,5 L</v>
      </c>
      <c r="K1777" s="0" t="str">
        <f aca="false">INDEX(Laporan!$A$1:$AZ$300,G1777,3)</f>
        <v>Shift 2</v>
      </c>
      <c r="L1777" s="0" t="n">
        <f aca="false">INDEX(Laporan!$A$1:$AZ$300,G1777,4)</f>
        <v>3</v>
      </c>
      <c r="M1777" s="1" t="n">
        <f aca="false">DATE(Pemetaan!$B$1,VALUE(RIGHT(INDEX(Laporan!$A$1:$AZ$300,F1777+1,H1777),2)),VALUE(LEFT(INDEX(Laporan!$A$1:$AZ$300,F1777+1,H1777),2)))</f>
        <v>46083</v>
      </c>
      <c r="N1777" s="0" t="n">
        <f aca="false">INDEX(Laporan!$A$1:$AZ$300,G1777,H1777)</f>
        <v>6</v>
      </c>
      <c r="O1777" s="0" t="n">
        <f aca="false">IF(N1777="","",IFERROR(VALUE(SUBSTITUTE(SUBSTITUTE(N1777," btl",""),".","")),""))</f>
        <v>6</v>
      </c>
      <c r="P1777" s="0" t="str">
        <f aca="false">IF(B1777="PRODUKSI","produced","reject")</f>
        <v>reject</v>
      </c>
    </row>
    <row r="1778" customFormat="false" ht="15" hidden="false" customHeight="false" outlineLevel="0" collapsed="false">
      <c r="A1778" s="0" t="n">
        <v>1777</v>
      </c>
      <c r="B1778" s="0" t="str">
        <f aca="false">IF(A1778&lt;=36*25,"PRODUKSI","REJECT")</f>
        <v>REJECT</v>
      </c>
      <c r="C1778" s="0" t="n">
        <f aca="false">MOD(A1778-1,Pemetaan!$B$3*Pemetaan!$B$4)</f>
        <v>876</v>
      </c>
      <c r="D1778" s="0" t="n">
        <f aca="false">INT(C1778/Pemetaan!$B$4)</f>
        <v>35</v>
      </c>
      <c r="E1778" s="0" t="n">
        <f aca="false">MOD(C1778,Pemetaan!$B$4)</f>
        <v>1</v>
      </c>
      <c r="F1778" s="0" t="n">
        <f aca="false">IF(B1778="PRODUKSI",Pemetaan!$B$5,Pemetaan!$B$6)</f>
        <v>46</v>
      </c>
      <c r="G1778" s="0" t="n">
        <f aca="false">F1778+2+D1778</f>
        <v>83</v>
      </c>
      <c r="H1778" s="0" t="n">
        <f aca="false">Pemetaan!$B$2+E1778</f>
        <v>6</v>
      </c>
      <c r="I1778" s="0" t="str">
        <f aca="false">INDEX(Laporan!$A$1:$AZ$300,G1778,1)</f>
        <v>Mixing</v>
      </c>
      <c r="J1778" s="0" t="str">
        <f aca="false">INDEX(Laporan!$A$1:$AZ$300,G1778,2)</f>
        <v>1,5 L</v>
      </c>
      <c r="K1778" s="0" t="str">
        <f aca="false">INDEX(Laporan!$A$1:$AZ$300,G1778,3)</f>
        <v>Shift 2</v>
      </c>
      <c r="L1778" s="0" t="n">
        <f aca="false">INDEX(Laporan!$A$1:$AZ$300,G1778,4)</f>
        <v>3</v>
      </c>
      <c r="M1778" s="1" t="n">
        <f aca="false">DATE(Pemetaan!$B$1,VALUE(RIGHT(INDEX(Laporan!$A$1:$AZ$300,F1778+1,H1778),2)),VALUE(LEFT(INDEX(Laporan!$A$1:$AZ$300,F1778+1,H1778),2)))</f>
        <v>46084</v>
      </c>
      <c r="N1778" s="0" t="n">
        <f aca="false">INDEX(Laporan!$A$1:$AZ$300,G1778,H1778)</f>
        <v>7</v>
      </c>
      <c r="O1778" s="0" t="n">
        <f aca="false">IF(N1778="","",IFERROR(VALUE(SUBSTITUTE(SUBSTITUTE(N1778," btl",""),".","")),""))</f>
        <v>7</v>
      </c>
      <c r="P1778" s="0" t="str">
        <f aca="false">IF(B1778="PRODUKSI","produced","reject")</f>
        <v>reject</v>
      </c>
    </row>
    <row r="1779" customFormat="false" ht="15" hidden="false" customHeight="false" outlineLevel="0" collapsed="false">
      <c r="A1779" s="0" t="n">
        <v>1778</v>
      </c>
      <c r="B1779" s="0" t="str">
        <f aca="false">IF(A1779&lt;=36*25,"PRODUKSI","REJECT")</f>
        <v>REJECT</v>
      </c>
      <c r="C1779" s="0" t="n">
        <f aca="false">MOD(A1779-1,Pemetaan!$B$3*Pemetaan!$B$4)</f>
        <v>877</v>
      </c>
      <c r="D1779" s="0" t="n">
        <f aca="false">INT(C1779/Pemetaan!$B$4)</f>
        <v>35</v>
      </c>
      <c r="E1779" s="0" t="n">
        <f aca="false">MOD(C1779,Pemetaan!$B$4)</f>
        <v>2</v>
      </c>
      <c r="F1779" s="0" t="n">
        <f aca="false">IF(B1779="PRODUKSI",Pemetaan!$B$5,Pemetaan!$B$6)</f>
        <v>46</v>
      </c>
      <c r="G1779" s="0" t="n">
        <f aca="false">F1779+2+D1779</f>
        <v>83</v>
      </c>
      <c r="H1779" s="0" t="n">
        <f aca="false">Pemetaan!$B$2+E1779</f>
        <v>7</v>
      </c>
      <c r="I1779" s="0" t="str">
        <f aca="false">INDEX(Laporan!$A$1:$AZ$300,G1779,1)</f>
        <v>Mixing</v>
      </c>
      <c r="J1779" s="0" t="str">
        <f aca="false">INDEX(Laporan!$A$1:$AZ$300,G1779,2)</f>
        <v>1,5 L</v>
      </c>
      <c r="K1779" s="0" t="str">
        <f aca="false">INDEX(Laporan!$A$1:$AZ$300,G1779,3)</f>
        <v>Shift 2</v>
      </c>
      <c r="L1779" s="0" t="n">
        <f aca="false">INDEX(Laporan!$A$1:$AZ$300,G1779,4)</f>
        <v>3</v>
      </c>
      <c r="M1779" s="1" t="n">
        <f aca="false">DATE(Pemetaan!$B$1,VALUE(RIGHT(INDEX(Laporan!$A$1:$AZ$300,F1779+1,H1779),2)),VALUE(LEFT(INDEX(Laporan!$A$1:$AZ$300,F1779+1,H1779),2)))</f>
        <v>46085</v>
      </c>
      <c r="N1779" s="0" t="n">
        <f aca="false">INDEX(Laporan!$A$1:$AZ$300,G1779,H1779)</f>
        <v>7</v>
      </c>
      <c r="O1779" s="0" t="n">
        <f aca="false">IF(N1779="","",IFERROR(VALUE(SUBSTITUTE(SUBSTITUTE(N1779," btl",""),".","")),""))</f>
        <v>7</v>
      </c>
      <c r="P1779" s="0" t="str">
        <f aca="false">IF(B1779="PRODUKSI","produced","reject")</f>
        <v>reject</v>
      </c>
    </row>
    <row r="1780" customFormat="false" ht="15" hidden="false" customHeight="false" outlineLevel="0" collapsed="false">
      <c r="A1780" s="0" t="n">
        <v>1779</v>
      </c>
      <c r="B1780" s="0" t="str">
        <f aca="false">IF(A1780&lt;=36*25,"PRODUKSI","REJECT")</f>
        <v>REJECT</v>
      </c>
      <c r="C1780" s="0" t="n">
        <f aca="false">MOD(A1780-1,Pemetaan!$B$3*Pemetaan!$B$4)</f>
        <v>878</v>
      </c>
      <c r="D1780" s="0" t="n">
        <f aca="false">INT(C1780/Pemetaan!$B$4)</f>
        <v>35</v>
      </c>
      <c r="E1780" s="0" t="n">
        <f aca="false">MOD(C1780,Pemetaan!$B$4)</f>
        <v>3</v>
      </c>
      <c r="F1780" s="0" t="n">
        <f aca="false">IF(B1780="PRODUKSI",Pemetaan!$B$5,Pemetaan!$B$6)</f>
        <v>46</v>
      </c>
      <c r="G1780" s="0" t="n">
        <f aca="false">F1780+2+D1780</f>
        <v>83</v>
      </c>
      <c r="H1780" s="0" t="n">
        <f aca="false">Pemetaan!$B$2+E1780</f>
        <v>8</v>
      </c>
      <c r="I1780" s="0" t="str">
        <f aca="false">INDEX(Laporan!$A$1:$AZ$300,G1780,1)</f>
        <v>Mixing</v>
      </c>
      <c r="J1780" s="0" t="str">
        <f aca="false">INDEX(Laporan!$A$1:$AZ$300,G1780,2)</f>
        <v>1,5 L</v>
      </c>
      <c r="K1780" s="0" t="str">
        <f aca="false">INDEX(Laporan!$A$1:$AZ$300,G1780,3)</f>
        <v>Shift 2</v>
      </c>
      <c r="L1780" s="0" t="n">
        <f aca="false">INDEX(Laporan!$A$1:$AZ$300,G1780,4)</f>
        <v>3</v>
      </c>
      <c r="M1780" s="1" t="n">
        <f aca="false">DATE(Pemetaan!$B$1,VALUE(RIGHT(INDEX(Laporan!$A$1:$AZ$300,F1780+1,H1780),2)),VALUE(LEFT(INDEX(Laporan!$A$1:$AZ$300,F1780+1,H1780),2)))</f>
        <v>46086</v>
      </c>
      <c r="N1780" s="0" t="n">
        <f aca="false">INDEX(Laporan!$A$1:$AZ$300,G1780,H1780)</f>
        <v>8</v>
      </c>
      <c r="O1780" s="0" t="n">
        <f aca="false">IF(N1780="","",IFERROR(VALUE(SUBSTITUTE(SUBSTITUTE(N1780," btl",""),".","")),""))</f>
        <v>8</v>
      </c>
      <c r="P1780" s="0" t="str">
        <f aca="false">IF(B1780="PRODUKSI","produced","reject")</f>
        <v>reject</v>
      </c>
    </row>
    <row r="1781" customFormat="false" ht="15" hidden="false" customHeight="false" outlineLevel="0" collapsed="false">
      <c r="A1781" s="0" t="n">
        <v>1780</v>
      </c>
      <c r="B1781" s="0" t="str">
        <f aca="false">IF(A1781&lt;=36*25,"PRODUKSI","REJECT")</f>
        <v>REJECT</v>
      </c>
      <c r="C1781" s="0" t="n">
        <f aca="false">MOD(A1781-1,Pemetaan!$B$3*Pemetaan!$B$4)</f>
        <v>879</v>
      </c>
      <c r="D1781" s="0" t="n">
        <f aca="false">INT(C1781/Pemetaan!$B$4)</f>
        <v>35</v>
      </c>
      <c r="E1781" s="0" t="n">
        <f aca="false">MOD(C1781,Pemetaan!$B$4)</f>
        <v>4</v>
      </c>
      <c r="F1781" s="0" t="n">
        <f aca="false">IF(B1781="PRODUKSI",Pemetaan!$B$5,Pemetaan!$B$6)</f>
        <v>46</v>
      </c>
      <c r="G1781" s="0" t="n">
        <f aca="false">F1781+2+D1781</f>
        <v>83</v>
      </c>
      <c r="H1781" s="0" t="n">
        <f aca="false">Pemetaan!$B$2+E1781</f>
        <v>9</v>
      </c>
      <c r="I1781" s="0" t="str">
        <f aca="false">INDEX(Laporan!$A$1:$AZ$300,G1781,1)</f>
        <v>Mixing</v>
      </c>
      <c r="J1781" s="0" t="str">
        <f aca="false">INDEX(Laporan!$A$1:$AZ$300,G1781,2)</f>
        <v>1,5 L</v>
      </c>
      <c r="K1781" s="0" t="str">
        <f aca="false">INDEX(Laporan!$A$1:$AZ$300,G1781,3)</f>
        <v>Shift 2</v>
      </c>
      <c r="L1781" s="0" t="n">
        <f aca="false">INDEX(Laporan!$A$1:$AZ$300,G1781,4)</f>
        <v>3</v>
      </c>
      <c r="M1781" s="1" t="n">
        <f aca="false">DATE(Pemetaan!$B$1,VALUE(RIGHT(INDEX(Laporan!$A$1:$AZ$300,F1781+1,H1781),2)),VALUE(LEFT(INDEX(Laporan!$A$1:$AZ$300,F1781+1,H1781),2)))</f>
        <v>46087</v>
      </c>
      <c r="N1781" s="0" t="n">
        <f aca="false">INDEX(Laporan!$A$1:$AZ$300,G1781,H1781)</f>
        <v>7</v>
      </c>
      <c r="O1781" s="0" t="n">
        <f aca="false">IF(N1781="","",IFERROR(VALUE(SUBSTITUTE(SUBSTITUTE(N1781," btl",""),".","")),""))</f>
        <v>7</v>
      </c>
      <c r="P1781" s="0" t="str">
        <f aca="false">IF(B1781="PRODUKSI","produced","reject")</f>
        <v>reject</v>
      </c>
    </row>
    <row r="1782" customFormat="false" ht="15" hidden="false" customHeight="false" outlineLevel="0" collapsed="false">
      <c r="A1782" s="0" t="n">
        <v>1781</v>
      </c>
      <c r="B1782" s="0" t="str">
        <f aca="false">IF(A1782&lt;=36*25,"PRODUKSI","REJECT")</f>
        <v>REJECT</v>
      </c>
      <c r="C1782" s="0" t="n">
        <f aca="false">MOD(A1782-1,Pemetaan!$B$3*Pemetaan!$B$4)</f>
        <v>880</v>
      </c>
      <c r="D1782" s="0" t="n">
        <f aca="false">INT(C1782/Pemetaan!$B$4)</f>
        <v>35</v>
      </c>
      <c r="E1782" s="0" t="n">
        <f aca="false">MOD(C1782,Pemetaan!$B$4)</f>
        <v>5</v>
      </c>
      <c r="F1782" s="0" t="n">
        <f aca="false">IF(B1782="PRODUKSI",Pemetaan!$B$5,Pemetaan!$B$6)</f>
        <v>46</v>
      </c>
      <c r="G1782" s="0" t="n">
        <f aca="false">F1782+2+D1782</f>
        <v>83</v>
      </c>
      <c r="H1782" s="0" t="n">
        <f aca="false">Pemetaan!$B$2+E1782</f>
        <v>10</v>
      </c>
      <c r="I1782" s="0" t="str">
        <f aca="false">INDEX(Laporan!$A$1:$AZ$300,G1782,1)</f>
        <v>Mixing</v>
      </c>
      <c r="J1782" s="0" t="str">
        <f aca="false">INDEX(Laporan!$A$1:$AZ$300,G1782,2)</f>
        <v>1,5 L</v>
      </c>
      <c r="K1782" s="0" t="str">
        <f aca="false">INDEX(Laporan!$A$1:$AZ$300,G1782,3)</f>
        <v>Shift 2</v>
      </c>
      <c r="L1782" s="0" t="n">
        <f aca="false">INDEX(Laporan!$A$1:$AZ$300,G1782,4)</f>
        <v>3</v>
      </c>
      <c r="M1782" s="1" t="n">
        <f aca="false">DATE(Pemetaan!$B$1,VALUE(RIGHT(INDEX(Laporan!$A$1:$AZ$300,F1782+1,H1782),2)),VALUE(LEFT(INDEX(Laporan!$A$1:$AZ$300,F1782+1,H1782),2)))</f>
        <v>46090</v>
      </c>
      <c r="N1782" s="0" t="n">
        <f aca="false">INDEX(Laporan!$A$1:$AZ$300,G1782,H1782)</f>
        <v>12</v>
      </c>
      <c r="O1782" s="0" t="n">
        <f aca="false">IF(N1782="","",IFERROR(VALUE(SUBSTITUTE(SUBSTITUTE(N1782," btl",""),".","")),""))</f>
        <v>12</v>
      </c>
      <c r="P1782" s="0" t="str">
        <f aca="false">IF(B1782="PRODUKSI","produced","reject")</f>
        <v>reject</v>
      </c>
    </row>
    <row r="1783" customFormat="false" ht="15" hidden="false" customHeight="false" outlineLevel="0" collapsed="false">
      <c r="A1783" s="0" t="n">
        <v>1782</v>
      </c>
      <c r="B1783" s="0" t="str">
        <f aca="false">IF(A1783&lt;=36*25,"PRODUKSI","REJECT")</f>
        <v>REJECT</v>
      </c>
      <c r="C1783" s="0" t="n">
        <f aca="false">MOD(A1783-1,Pemetaan!$B$3*Pemetaan!$B$4)</f>
        <v>881</v>
      </c>
      <c r="D1783" s="0" t="n">
        <f aca="false">INT(C1783/Pemetaan!$B$4)</f>
        <v>35</v>
      </c>
      <c r="E1783" s="0" t="n">
        <f aca="false">MOD(C1783,Pemetaan!$B$4)</f>
        <v>6</v>
      </c>
      <c r="F1783" s="0" t="n">
        <f aca="false">IF(B1783="PRODUKSI",Pemetaan!$B$5,Pemetaan!$B$6)</f>
        <v>46</v>
      </c>
      <c r="G1783" s="0" t="n">
        <f aca="false">F1783+2+D1783</f>
        <v>83</v>
      </c>
      <c r="H1783" s="0" t="n">
        <f aca="false">Pemetaan!$B$2+E1783</f>
        <v>11</v>
      </c>
      <c r="I1783" s="0" t="str">
        <f aca="false">INDEX(Laporan!$A$1:$AZ$300,G1783,1)</f>
        <v>Mixing</v>
      </c>
      <c r="J1783" s="0" t="str">
        <f aca="false">INDEX(Laporan!$A$1:$AZ$300,G1783,2)</f>
        <v>1,5 L</v>
      </c>
      <c r="K1783" s="0" t="str">
        <f aca="false">INDEX(Laporan!$A$1:$AZ$300,G1783,3)</f>
        <v>Shift 2</v>
      </c>
      <c r="L1783" s="0" t="n">
        <f aca="false">INDEX(Laporan!$A$1:$AZ$300,G1783,4)</f>
        <v>3</v>
      </c>
      <c r="M1783" s="1" t="n">
        <f aca="false">DATE(Pemetaan!$B$1,VALUE(RIGHT(INDEX(Laporan!$A$1:$AZ$300,F1783+1,H1783),2)),VALUE(LEFT(INDEX(Laporan!$A$1:$AZ$300,F1783+1,H1783),2)))</f>
        <v>46091</v>
      </c>
      <c r="N1783" s="0" t="n">
        <f aca="false">INDEX(Laporan!$A$1:$AZ$300,G1783,H1783)</f>
        <v>13</v>
      </c>
      <c r="O1783" s="0" t="n">
        <f aca="false">IF(N1783="","",IFERROR(VALUE(SUBSTITUTE(SUBSTITUTE(N1783," btl",""),".","")),""))</f>
        <v>13</v>
      </c>
      <c r="P1783" s="0" t="str">
        <f aca="false">IF(B1783="PRODUKSI","produced","reject")</f>
        <v>reject</v>
      </c>
    </row>
    <row r="1784" customFormat="false" ht="15" hidden="false" customHeight="false" outlineLevel="0" collapsed="false">
      <c r="A1784" s="0" t="n">
        <v>1783</v>
      </c>
      <c r="B1784" s="0" t="str">
        <f aca="false">IF(A1784&lt;=36*25,"PRODUKSI","REJECT")</f>
        <v>REJECT</v>
      </c>
      <c r="C1784" s="0" t="n">
        <f aca="false">MOD(A1784-1,Pemetaan!$B$3*Pemetaan!$B$4)</f>
        <v>882</v>
      </c>
      <c r="D1784" s="0" t="n">
        <f aca="false">INT(C1784/Pemetaan!$B$4)</f>
        <v>35</v>
      </c>
      <c r="E1784" s="0" t="n">
        <f aca="false">MOD(C1784,Pemetaan!$B$4)</f>
        <v>7</v>
      </c>
      <c r="F1784" s="0" t="n">
        <f aca="false">IF(B1784="PRODUKSI",Pemetaan!$B$5,Pemetaan!$B$6)</f>
        <v>46</v>
      </c>
      <c r="G1784" s="0" t="n">
        <f aca="false">F1784+2+D1784</f>
        <v>83</v>
      </c>
      <c r="H1784" s="0" t="n">
        <f aca="false">Pemetaan!$B$2+E1784</f>
        <v>12</v>
      </c>
      <c r="I1784" s="0" t="str">
        <f aca="false">INDEX(Laporan!$A$1:$AZ$300,G1784,1)</f>
        <v>Mixing</v>
      </c>
      <c r="J1784" s="0" t="str">
        <f aca="false">INDEX(Laporan!$A$1:$AZ$300,G1784,2)</f>
        <v>1,5 L</v>
      </c>
      <c r="K1784" s="0" t="str">
        <f aca="false">INDEX(Laporan!$A$1:$AZ$300,G1784,3)</f>
        <v>Shift 2</v>
      </c>
      <c r="L1784" s="0" t="n">
        <f aca="false">INDEX(Laporan!$A$1:$AZ$300,G1784,4)</f>
        <v>3</v>
      </c>
      <c r="M1784" s="1" t="n">
        <f aca="false">DATE(Pemetaan!$B$1,VALUE(RIGHT(INDEX(Laporan!$A$1:$AZ$300,F1784+1,H1784),2)),VALUE(LEFT(INDEX(Laporan!$A$1:$AZ$300,F1784+1,H1784),2)))</f>
        <v>46092</v>
      </c>
      <c r="N1784" s="0" t="n">
        <f aca="false">INDEX(Laporan!$A$1:$AZ$300,G1784,H1784)</f>
        <v>16</v>
      </c>
      <c r="O1784" s="0" t="n">
        <f aca="false">IF(N1784="","",IFERROR(VALUE(SUBSTITUTE(SUBSTITUTE(N1784," btl",""),".","")),""))</f>
        <v>16</v>
      </c>
      <c r="P1784" s="0" t="str">
        <f aca="false">IF(B1784="PRODUKSI","produced","reject")</f>
        <v>reject</v>
      </c>
    </row>
    <row r="1785" customFormat="false" ht="15" hidden="false" customHeight="false" outlineLevel="0" collapsed="false">
      <c r="A1785" s="0" t="n">
        <v>1784</v>
      </c>
      <c r="B1785" s="0" t="str">
        <f aca="false">IF(A1785&lt;=36*25,"PRODUKSI","REJECT")</f>
        <v>REJECT</v>
      </c>
      <c r="C1785" s="0" t="n">
        <f aca="false">MOD(A1785-1,Pemetaan!$B$3*Pemetaan!$B$4)</f>
        <v>883</v>
      </c>
      <c r="D1785" s="0" t="n">
        <f aca="false">INT(C1785/Pemetaan!$B$4)</f>
        <v>35</v>
      </c>
      <c r="E1785" s="0" t="n">
        <f aca="false">MOD(C1785,Pemetaan!$B$4)</f>
        <v>8</v>
      </c>
      <c r="F1785" s="0" t="n">
        <f aca="false">IF(B1785="PRODUKSI",Pemetaan!$B$5,Pemetaan!$B$6)</f>
        <v>46</v>
      </c>
      <c r="G1785" s="0" t="n">
        <f aca="false">F1785+2+D1785</f>
        <v>83</v>
      </c>
      <c r="H1785" s="0" t="n">
        <f aca="false">Pemetaan!$B$2+E1785</f>
        <v>13</v>
      </c>
      <c r="I1785" s="0" t="str">
        <f aca="false">INDEX(Laporan!$A$1:$AZ$300,G1785,1)</f>
        <v>Mixing</v>
      </c>
      <c r="J1785" s="0" t="str">
        <f aca="false">INDEX(Laporan!$A$1:$AZ$300,G1785,2)</f>
        <v>1,5 L</v>
      </c>
      <c r="K1785" s="0" t="str">
        <f aca="false">INDEX(Laporan!$A$1:$AZ$300,G1785,3)</f>
        <v>Shift 2</v>
      </c>
      <c r="L1785" s="0" t="n">
        <f aca="false">INDEX(Laporan!$A$1:$AZ$300,G1785,4)</f>
        <v>3</v>
      </c>
      <c r="M1785" s="1" t="n">
        <f aca="false">DATE(Pemetaan!$B$1,VALUE(RIGHT(INDEX(Laporan!$A$1:$AZ$300,F1785+1,H1785),2)),VALUE(LEFT(INDEX(Laporan!$A$1:$AZ$300,F1785+1,H1785),2)))</f>
        <v>46093</v>
      </c>
      <c r="N1785" s="0" t="n">
        <f aca="false">INDEX(Laporan!$A$1:$AZ$300,G1785,H1785)</f>
        <v>9</v>
      </c>
      <c r="O1785" s="0" t="n">
        <f aca="false">IF(N1785="","",IFERROR(VALUE(SUBSTITUTE(SUBSTITUTE(N1785," btl",""),".","")),""))</f>
        <v>9</v>
      </c>
      <c r="P1785" s="0" t="str">
        <f aca="false">IF(B1785="PRODUKSI","produced","reject")</f>
        <v>reject</v>
      </c>
    </row>
    <row r="1786" customFormat="false" ht="15" hidden="false" customHeight="false" outlineLevel="0" collapsed="false">
      <c r="A1786" s="0" t="n">
        <v>1785</v>
      </c>
      <c r="B1786" s="0" t="str">
        <f aca="false">IF(A1786&lt;=36*25,"PRODUKSI","REJECT")</f>
        <v>REJECT</v>
      </c>
      <c r="C1786" s="0" t="n">
        <f aca="false">MOD(A1786-1,Pemetaan!$B$3*Pemetaan!$B$4)</f>
        <v>884</v>
      </c>
      <c r="D1786" s="0" t="n">
        <f aca="false">INT(C1786/Pemetaan!$B$4)</f>
        <v>35</v>
      </c>
      <c r="E1786" s="0" t="n">
        <f aca="false">MOD(C1786,Pemetaan!$B$4)</f>
        <v>9</v>
      </c>
      <c r="F1786" s="0" t="n">
        <f aca="false">IF(B1786="PRODUKSI",Pemetaan!$B$5,Pemetaan!$B$6)</f>
        <v>46</v>
      </c>
      <c r="G1786" s="0" t="n">
        <f aca="false">F1786+2+D1786</f>
        <v>83</v>
      </c>
      <c r="H1786" s="0" t="n">
        <f aca="false">Pemetaan!$B$2+E1786</f>
        <v>14</v>
      </c>
      <c r="I1786" s="0" t="str">
        <f aca="false">INDEX(Laporan!$A$1:$AZ$300,G1786,1)</f>
        <v>Mixing</v>
      </c>
      <c r="J1786" s="0" t="str">
        <f aca="false">INDEX(Laporan!$A$1:$AZ$300,G1786,2)</f>
        <v>1,5 L</v>
      </c>
      <c r="K1786" s="0" t="str">
        <f aca="false">INDEX(Laporan!$A$1:$AZ$300,G1786,3)</f>
        <v>Shift 2</v>
      </c>
      <c r="L1786" s="0" t="n">
        <f aca="false">INDEX(Laporan!$A$1:$AZ$300,G1786,4)</f>
        <v>3</v>
      </c>
      <c r="M1786" s="1" t="n">
        <f aca="false">DATE(Pemetaan!$B$1,VALUE(RIGHT(INDEX(Laporan!$A$1:$AZ$300,F1786+1,H1786),2)),VALUE(LEFT(INDEX(Laporan!$A$1:$AZ$300,F1786+1,H1786),2)))</f>
        <v>46094</v>
      </c>
      <c r="N1786" s="0" t="n">
        <f aca="false">INDEX(Laporan!$A$1:$AZ$300,G1786,H1786)</f>
        <v>8</v>
      </c>
      <c r="O1786" s="0" t="n">
        <f aca="false">IF(N1786="","",IFERROR(VALUE(SUBSTITUTE(SUBSTITUTE(N1786," btl",""),".","")),""))</f>
        <v>8</v>
      </c>
      <c r="P1786" s="0" t="str">
        <f aca="false">IF(B1786="PRODUKSI","produced","reject")</f>
        <v>reject</v>
      </c>
    </row>
    <row r="1787" customFormat="false" ht="15" hidden="false" customHeight="false" outlineLevel="0" collapsed="false">
      <c r="A1787" s="0" t="n">
        <v>1786</v>
      </c>
      <c r="B1787" s="0" t="str">
        <f aca="false">IF(A1787&lt;=36*25,"PRODUKSI","REJECT")</f>
        <v>REJECT</v>
      </c>
      <c r="C1787" s="0" t="n">
        <f aca="false">MOD(A1787-1,Pemetaan!$B$3*Pemetaan!$B$4)</f>
        <v>885</v>
      </c>
      <c r="D1787" s="0" t="n">
        <f aca="false">INT(C1787/Pemetaan!$B$4)</f>
        <v>35</v>
      </c>
      <c r="E1787" s="0" t="n">
        <f aca="false">MOD(C1787,Pemetaan!$B$4)</f>
        <v>10</v>
      </c>
      <c r="F1787" s="0" t="n">
        <f aca="false">IF(B1787="PRODUKSI",Pemetaan!$B$5,Pemetaan!$B$6)</f>
        <v>46</v>
      </c>
      <c r="G1787" s="0" t="n">
        <f aca="false">F1787+2+D1787</f>
        <v>83</v>
      </c>
      <c r="H1787" s="0" t="n">
        <f aca="false">Pemetaan!$B$2+E1787</f>
        <v>15</v>
      </c>
      <c r="I1787" s="0" t="str">
        <f aca="false">INDEX(Laporan!$A$1:$AZ$300,G1787,1)</f>
        <v>Mixing</v>
      </c>
      <c r="J1787" s="0" t="str">
        <f aca="false">INDEX(Laporan!$A$1:$AZ$300,G1787,2)</f>
        <v>1,5 L</v>
      </c>
      <c r="K1787" s="0" t="str">
        <f aca="false">INDEX(Laporan!$A$1:$AZ$300,G1787,3)</f>
        <v>Shift 2</v>
      </c>
      <c r="L1787" s="0" t="n">
        <f aca="false">INDEX(Laporan!$A$1:$AZ$300,G1787,4)</f>
        <v>3</v>
      </c>
      <c r="M1787" s="1" t="n">
        <f aca="false">DATE(Pemetaan!$B$1,VALUE(RIGHT(INDEX(Laporan!$A$1:$AZ$300,F1787+1,H1787),2)),VALUE(LEFT(INDEX(Laporan!$A$1:$AZ$300,F1787+1,H1787),2)))</f>
        <v>46097</v>
      </c>
      <c r="N1787" s="0" t="n">
        <f aca="false">INDEX(Laporan!$A$1:$AZ$300,G1787,H1787)</f>
        <v>14</v>
      </c>
      <c r="O1787" s="0" t="n">
        <f aca="false">IF(N1787="","",IFERROR(VALUE(SUBSTITUTE(SUBSTITUTE(N1787," btl",""),".","")),""))</f>
        <v>14</v>
      </c>
      <c r="P1787" s="0" t="str">
        <f aca="false">IF(B1787="PRODUKSI","produced","reject")</f>
        <v>reject</v>
      </c>
    </row>
    <row r="1788" customFormat="false" ht="15" hidden="false" customHeight="false" outlineLevel="0" collapsed="false">
      <c r="A1788" s="0" t="n">
        <v>1787</v>
      </c>
      <c r="B1788" s="0" t="str">
        <f aca="false">IF(A1788&lt;=36*25,"PRODUKSI","REJECT")</f>
        <v>REJECT</v>
      </c>
      <c r="C1788" s="0" t="n">
        <f aca="false">MOD(A1788-1,Pemetaan!$B$3*Pemetaan!$B$4)</f>
        <v>886</v>
      </c>
      <c r="D1788" s="0" t="n">
        <f aca="false">INT(C1788/Pemetaan!$B$4)</f>
        <v>35</v>
      </c>
      <c r="E1788" s="0" t="n">
        <f aca="false">MOD(C1788,Pemetaan!$B$4)</f>
        <v>11</v>
      </c>
      <c r="F1788" s="0" t="n">
        <f aca="false">IF(B1788="PRODUKSI",Pemetaan!$B$5,Pemetaan!$B$6)</f>
        <v>46</v>
      </c>
      <c r="G1788" s="0" t="n">
        <f aca="false">F1788+2+D1788</f>
        <v>83</v>
      </c>
      <c r="H1788" s="0" t="n">
        <f aca="false">Pemetaan!$B$2+E1788</f>
        <v>16</v>
      </c>
      <c r="I1788" s="0" t="str">
        <f aca="false">INDEX(Laporan!$A$1:$AZ$300,G1788,1)</f>
        <v>Mixing</v>
      </c>
      <c r="J1788" s="0" t="str">
        <f aca="false">INDEX(Laporan!$A$1:$AZ$300,G1788,2)</f>
        <v>1,5 L</v>
      </c>
      <c r="K1788" s="0" t="str">
        <f aca="false">INDEX(Laporan!$A$1:$AZ$300,G1788,3)</f>
        <v>Shift 2</v>
      </c>
      <c r="L1788" s="0" t="n">
        <f aca="false">INDEX(Laporan!$A$1:$AZ$300,G1788,4)</f>
        <v>3</v>
      </c>
      <c r="M1788" s="1" t="n">
        <f aca="false">DATE(Pemetaan!$B$1,VALUE(RIGHT(INDEX(Laporan!$A$1:$AZ$300,F1788+1,H1788),2)),VALUE(LEFT(INDEX(Laporan!$A$1:$AZ$300,F1788+1,H1788),2)))</f>
        <v>46098</v>
      </c>
      <c r="N1788" s="0" t="n">
        <f aca="false">INDEX(Laporan!$A$1:$AZ$300,G1788,H1788)</f>
        <v>8</v>
      </c>
      <c r="O1788" s="0" t="n">
        <f aca="false">IF(N1788="","",IFERROR(VALUE(SUBSTITUTE(SUBSTITUTE(N1788," btl",""),".","")),""))</f>
        <v>8</v>
      </c>
      <c r="P1788" s="0" t="str">
        <f aca="false">IF(B1788="PRODUKSI","produced","reject")</f>
        <v>reject</v>
      </c>
    </row>
    <row r="1789" customFormat="false" ht="15" hidden="false" customHeight="false" outlineLevel="0" collapsed="false">
      <c r="A1789" s="0" t="n">
        <v>1788</v>
      </c>
      <c r="B1789" s="0" t="str">
        <f aca="false">IF(A1789&lt;=36*25,"PRODUKSI","REJECT")</f>
        <v>REJECT</v>
      </c>
      <c r="C1789" s="0" t="n">
        <f aca="false">MOD(A1789-1,Pemetaan!$B$3*Pemetaan!$B$4)</f>
        <v>887</v>
      </c>
      <c r="D1789" s="0" t="n">
        <f aca="false">INT(C1789/Pemetaan!$B$4)</f>
        <v>35</v>
      </c>
      <c r="E1789" s="0" t="n">
        <f aca="false">MOD(C1789,Pemetaan!$B$4)</f>
        <v>12</v>
      </c>
      <c r="F1789" s="0" t="n">
        <f aca="false">IF(B1789="PRODUKSI",Pemetaan!$B$5,Pemetaan!$B$6)</f>
        <v>46</v>
      </c>
      <c r="G1789" s="0" t="n">
        <f aca="false">F1789+2+D1789</f>
        <v>83</v>
      </c>
      <c r="H1789" s="0" t="n">
        <f aca="false">Pemetaan!$B$2+E1789</f>
        <v>17</v>
      </c>
      <c r="I1789" s="0" t="str">
        <f aca="false">INDEX(Laporan!$A$1:$AZ$300,G1789,1)</f>
        <v>Mixing</v>
      </c>
      <c r="J1789" s="0" t="str">
        <f aca="false">INDEX(Laporan!$A$1:$AZ$300,G1789,2)</f>
        <v>1,5 L</v>
      </c>
      <c r="K1789" s="0" t="str">
        <f aca="false">INDEX(Laporan!$A$1:$AZ$300,G1789,3)</f>
        <v>Shift 2</v>
      </c>
      <c r="L1789" s="0" t="n">
        <f aca="false">INDEX(Laporan!$A$1:$AZ$300,G1789,4)</f>
        <v>3</v>
      </c>
      <c r="M1789" s="1" t="n">
        <f aca="false">DATE(Pemetaan!$B$1,VALUE(RIGHT(INDEX(Laporan!$A$1:$AZ$300,F1789+1,H1789),2)),VALUE(LEFT(INDEX(Laporan!$A$1:$AZ$300,F1789+1,H1789),2)))</f>
        <v>46099</v>
      </c>
      <c r="N1789" s="0" t="n">
        <f aca="false">INDEX(Laporan!$A$1:$AZ$300,G1789,H1789)</f>
        <v>10</v>
      </c>
      <c r="O1789" s="0" t="n">
        <f aca="false">IF(N1789="","",IFERROR(VALUE(SUBSTITUTE(SUBSTITUTE(N1789," btl",""),".","")),""))</f>
        <v>10</v>
      </c>
      <c r="P1789" s="0" t="str">
        <f aca="false">IF(B1789="PRODUKSI","produced","reject")</f>
        <v>reject</v>
      </c>
    </row>
    <row r="1790" customFormat="false" ht="15" hidden="false" customHeight="false" outlineLevel="0" collapsed="false">
      <c r="A1790" s="0" t="n">
        <v>1789</v>
      </c>
      <c r="B1790" s="0" t="str">
        <f aca="false">IF(A1790&lt;=36*25,"PRODUKSI","REJECT")</f>
        <v>REJECT</v>
      </c>
      <c r="C1790" s="0" t="n">
        <f aca="false">MOD(A1790-1,Pemetaan!$B$3*Pemetaan!$B$4)</f>
        <v>888</v>
      </c>
      <c r="D1790" s="0" t="n">
        <f aca="false">INT(C1790/Pemetaan!$B$4)</f>
        <v>35</v>
      </c>
      <c r="E1790" s="0" t="n">
        <f aca="false">MOD(C1790,Pemetaan!$B$4)</f>
        <v>13</v>
      </c>
      <c r="F1790" s="0" t="n">
        <f aca="false">IF(B1790="PRODUKSI",Pemetaan!$B$5,Pemetaan!$B$6)</f>
        <v>46</v>
      </c>
      <c r="G1790" s="0" t="n">
        <f aca="false">F1790+2+D1790</f>
        <v>83</v>
      </c>
      <c r="H1790" s="0" t="n">
        <f aca="false">Pemetaan!$B$2+E1790</f>
        <v>18</v>
      </c>
      <c r="I1790" s="0" t="str">
        <f aca="false">INDEX(Laporan!$A$1:$AZ$300,G1790,1)</f>
        <v>Mixing</v>
      </c>
      <c r="J1790" s="0" t="str">
        <f aca="false">INDEX(Laporan!$A$1:$AZ$300,G1790,2)</f>
        <v>1,5 L</v>
      </c>
      <c r="K1790" s="0" t="str">
        <f aca="false">INDEX(Laporan!$A$1:$AZ$300,G1790,3)</f>
        <v>Shift 2</v>
      </c>
      <c r="L1790" s="0" t="n">
        <f aca="false">INDEX(Laporan!$A$1:$AZ$300,G1790,4)</f>
        <v>3</v>
      </c>
      <c r="M1790" s="1" t="n">
        <f aca="false">DATE(Pemetaan!$B$1,VALUE(RIGHT(INDEX(Laporan!$A$1:$AZ$300,F1790+1,H1790),2)),VALUE(LEFT(INDEX(Laporan!$A$1:$AZ$300,F1790+1,H1790),2)))</f>
        <v>46100</v>
      </c>
      <c r="N1790" s="0" t="n">
        <f aca="false">INDEX(Laporan!$A$1:$AZ$300,G1790,H1790)</f>
        <v>9</v>
      </c>
      <c r="O1790" s="0" t="n">
        <f aca="false">IF(N1790="","",IFERROR(VALUE(SUBSTITUTE(SUBSTITUTE(N1790," btl",""),".","")),""))</f>
        <v>9</v>
      </c>
      <c r="P1790" s="0" t="str">
        <f aca="false">IF(B1790="PRODUKSI","produced","reject")</f>
        <v>reject</v>
      </c>
    </row>
    <row r="1791" customFormat="false" ht="15" hidden="false" customHeight="false" outlineLevel="0" collapsed="false">
      <c r="A1791" s="0" t="n">
        <v>1790</v>
      </c>
      <c r="B1791" s="0" t="str">
        <f aca="false">IF(A1791&lt;=36*25,"PRODUKSI","REJECT")</f>
        <v>REJECT</v>
      </c>
      <c r="C1791" s="0" t="n">
        <f aca="false">MOD(A1791-1,Pemetaan!$B$3*Pemetaan!$B$4)</f>
        <v>889</v>
      </c>
      <c r="D1791" s="0" t="n">
        <f aca="false">INT(C1791/Pemetaan!$B$4)</f>
        <v>35</v>
      </c>
      <c r="E1791" s="0" t="n">
        <f aca="false">MOD(C1791,Pemetaan!$B$4)</f>
        <v>14</v>
      </c>
      <c r="F1791" s="0" t="n">
        <f aca="false">IF(B1791="PRODUKSI",Pemetaan!$B$5,Pemetaan!$B$6)</f>
        <v>46</v>
      </c>
      <c r="G1791" s="0" t="n">
        <f aca="false">F1791+2+D1791</f>
        <v>83</v>
      </c>
      <c r="H1791" s="0" t="n">
        <f aca="false">Pemetaan!$B$2+E1791</f>
        <v>19</v>
      </c>
      <c r="I1791" s="0" t="str">
        <f aca="false">INDEX(Laporan!$A$1:$AZ$300,G1791,1)</f>
        <v>Mixing</v>
      </c>
      <c r="J1791" s="0" t="str">
        <f aca="false">INDEX(Laporan!$A$1:$AZ$300,G1791,2)</f>
        <v>1,5 L</v>
      </c>
      <c r="K1791" s="0" t="str">
        <f aca="false">INDEX(Laporan!$A$1:$AZ$300,G1791,3)</f>
        <v>Shift 2</v>
      </c>
      <c r="L1791" s="0" t="n">
        <f aca="false">INDEX(Laporan!$A$1:$AZ$300,G1791,4)</f>
        <v>3</v>
      </c>
      <c r="M1791" s="1" t="n">
        <f aca="false">DATE(Pemetaan!$B$1,VALUE(RIGHT(INDEX(Laporan!$A$1:$AZ$300,F1791+1,H1791),2)),VALUE(LEFT(INDEX(Laporan!$A$1:$AZ$300,F1791+1,H1791),2)))</f>
        <v>46101</v>
      </c>
      <c r="N1791" s="0" t="n">
        <f aca="false">INDEX(Laporan!$A$1:$AZ$300,G1791,H1791)</f>
        <v>9</v>
      </c>
      <c r="O1791" s="0" t="n">
        <f aca="false">IF(N1791="","",IFERROR(VALUE(SUBSTITUTE(SUBSTITUTE(N1791," btl",""),".","")),""))</f>
        <v>9</v>
      </c>
      <c r="P1791" s="0" t="str">
        <f aca="false">IF(B1791="PRODUKSI","produced","reject")</f>
        <v>reject</v>
      </c>
    </row>
    <row r="1792" customFormat="false" ht="15" hidden="false" customHeight="false" outlineLevel="0" collapsed="false">
      <c r="A1792" s="0" t="n">
        <v>1791</v>
      </c>
      <c r="B1792" s="0" t="str">
        <f aca="false">IF(A1792&lt;=36*25,"PRODUKSI","REJECT")</f>
        <v>REJECT</v>
      </c>
      <c r="C1792" s="0" t="n">
        <f aca="false">MOD(A1792-1,Pemetaan!$B$3*Pemetaan!$B$4)</f>
        <v>890</v>
      </c>
      <c r="D1792" s="0" t="n">
        <f aca="false">INT(C1792/Pemetaan!$B$4)</f>
        <v>35</v>
      </c>
      <c r="E1792" s="0" t="n">
        <f aca="false">MOD(C1792,Pemetaan!$B$4)</f>
        <v>15</v>
      </c>
      <c r="F1792" s="0" t="n">
        <f aca="false">IF(B1792="PRODUKSI",Pemetaan!$B$5,Pemetaan!$B$6)</f>
        <v>46</v>
      </c>
      <c r="G1792" s="0" t="n">
        <f aca="false">F1792+2+D1792</f>
        <v>83</v>
      </c>
      <c r="H1792" s="0" t="n">
        <f aca="false">Pemetaan!$B$2+E1792</f>
        <v>20</v>
      </c>
      <c r="I1792" s="0" t="str">
        <f aca="false">INDEX(Laporan!$A$1:$AZ$300,G1792,1)</f>
        <v>Mixing</v>
      </c>
      <c r="J1792" s="0" t="str">
        <f aca="false">INDEX(Laporan!$A$1:$AZ$300,G1792,2)</f>
        <v>1,5 L</v>
      </c>
      <c r="K1792" s="0" t="str">
        <f aca="false">INDEX(Laporan!$A$1:$AZ$300,G1792,3)</f>
        <v>Shift 2</v>
      </c>
      <c r="L1792" s="0" t="n">
        <f aca="false">INDEX(Laporan!$A$1:$AZ$300,G1792,4)</f>
        <v>3</v>
      </c>
      <c r="M1792" s="1" t="n">
        <f aca="false">DATE(Pemetaan!$B$1,VALUE(RIGHT(INDEX(Laporan!$A$1:$AZ$300,F1792+1,H1792),2)),VALUE(LEFT(INDEX(Laporan!$A$1:$AZ$300,F1792+1,H1792),2)))</f>
        <v>46104</v>
      </c>
      <c r="N1792" s="0" t="n">
        <f aca="false">INDEX(Laporan!$A$1:$AZ$300,G1792,H1792)</f>
        <v>12</v>
      </c>
      <c r="O1792" s="0" t="n">
        <f aca="false">IF(N1792="","",IFERROR(VALUE(SUBSTITUTE(SUBSTITUTE(N1792," btl",""),".","")),""))</f>
        <v>12</v>
      </c>
      <c r="P1792" s="0" t="str">
        <f aca="false">IF(B1792="PRODUKSI","produced","reject")</f>
        <v>reject</v>
      </c>
    </row>
    <row r="1793" customFormat="false" ht="15" hidden="false" customHeight="false" outlineLevel="0" collapsed="false">
      <c r="A1793" s="0" t="n">
        <v>1792</v>
      </c>
      <c r="B1793" s="0" t="str">
        <f aca="false">IF(A1793&lt;=36*25,"PRODUKSI","REJECT")</f>
        <v>REJECT</v>
      </c>
      <c r="C1793" s="0" t="n">
        <f aca="false">MOD(A1793-1,Pemetaan!$B$3*Pemetaan!$B$4)</f>
        <v>891</v>
      </c>
      <c r="D1793" s="0" t="n">
        <f aca="false">INT(C1793/Pemetaan!$B$4)</f>
        <v>35</v>
      </c>
      <c r="E1793" s="0" t="n">
        <f aca="false">MOD(C1793,Pemetaan!$B$4)</f>
        <v>16</v>
      </c>
      <c r="F1793" s="0" t="n">
        <f aca="false">IF(B1793="PRODUKSI",Pemetaan!$B$5,Pemetaan!$B$6)</f>
        <v>46</v>
      </c>
      <c r="G1793" s="0" t="n">
        <f aca="false">F1793+2+D1793</f>
        <v>83</v>
      </c>
      <c r="H1793" s="0" t="n">
        <f aca="false">Pemetaan!$B$2+E1793</f>
        <v>21</v>
      </c>
      <c r="I1793" s="0" t="str">
        <f aca="false">INDEX(Laporan!$A$1:$AZ$300,G1793,1)</f>
        <v>Mixing</v>
      </c>
      <c r="J1793" s="0" t="str">
        <f aca="false">INDEX(Laporan!$A$1:$AZ$300,G1793,2)</f>
        <v>1,5 L</v>
      </c>
      <c r="K1793" s="0" t="str">
        <f aca="false">INDEX(Laporan!$A$1:$AZ$300,G1793,3)</f>
        <v>Shift 2</v>
      </c>
      <c r="L1793" s="0" t="n">
        <f aca="false">INDEX(Laporan!$A$1:$AZ$300,G1793,4)</f>
        <v>3</v>
      </c>
      <c r="M1793" s="1" t="n">
        <f aca="false">DATE(Pemetaan!$B$1,VALUE(RIGHT(INDEX(Laporan!$A$1:$AZ$300,F1793+1,H1793),2)),VALUE(LEFT(INDEX(Laporan!$A$1:$AZ$300,F1793+1,H1793),2)))</f>
        <v>46105</v>
      </c>
      <c r="N1793" s="0" t="n">
        <f aca="false">INDEX(Laporan!$A$1:$AZ$300,G1793,H1793)</f>
        <v>8</v>
      </c>
      <c r="O1793" s="0" t="n">
        <f aca="false">IF(N1793="","",IFERROR(VALUE(SUBSTITUTE(SUBSTITUTE(N1793," btl",""),".","")),""))</f>
        <v>8</v>
      </c>
      <c r="P1793" s="0" t="str">
        <f aca="false">IF(B1793="PRODUKSI","produced","reject")</f>
        <v>reject</v>
      </c>
    </row>
    <row r="1794" customFormat="false" ht="15" hidden="false" customHeight="false" outlineLevel="0" collapsed="false">
      <c r="A1794" s="0" t="n">
        <v>1793</v>
      </c>
      <c r="B1794" s="0" t="str">
        <f aca="false">IF(A1794&lt;=36*25,"PRODUKSI","REJECT")</f>
        <v>REJECT</v>
      </c>
      <c r="C1794" s="0" t="n">
        <f aca="false">MOD(A1794-1,Pemetaan!$B$3*Pemetaan!$B$4)</f>
        <v>892</v>
      </c>
      <c r="D1794" s="0" t="n">
        <f aca="false">INT(C1794/Pemetaan!$B$4)</f>
        <v>35</v>
      </c>
      <c r="E1794" s="0" t="n">
        <f aca="false">MOD(C1794,Pemetaan!$B$4)</f>
        <v>17</v>
      </c>
      <c r="F1794" s="0" t="n">
        <f aca="false">IF(B1794="PRODUKSI",Pemetaan!$B$5,Pemetaan!$B$6)</f>
        <v>46</v>
      </c>
      <c r="G1794" s="0" t="n">
        <f aca="false">F1794+2+D1794</f>
        <v>83</v>
      </c>
      <c r="H1794" s="0" t="n">
        <f aca="false">Pemetaan!$B$2+E1794</f>
        <v>22</v>
      </c>
      <c r="I1794" s="0" t="str">
        <f aca="false">INDEX(Laporan!$A$1:$AZ$300,G1794,1)</f>
        <v>Mixing</v>
      </c>
      <c r="J1794" s="0" t="str">
        <f aca="false">INDEX(Laporan!$A$1:$AZ$300,G1794,2)</f>
        <v>1,5 L</v>
      </c>
      <c r="K1794" s="0" t="str">
        <f aca="false">INDEX(Laporan!$A$1:$AZ$300,G1794,3)</f>
        <v>Shift 2</v>
      </c>
      <c r="L1794" s="0" t="n">
        <f aca="false">INDEX(Laporan!$A$1:$AZ$300,G1794,4)</f>
        <v>3</v>
      </c>
      <c r="M1794" s="1" t="n">
        <f aca="false">DATE(Pemetaan!$B$1,VALUE(RIGHT(INDEX(Laporan!$A$1:$AZ$300,F1794+1,H1794),2)),VALUE(LEFT(INDEX(Laporan!$A$1:$AZ$300,F1794+1,H1794),2)))</f>
        <v>46106</v>
      </c>
      <c r="N1794" s="0" t="n">
        <f aca="false">INDEX(Laporan!$A$1:$AZ$300,G1794,H1794)</f>
        <v>8</v>
      </c>
      <c r="O1794" s="0" t="n">
        <f aca="false">IF(N1794="","",IFERROR(VALUE(SUBSTITUTE(SUBSTITUTE(N1794," btl",""),".","")),""))</f>
        <v>8</v>
      </c>
      <c r="P1794" s="0" t="str">
        <f aca="false">IF(B1794="PRODUKSI","produced","reject")</f>
        <v>reject</v>
      </c>
    </row>
    <row r="1795" customFormat="false" ht="15" hidden="false" customHeight="false" outlineLevel="0" collapsed="false">
      <c r="A1795" s="0" t="n">
        <v>1794</v>
      </c>
      <c r="B1795" s="0" t="str">
        <f aca="false">IF(A1795&lt;=36*25,"PRODUKSI","REJECT")</f>
        <v>REJECT</v>
      </c>
      <c r="C1795" s="0" t="n">
        <f aca="false">MOD(A1795-1,Pemetaan!$B$3*Pemetaan!$B$4)</f>
        <v>893</v>
      </c>
      <c r="D1795" s="0" t="n">
        <f aca="false">INT(C1795/Pemetaan!$B$4)</f>
        <v>35</v>
      </c>
      <c r="E1795" s="0" t="n">
        <f aca="false">MOD(C1795,Pemetaan!$B$4)</f>
        <v>18</v>
      </c>
      <c r="F1795" s="0" t="n">
        <f aca="false">IF(B1795="PRODUKSI",Pemetaan!$B$5,Pemetaan!$B$6)</f>
        <v>46</v>
      </c>
      <c r="G1795" s="0" t="n">
        <f aca="false">F1795+2+D1795</f>
        <v>83</v>
      </c>
      <c r="H1795" s="0" t="n">
        <f aca="false">Pemetaan!$B$2+E1795</f>
        <v>23</v>
      </c>
      <c r="I1795" s="0" t="str">
        <f aca="false">INDEX(Laporan!$A$1:$AZ$300,G1795,1)</f>
        <v>Mixing</v>
      </c>
      <c r="J1795" s="0" t="str">
        <f aca="false">INDEX(Laporan!$A$1:$AZ$300,G1795,2)</f>
        <v>1,5 L</v>
      </c>
      <c r="K1795" s="0" t="str">
        <f aca="false">INDEX(Laporan!$A$1:$AZ$300,G1795,3)</f>
        <v>Shift 2</v>
      </c>
      <c r="L1795" s="0" t="n">
        <f aca="false">INDEX(Laporan!$A$1:$AZ$300,G1795,4)</f>
        <v>3</v>
      </c>
      <c r="M1795" s="1" t="n">
        <f aca="false">DATE(Pemetaan!$B$1,VALUE(RIGHT(INDEX(Laporan!$A$1:$AZ$300,F1795+1,H1795),2)),VALUE(LEFT(INDEX(Laporan!$A$1:$AZ$300,F1795+1,H1795),2)))</f>
        <v>46107</v>
      </c>
      <c r="N1795" s="0" t="n">
        <f aca="false">INDEX(Laporan!$A$1:$AZ$300,G1795,H1795)</f>
        <v>3</v>
      </c>
      <c r="O1795" s="0" t="n">
        <f aca="false">IF(N1795="","",IFERROR(VALUE(SUBSTITUTE(SUBSTITUTE(N1795," btl",""),".","")),""))</f>
        <v>3</v>
      </c>
      <c r="P1795" s="0" t="str">
        <f aca="false">IF(B1795="PRODUKSI","produced","reject")</f>
        <v>reject</v>
      </c>
    </row>
    <row r="1796" customFormat="false" ht="15" hidden="false" customHeight="false" outlineLevel="0" collapsed="false">
      <c r="A1796" s="0" t="n">
        <v>1795</v>
      </c>
      <c r="B1796" s="0" t="str">
        <f aca="false">IF(A1796&lt;=36*25,"PRODUKSI","REJECT")</f>
        <v>REJECT</v>
      </c>
      <c r="C1796" s="0" t="n">
        <f aca="false">MOD(A1796-1,Pemetaan!$B$3*Pemetaan!$B$4)</f>
        <v>894</v>
      </c>
      <c r="D1796" s="0" t="n">
        <f aca="false">INT(C1796/Pemetaan!$B$4)</f>
        <v>35</v>
      </c>
      <c r="E1796" s="0" t="n">
        <f aca="false">MOD(C1796,Pemetaan!$B$4)</f>
        <v>19</v>
      </c>
      <c r="F1796" s="0" t="n">
        <f aca="false">IF(B1796="PRODUKSI",Pemetaan!$B$5,Pemetaan!$B$6)</f>
        <v>46</v>
      </c>
      <c r="G1796" s="0" t="n">
        <f aca="false">F1796+2+D1796</f>
        <v>83</v>
      </c>
      <c r="H1796" s="0" t="n">
        <f aca="false">Pemetaan!$B$2+E1796</f>
        <v>24</v>
      </c>
      <c r="I1796" s="0" t="str">
        <f aca="false">INDEX(Laporan!$A$1:$AZ$300,G1796,1)</f>
        <v>Mixing</v>
      </c>
      <c r="J1796" s="0" t="str">
        <f aca="false">INDEX(Laporan!$A$1:$AZ$300,G1796,2)</f>
        <v>1,5 L</v>
      </c>
      <c r="K1796" s="0" t="str">
        <f aca="false">INDEX(Laporan!$A$1:$AZ$300,G1796,3)</f>
        <v>Shift 2</v>
      </c>
      <c r="L1796" s="0" t="n">
        <f aca="false">INDEX(Laporan!$A$1:$AZ$300,G1796,4)</f>
        <v>3</v>
      </c>
      <c r="M1796" s="1" t="n">
        <f aca="false">DATE(Pemetaan!$B$1,VALUE(RIGHT(INDEX(Laporan!$A$1:$AZ$300,F1796+1,H1796),2)),VALUE(LEFT(INDEX(Laporan!$A$1:$AZ$300,F1796+1,H1796),2)))</f>
        <v>46108</v>
      </c>
      <c r="N1796" s="0" t="n">
        <f aca="false">INDEX(Laporan!$A$1:$AZ$300,G1796,H1796)</f>
        <v>3</v>
      </c>
      <c r="O1796" s="0" t="n">
        <f aca="false">IF(N1796="","",IFERROR(VALUE(SUBSTITUTE(SUBSTITUTE(N1796," btl",""),".","")),""))</f>
        <v>3</v>
      </c>
      <c r="P1796" s="0" t="str">
        <f aca="false">IF(B1796="PRODUKSI","produced","reject")</f>
        <v>reject</v>
      </c>
    </row>
    <row r="1797" customFormat="false" ht="15" hidden="false" customHeight="false" outlineLevel="0" collapsed="false">
      <c r="A1797" s="0" t="n">
        <v>1796</v>
      </c>
      <c r="B1797" s="0" t="str">
        <f aca="false">IF(A1797&lt;=36*25,"PRODUKSI","REJECT")</f>
        <v>REJECT</v>
      </c>
      <c r="C1797" s="0" t="n">
        <f aca="false">MOD(A1797-1,Pemetaan!$B$3*Pemetaan!$B$4)</f>
        <v>895</v>
      </c>
      <c r="D1797" s="0" t="n">
        <f aca="false">INT(C1797/Pemetaan!$B$4)</f>
        <v>35</v>
      </c>
      <c r="E1797" s="0" t="n">
        <f aca="false">MOD(C1797,Pemetaan!$B$4)</f>
        <v>20</v>
      </c>
      <c r="F1797" s="0" t="n">
        <f aca="false">IF(B1797="PRODUKSI",Pemetaan!$B$5,Pemetaan!$B$6)</f>
        <v>46</v>
      </c>
      <c r="G1797" s="0" t="n">
        <f aca="false">F1797+2+D1797</f>
        <v>83</v>
      </c>
      <c r="H1797" s="0" t="n">
        <f aca="false">Pemetaan!$B$2+E1797</f>
        <v>25</v>
      </c>
      <c r="I1797" s="0" t="str">
        <f aca="false">INDEX(Laporan!$A$1:$AZ$300,G1797,1)</f>
        <v>Mixing</v>
      </c>
      <c r="J1797" s="0" t="str">
        <f aca="false">INDEX(Laporan!$A$1:$AZ$300,G1797,2)</f>
        <v>1,5 L</v>
      </c>
      <c r="K1797" s="0" t="str">
        <f aca="false">INDEX(Laporan!$A$1:$AZ$300,G1797,3)</f>
        <v>Shift 2</v>
      </c>
      <c r="L1797" s="0" t="n">
        <f aca="false">INDEX(Laporan!$A$1:$AZ$300,G1797,4)</f>
        <v>3</v>
      </c>
      <c r="M1797" s="1" t="n">
        <f aca="false">DATE(Pemetaan!$B$1,VALUE(RIGHT(INDEX(Laporan!$A$1:$AZ$300,F1797+1,H1797),2)),VALUE(LEFT(INDEX(Laporan!$A$1:$AZ$300,F1797+1,H1797),2)))</f>
        <v>46111</v>
      </c>
      <c r="N1797" s="0" t="n">
        <f aca="false">INDEX(Laporan!$A$1:$AZ$300,G1797,H1797)</f>
        <v>8</v>
      </c>
      <c r="O1797" s="0" t="n">
        <f aca="false">IF(N1797="","",IFERROR(VALUE(SUBSTITUTE(SUBSTITUTE(N1797," btl",""),".","")),""))</f>
        <v>8</v>
      </c>
      <c r="P1797" s="0" t="str">
        <f aca="false">IF(B1797="PRODUKSI","produced","reject")</f>
        <v>reject</v>
      </c>
    </row>
    <row r="1798" customFormat="false" ht="15" hidden="false" customHeight="false" outlineLevel="0" collapsed="false">
      <c r="A1798" s="0" t="n">
        <v>1797</v>
      </c>
      <c r="B1798" s="0" t="str">
        <f aca="false">IF(A1798&lt;=36*25,"PRODUKSI","REJECT")</f>
        <v>REJECT</v>
      </c>
      <c r="C1798" s="0" t="n">
        <f aca="false">MOD(A1798-1,Pemetaan!$B$3*Pemetaan!$B$4)</f>
        <v>896</v>
      </c>
      <c r="D1798" s="0" t="n">
        <f aca="false">INT(C1798/Pemetaan!$B$4)</f>
        <v>35</v>
      </c>
      <c r="E1798" s="0" t="n">
        <f aca="false">MOD(C1798,Pemetaan!$B$4)</f>
        <v>21</v>
      </c>
      <c r="F1798" s="0" t="n">
        <f aca="false">IF(B1798="PRODUKSI",Pemetaan!$B$5,Pemetaan!$B$6)</f>
        <v>46</v>
      </c>
      <c r="G1798" s="0" t="n">
        <f aca="false">F1798+2+D1798</f>
        <v>83</v>
      </c>
      <c r="H1798" s="0" t="n">
        <f aca="false">Pemetaan!$B$2+E1798</f>
        <v>26</v>
      </c>
      <c r="I1798" s="0" t="str">
        <f aca="false">INDEX(Laporan!$A$1:$AZ$300,G1798,1)</f>
        <v>Mixing</v>
      </c>
      <c r="J1798" s="0" t="str">
        <f aca="false">INDEX(Laporan!$A$1:$AZ$300,G1798,2)</f>
        <v>1,5 L</v>
      </c>
      <c r="K1798" s="0" t="str">
        <f aca="false">INDEX(Laporan!$A$1:$AZ$300,G1798,3)</f>
        <v>Shift 2</v>
      </c>
      <c r="L1798" s="0" t="n">
        <f aca="false">INDEX(Laporan!$A$1:$AZ$300,G1798,4)</f>
        <v>3</v>
      </c>
      <c r="M1798" s="1" t="n">
        <f aca="false">DATE(Pemetaan!$B$1,VALUE(RIGHT(INDEX(Laporan!$A$1:$AZ$300,F1798+1,H1798),2)),VALUE(LEFT(INDEX(Laporan!$A$1:$AZ$300,F1798+1,H1798),2)))</f>
        <v>46112</v>
      </c>
      <c r="N1798" s="0" t="n">
        <f aca="false">INDEX(Laporan!$A$1:$AZ$300,G1798,H1798)</f>
        <v>10</v>
      </c>
      <c r="O1798" s="0" t="n">
        <f aca="false">IF(N1798="","",IFERROR(VALUE(SUBSTITUTE(SUBSTITUTE(N1798," btl",""),".","")),""))</f>
        <v>10</v>
      </c>
      <c r="P1798" s="0" t="str">
        <f aca="false">IF(B1798="PRODUKSI","produced","reject")</f>
        <v>reject</v>
      </c>
    </row>
    <row r="1799" customFormat="false" ht="15" hidden="false" customHeight="false" outlineLevel="0" collapsed="false">
      <c r="A1799" s="0" t="n">
        <v>1798</v>
      </c>
      <c r="B1799" s="0" t="str">
        <f aca="false">IF(A1799&lt;=36*25,"PRODUKSI","REJECT")</f>
        <v>REJECT</v>
      </c>
      <c r="C1799" s="0" t="n">
        <f aca="false">MOD(A1799-1,Pemetaan!$B$3*Pemetaan!$B$4)</f>
        <v>897</v>
      </c>
      <c r="D1799" s="0" t="n">
        <f aca="false">INT(C1799/Pemetaan!$B$4)</f>
        <v>35</v>
      </c>
      <c r="E1799" s="0" t="n">
        <f aca="false">MOD(C1799,Pemetaan!$B$4)</f>
        <v>22</v>
      </c>
      <c r="F1799" s="0" t="n">
        <f aca="false">IF(B1799="PRODUKSI",Pemetaan!$B$5,Pemetaan!$B$6)</f>
        <v>46</v>
      </c>
      <c r="G1799" s="0" t="n">
        <f aca="false">F1799+2+D1799</f>
        <v>83</v>
      </c>
      <c r="H1799" s="0" t="n">
        <f aca="false">Pemetaan!$B$2+E1799</f>
        <v>27</v>
      </c>
      <c r="I1799" s="0" t="str">
        <f aca="false">INDEX(Laporan!$A$1:$AZ$300,G1799,1)</f>
        <v>Mixing</v>
      </c>
      <c r="J1799" s="0" t="str">
        <f aca="false">INDEX(Laporan!$A$1:$AZ$300,G1799,2)</f>
        <v>1,5 L</v>
      </c>
      <c r="K1799" s="0" t="str">
        <f aca="false">INDEX(Laporan!$A$1:$AZ$300,G1799,3)</f>
        <v>Shift 2</v>
      </c>
      <c r="L1799" s="0" t="n">
        <f aca="false">INDEX(Laporan!$A$1:$AZ$300,G1799,4)</f>
        <v>3</v>
      </c>
      <c r="M1799" s="1" t="n">
        <f aca="false">DATE(Pemetaan!$B$1,VALUE(RIGHT(INDEX(Laporan!$A$1:$AZ$300,F1799+1,H1799),2)),VALUE(LEFT(INDEX(Laporan!$A$1:$AZ$300,F1799+1,H1799),2)))</f>
        <v>46113</v>
      </c>
      <c r="N1799" s="0" t="n">
        <f aca="false">INDEX(Laporan!$A$1:$AZ$300,G1799,H1799)</f>
        <v>8</v>
      </c>
      <c r="O1799" s="0" t="n">
        <f aca="false">IF(N1799="","",IFERROR(VALUE(SUBSTITUTE(SUBSTITUTE(N1799," btl",""),".","")),""))</f>
        <v>8</v>
      </c>
      <c r="P1799" s="0" t="str">
        <f aca="false">IF(B1799="PRODUKSI","produced","reject")</f>
        <v>reject</v>
      </c>
    </row>
    <row r="1800" customFormat="false" ht="15" hidden="false" customHeight="false" outlineLevel="0" collapsed="false">
      <c r="A1800" s="0" t="n">
        <v>1799</v>
      </c>
      <c r="B1800" s="0" t="str">
        <f aca="false">IF(A1800&lt;=36*25,"PRODUKSI","REJECT")</f>
        <v>REJECT</v>
      </c>
      <c r="C1800" s="0" t="n">
        <f aca="false">MOD(A1800-1,Pemetaan!$B$3*Pemetaan!$B$4)</f>
        <v>898</v>
      </c>
      <c r="D1800" s="0" t="n">
        <f aca="false">INT(C1800/Pemetaan!$B$4)</f>
        <v>35</v>
      </c>
      <c r="E1800" s="0" t="n">
        <f aca="false">MOD(C1800,Pemetaan!$B$4)</f>
        <v>23</v>
      </c>
      <c r="F1800" s="0" t="n">
        <f aca="false">IF(B1800="PRODUKSI",Pemetaan!$B$5,Pemetaan!$B$6)</f>
        <v>46</v>
      </c>
      <c r="G1800" s="0" t="n">
        <f aca="false">F1800+2+D1800</f>
        <v>83</v>
      </c>
      <c r="H1800" s="0" t="n">
        <f aca="false">Pemetaan!$B$2+E1800</f>
        <v>28</v>
      </c>
      <c r="I1800" s="0" t="str">
        <f aca="false">INDEX(Laporan!$A$1:$AZ$300,G1800,1)</f>
        <v>Mixing</v>
      </c>
      <c r="J1800" s="0" t="str">
        <f aca="false">INDEX(Laporan!$A$1:$AZ$300,G1800,2)</f>
        <v>1,5 L</v>
      </c>
      <c r="K1800" s="0" t="str">
        <f aca="false">INDEX(Laporan!$A$1:$AZ$300,G1800,3)</f>
        <v>Shift 2</v>
      </c>
      <c r="L1800" s="0" t="n">
        <f aca="false">INDEX(Laporan!$A$1:$AZ$300,G1800,4)</f>
        <v>3</v>
      </c>
      <c r="M1800" s="1" t="n">
        <f aca="false">DATE(Pemetaan!$B$1,VALUE(RIGHT(INDEX(Laporan!$A$1:$AZ$300,F1800+1,H1800),2)),VALUE(LEFT(INDEX(Laporan!$A$1:$AZ$300,F1800+1,H1800),2)))</f>
        <v>46114</v>
      </c>
      <c r="N1800" s="0" t="n">
        <f aca="false">INDEX(Laporan!$A$1:$AZ$300,G1800,H1800)</f>
        <v>11</v>
      </c>
      <c r="O1800" s="0" t="n">
        <f aca="false">IF(N1800="","",IFERROR(VALUE(SUBSTITUTE(SUBSTITUTE(N1800," btl",""),".","")),""))</f>
        <v>11</v>
      </c>
      <c r="P1800" s="0" t="str">
        <f aca="false">IF(B1800="PRODUKSI","produced","reject")</f>
        <v>reject</v>
      </c>
    </row>
    <row r="1801" customFormat="false" ht="15" hidden="false" customHeight="false" outlineLevel="0" collapsed="false">
      <c r="A1801" s="0" t="n">
        <v>1800</v>
      </c>
      <c r="B1801" s="0" t="str">
        <f aca="false">IF(A1801&lt;=36*25,"PRODUKSI","REJECT")</f>
        <v>REJECT</v>
      </c>
      <c r="C1801" s="0" t="n">
        <f aca="false">MOD(A1801-1,Pemetaan!$B$3*Pemetaan!$B$4)</f>
        <v>899</v>
      </c>
      <c r="D1801" s="0" t="n">
        <f aca="false">INT(C1801/Pemetaan!$B$4)</f>
        <v>35</v>
      </c>
      <c r="E1801" s="0" t="n">
        <f aca="false">MOD(C1801,Pemetaan!$B$4)</f>
        <v>24</v>
      </c>
      <c r="F1801" s="0" t="n">
        <f aca="false">IF(B1801="PRODUKSI",Pemetaan!$B$5,Pemetaan!$B$6)</f>
        <v>46</v>
      </c>
      <c r="G1801" s="0" t="n">
        <f aca="false">F1801+2+D1801</f>
        <v>83</v>
      </c>
      <c r="H1801" s="0" t="n">
        <f aca="false">Pemetaan!$B$2+E1801</f>
        <v>29</v>
      </c>
      <c r="I1801" s="0" t="str">
        <f aca="false">INDEX(Laporan!$A$1:$AZ$300,G1801,1)</f>
        <v>Mixing</v>
      </c>
      <c r="J1801" s="0" t="str">
        <f aca="false">INDEX(Laporan!$A$1:$AZ$300,G1801,2)</f>
        <v>1,5 L</v>
      </c>
      <c r="K1801" s="0" t="str">
        <f aca="false">INDEX(Laporan!$A$1:$AZ$300,G1801,3)</f>
        <v>Shift 2</v>
      </c>
      <c r="L1801" s="0" t="n">
        <f aca="false">INDEX(Laporan!$A$1:$AZ$300,G1801,4)</f>
        <v>3</v>
      </c>
      <c r="M1801" s="1" t="n">
        <f aca="false">DATE(Pemetaan!$B$1,VALUE(RIGHT(INDEX(Laporan!$A$1:$AZ$300,F1801+1,H1801),2)),VALUE(LEFT(INDEX(Laporan!$A$1:$AZ$300,F1801+1,H1801),2)))</f>
        <v>46115</v>
      </c>
      <c r="N1801" s="0" t="n">
        <f aca="false">INDEX(Laporan!$A$1:$AZ$300,G1801,H1801)</f>
        <v>7</v>
      </c>
      <c r="O1801" s="0" t="n">
        <f aca="false">IF(N1801="","",IFERROR(VALUE(SUBSTITUTE(SUBSTITUTE(N1801," btl",""),".","")),""))</f>
        <v>7</v>
      </c>
      <c r="P1801" s="0" t="str">
        <f aca="false">IF(B1801="PRODUKSI","produced","reject")</f>
        <v>reject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2026-10-29T01:20:05Z</dcterms:created>
  <dc:creator>openpyxl</dc:creator>
  <dc:description/>
  <dc:language>en-US</dc:language>
  <cp:lastModifiedBy/>
  <dcterms:modified xsi:type="dcterms:W3CDTF">2026-10-29T01:20:05Z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